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me" sheetId="1" state="visible" r:id="rId3"/>
    <sheet name="Arquitetura" sheetId="2" state="visible" r:id="rId4"/>
    <sheet name="Menu" sheetId="3" state="visible" r:id="rId5"/>
    <sheet name="Tipos de Página" sheetId="4" state="visible" r:id="rId6"/>
    <sheet name="Hubs" sheetId="5" state="visible" r:id="rId7"/>
    <sheet name="Mapa de Serviços" sheetId="6" state="visible" r:id="rId8"/>
    <sheet name="Mapa de Marcas" sheetId="7" state="visible" r:id="rId9"/>
    <sheet name="Padrões de Marca" sheetId="8" state="visible" r:id="rId10"/>
    <sheet name="Camadas Programáticas" sheetId="9" state="visible" r:id="rId11"/>
    <sheet name="Marcas" sheetId="10" state="visible" r:id="rId12"/>
  </sheets>
  <definedNames>
    <definedName function="false" hidden="true" localSheetId="1" name="_xlnm._FilterDatabase" vbProcedure="false">Arquitetura!$A$1:$I$221</definedName>
    <definedName function="false" hidden="true" localSheetId="8" name="_xlnm._FilterDatabase" vbProcedure="false">'Camadas Programáticas'!$A$14:$N$272</definedName>
    <definedName function="false" hidden="true" localSheetId="4" name="_xlnm._FilterDatabase" vbProcedure="false">Hubs!$A$1:$M$14</definedName>
    <definedName function="false" hidden="true" localSheetId="6" name="_xlnm._FilterDatabase" vbProcedure="false">'Mapa de Marcas'!$A$1:$U$652</definedName>
    <definedName function="false" hidden="true" localSheetId="5" name="_xlnm._FilterDatabase" vbProcedure="false">'Mapa de Serviços'!$A$1:$T$935</definedName>
    <definedName function="false" hidden="true" localSheetId="9" name="_xlnm._FilterDatabase" vbProcedure="false">Marcas!$A$1:$R$234</definedName>
    <definedName function="false" hidden="true" localSheetId="7" name="_xlnm._FilterDatabase" vbProcedure="false">'Padrões de Marca'!$A$1:$O$132</definedName>
    <definedName function="false" hidden="true" localSheetId="3" name="_xlnm._FilterDatabase" vbProcedure="false">'Tipos de Página'!$A$1:$O$28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<sst xmlns="http://schemas.openxmlformats.org/spreadsheetml/2006/main" count="36575" uniqueCount="8811">
  <si>
    <t xml:space="preserve">MAPA DE SERVIÇOS, MARCAS, HUBS E ARQUITETURA DO SITE</t>
  </si>
  <si>
    <t xml:space="preserve">Empresa</t>
  </si>
  <si>
    <t xml:space="preserve">Vaff Engenharia</t>
  </si>
  <si>
    <t xml:space="preserve">Objetivo</t>
  </si>
  <si>
    <t xml:space="preserve">Reunir todos os serviços, termos relacionados, marcas, companhias e sistemas construtivos, com intenção de busca, tipo de página, URL e posição na arquitetura do site, para a Vaff Engenharia decidir o que publicar.</t>
  </si>
  <si>
    <t xml:space="preserve">ABAS</t>
  </si>
  <si>
    <t xml:space="preserve">Arquitetura</t>
  </si>
  <si>
    <t xml:space="preserve">Árvore completa do site: páginas institucionais, de conversão, de perfil, hubs de serviço, hub de marcas e regras de URL e links internos.</t>
  </si>
  <si>
    <t xml:space="preserve">Menu</t>
  </si>
  <si>
    <t xml:space="preserve">Menu principal, mega menu de serviços, mega menu de marcas e sistemas, menu mobile e rodapé.</t>
  </si>
  <si>
    <t xml:space="preserve">Tipos de Página</t>
  </si>
  <si>
    <t xml:space="preserve">Catálogo de todos os tipos de página usados nas outras abas: para que servem, blocos obrigatórios, CTA, dados estruturados, regra de publicação e quantas páginas de cada tipo existem.</t>
  </si>
  <si>
    <t xml:space="preserve">Hubs</t>
  </si>
  <si>
    <t xml:space="preserve">Resumo dos 12 hubs de serviço e do hub Marcas e Sistemas, com contagens automáticas a partir dos dois mapas.</t>
  </si>
  <si>
    <t xml:space="preserve">Mapa de Serviços</t>
  </si>
  <si>
    <t xml:space="preserve">Uma palavra por linha: pilares, subhubs, serviços, conteúdos e normas técnicas, com intenção, página, URL e prioridade.</t>
  </si>
  <si>
    <t xml:space="preserve">Mapa de Marcas</t>
  </si>
  <si>
    <t xml:space="preserve">Uma palavra por linha ligada a marca, companhia ou sistema construtivo: fabricantes, equipamentos, seguradoras, bancos, construtoras, concessionárias, órgãos públicos, entidades, plataformas e sistemas.</t>
  </si>
  <si>
    <t xml:space="preserve">Padrões de Marca</t>
  </si>
  <si>
    <t xml:space="preserve">Os modelos de palavra-chave usados para gerar o Mapa de Marcas, por categoria, com serviço âncora, tipo de página e regra de publicação. Serve para incluir novas marcas no futuro.</t>
  </si>
  <si>
    <t xml:space="preserve">Camadas Programáticas</t>
  </si>
  <si>
    <t xml:space="preserve">Resumo das camadas de páginas geradas por combinação, como serviço por cidade, marca por serviço e seguradora por sinistro, seguido da tabela de combinações de serviço por cidade e por bairro.</t>
  </si>
  <si>
    <t xml:space="preserve">Marcas</t>
  </si>
  <si>
    <t xml:space="preserve">Uma linha por marca ou operadora, com a primeira coluna sendo o nome da marca: hubs onde atua, categoria, exemplos de busca navegacional e comparativa, intenção, tipo de página, URL e nível na arquitetura.</t>
  </si>
  <si>
    <t xml:space="preserve">COMO PREENCHER</t>
  </si>
  <si>
    <t xml:space="preserve">Células amarelas</t>
  </si>
  <si>
    <t xml:space="preserve">As colunas Decisão Vaff e Observação são as únicas para preencher. Decisão aceita: Aprovar, Talvez ou Descartar.</t>
  </si>
  <si>
    <t xml:space="preserve">Exemplo de preenchimento</t>
  </si>
  <si>
    <t xml:space="preserve">Palavra: Laudo de rachaduras | Decisão Vaff: Aprovar | Observação: Já fazemos, definir preço a partir de com o Vlad.</t>
  </si>
  <si>
    <t xml:space="preserve">Filtros</t>
  </si>
  <si>
    <t xml:space="preserve">Todas as tabelas têm filtro no cabeçalho. Sugestão: filtrar por Hub e Prioridade sugerida e fazer a triagem por partes.</t>
  </si>
  <si>
    <t xml:space="preserve">LEGENDA DAS COLUNAS</t>
  </si>
  <si>
    <t xml:space="preserve">Intenção de busca</t>
  </si>
  <si>
    <t xml:space="preserve">Informacional: quer aprender. Comercial: está comparando antes de contratar. Transacional: quer contratar ou resolver agora. Navegacional: procura uma empresa, órgão ou marca específica.</t>
  </si>
  <si>
    <t xml:space="preserve">Estágio do funil</t>
  </si>
  <si>
    <t xml:space="preserve">Topo para informacional, Meio para comercial, Fundo para transacional e navegacional.</t>
  </si>
  <si>
    <t xml:space="preserve">Intenção por trás da busca</t>
  </si>
  <si>
    <t xml:space="preserve">O que a pessoa realmente quer resolver, o medo ou a pressão que a fez buscar. Base para o texto da página.</t>
  </si>
  <si>
    <t xml:space="preserve">Tipo de página</t>
  </si>
  <si>
    <t xml:space="preserve">Ver a aba Tipos de Página.</t>
  </si>
  <si>
    <t xml:space="preserve">Consolidar em</t>
  </si>
  <si>
    <t xml:space="preserve">Quando preenchida, o termo é sinônimo de outra página e vira seção dela, evitando que duas páginas disputem a mesma busca.</t>
  </si>
  <si>
    <t xml:space="preserve">Aderência sugerida</t>
  </si>
  <si>
    <t xml:space="preserve">Core: a Vaff já entrega. Adjacente: próximo do que entrega. Parceiro: entregar com parceiros. Fora: baixa aderência. Sugestão baseada na reunião de 21/09; a Vaff confirma na coluna Decisão.</t>
  </si>
  <si>
    <t xml:space="preserve">Prioridade sugerida</t>
  </si>
  <si>
    <t xml:space="preserve">Alta, Média ou Baixa, cruzando aderência, ICP e potencial de conversão. Não é volume de busca.</t>
  </si>
  <si>
    <t xml:space="preserve">Concorrência local</t>
  </si>
  <si>
    <t xml:space="preserve">Lacuna, em verde: não aparece nos sites dos concorrentes da Grande Florianópolis analisados em 24/09/2026, como UNA, Plage, Resulta, EnGiô, Case, Realiza, Clara, Reforma.com, Renovar, Deutsch, QCR, F5 e Tohrú. Comum: oferecido por vários deles. Não verificado: fora da amostra. Revisar a cada seis meses.</t>
  </si>
  <si>
    <t xml:space="preserve">CUIDADOS</t>
  </si>
  <si>
    <t xml:space="preserve">Marcas de terceiros</t>
  </si>
  <si>
    <t xml:space="preserve">Nas páginas com marcas, não sugerir parceria, credenciamento ou vínculo que não exista e não usar logotipos. Validar textos com o jurídico.</t>
  </si>
  <si>
    <t xml:space="preserve">Páginas programáticas</t>
  </si>
  <si>
    <t xml:space="preserve">Só publicar página local ou de marca com conteúdo único: obras reais, particularidades do local, especificação técnica. Página copiada com troca de nome é descartada pelo Google.</t>
  </si>
  <si>
    <t xml:space="preserve">Volume de busca</t>
  </si>
  <si>
    <t xml:space="preserve">Volumes e dificuldade devem ser levantados pela Turma Turbo antes de definir a ordem de produção.</t>
  </si>
  <si>
    <t xml:space="preserve">Google Meu Negócio</t>
  </si>
  <si>
    <t xml:space="preserve">A lista de serviços aprovada deve ser a mesma cadastrada no perfil do Google.</t>
  </si>
  <si>
    <t xml:space="preserve">Nível</t>
  </si>
  <si>
    <t xml:space="preserve">Seção do site</t>
  </si>
  <si>
    <t xml:space="preserve">Página</t>
  </si>
  <si>
    <t xml:space="preserve">URL</t>
  </si>
  <si>
    <t xml:space="preserve">Objetivo da página</t>
  </si>
  <si>
    <t xml:space="preserve">Persona principal</t>
  </si>
  <si>
    <t xml:space="preserve">CTA principal</t>
  </si>
  <si>
    <t xml:space="preserve">Links internos obrigatórios</t>
  </si>
  <si>
    <t xml:space="preserve">Home</t>
  </si>
  <si>
    <t xml:space="preserve">Página inicial</t>
  </si>
  <si>
    <t xml:space="preserve">/</t>
  </si>
  <si>
    <t xml:space="preserve">Posicionar a Vaff como engenharia de alto padrão livre de dor de cabeça, filtrar o público e distribuir para hubs, perfis e obras.</t>
  </si>
  <si>
    <t xml:space="preserve">Patrimonialista Ocupado, Síndico Profissional, Dono que Não Pode Parar</t>
  </si>
  <si>
    <t xml:space="preserve">Solicitar proposta</t>
  </si>
  <si>
    <t xml:space="preserve">Hubs principais, páginas de perfil, obras em destaque, depoimentos, sobre</t>
  </si>
  <si>
    <t xml:space="preserve">Serviços</t>
  </si>
  <si>
    <t xml:space="preserve">Todos os serviços</t>
  </si>
  <si>
    <t xml:space="preserve">/servicos/</t>
  </si>
  <si>
    <t xml:space="preserve">Índice de serviços</t>
  </si>
  <si>
    <t xml:space="preserve">Mostrar a amplitude da Vaff com os 12 hubs e os serviços mais procurados.</t>
  </si>
  <si>
    <t xml:space="preserve">Todos</t>
  </si>
  <si>
    <t xml:space="preserve">Todos os hubs</t>
  </si>
  <si>
    <t xml:space="preserve">Construção</t>
  </si>
  <si>
    <t xml:space="preserve">/construcao/</t>
  </si>
  <si>
    <t xml:space="preserve">Página pilar</t>
  </si>
  <si>
    <t xml:space="preserve">Ranquear para construtora de alto padrão em florianópolis e distribuir para subhubs e serviços. Execução de casas, edifícios e obras comerciais do zero, incluindo sistemas construtivos, fundações e áreas externas.</t>
  </si>
  <si>
    <t xml:space="preserve">Patrimonialista Ocupado, Recém-Chegado, Construtor por Paixão, Dono que Não Pode Parar, Incorporador Enxuto</t>
  </si>
  <si>
    <t xml:space="preserve">Subhubs do hub, 3 obras do tipo, artigos do hub, página de perfil relacionada</t>
  </si>
  <si>
    <t xml:space="preserve">Construção de casas de alto padrão</t>
  </si>
  <si>
    <t xml:space="preserve">/construcao/construcao-casas-alto-padrao/</t>
  </si>
  <si>
    <t xml:space="preserve">Página de subhub</t>
  </si>
  <si>
    <t xml:space="preserve">Quer construir a casa e está escolhendo em quem confiar. Pesquisa portfólio, processo, prazo e faixa de investimento antes de pedir proposta; o medo central é a obra sem fim e o orçamento que estoura.</t>
  </si>
  <si>
    <t xml:space="preserve">Patrimonialista Ocupado, Recém-Chegado, Construtor por Paixão</t>
  </si>
  <si>
    <t xml:space="preserve">Serviços do subhub, pilar do hub, conteúdos relacionados</t>
  </si>
  <si>
    <t xml:space="preserve">Sistemas construtivos</t>
  </si>
  <si>
    <t xml:space="preserve">/construcao/sistemas-construtivos/</t>
  </si>
  <si>
    <t xml:space="preserve">Já ouviu falar de um sistema construtivo e quer saber se vale a pena, quanto custa e quem executa com segurança. Está em fase de comparação técnica, aberto a ser educado.</t>
  </si>
  <si>
    <t xml:space="preserve">Recém-Chegado, Construtor por Paixão, Incorporador Enxuto</t>
  </si>
  <si>
    <t xml:space="preserve">Ambientes e anexos residenciais</t>
  </si>
  <si>
    <t xml:space="preserve">/construcao/ambientes-e-anexos-residenciais/</t>
  </si>
  <si>
    <t xml:space="preserve">Quer acrescentar um espaço de lazer ou uso específico à casa existente. Busca execução caprichada sem transtornar a rotina da família.</t>
  </si>
  <si>
    <t xml:space="preserve">Patrimonialista Ocupado, Construtor por Paixão</t>
  </si>
  <si>
    <t xml:space="preserve">Edifícios residenciais</t>
  </si>
  <si>
    <t xml:space="preserve">/construcao/edificios-residenciais/</t>
  </si>
  <si>
    <t xml:space="preserve">Investidor ou incorporador sem engenharia interna procurando quem execute ou gerencie um empreendimento. Avalia solidez, histórico e capacidade de cumprir cronograma.</t>
  </si>
  <si>
    <t xml:space="preserve">Incorporador Enxuto</t>
  </si>
  <si>
    <t xml:space="preserve">Obras comerciais e corporativas</t>
  </si>
  <si>
    <t xml:space="preserve">/construcao/obras-comerciais-e-corporativas/</t>
  </si>
  <si>
    <t xml:space="preserve">Dono de negócio ou gestor que precisa do espaço pronto na data certa. Procura experiência comprovada no mesmo tipo de obra e segurança nas aprovações.</t>
  </si>
  <si>
    <t xml:space="preserve">Dono que Não Pode Parar, Empresa que Chega, Incorporador Enxuto</t>
  </si>
  <si>
    <t xml:space="preserve">Obras de saúde</t>
  </si>
  <si>
    <t xml:space="preserve">/construcao/obras-saude/</t>
  </si>
  <si>
    <t xml:space="preserve">Profissional de saúde que vai abrir ou ampliar o espaço. Tem medo de reprovação na Vigilância Sanitária e de atrasar a agenda de pacientes.</t>
  </si>
  <si>
    <t xml:space="preserve">Dono que Não Pode Parar</t>
  </si>
  <si>
    <t xml:space="preserve">Obras educacionais e institucionais</t>
  </si>
  <si>
    <t xml:space="preserve">/construcao/obras-educacionais-e-institucionais/</t>
  </si>
  <si>
    <t xml:space="preserve">Mantenedora, diretoria ou entidade que precisa de obra defensável perante conselho e associados, com documentação impecável e prazo alinhado ao calendário.</t>
  </si>
  <si>
    <t xml:space="preserve">Instituição, Dono que Não Pode Parar</t>
  </si>
  <si>
    <t xml:space="preserve">Hotelaria e turismo</t>
  </si>
  <si>
    <t xml:space="preserve">/construcao/hotelaria-e-turismo/</t>
  </si>
  <si>
    <t xml:space="preserve">Empreendedor de hospedagem que precisa construir ou ampliar fora da temporada, com acabamento que resista ao uso intenso e gere boas avaliações.</t>
  </si>
  <si>
    <t xml:space="preserve">Dono de Pousada, Investidor de Renda</t>
  </si>
  <si>
    <t xml:space="preserve">Galpões e obras industriais</t>
  </si>
  <si>
    <t xml:space="preserve">/construcao/galpoes-e-obras-industriais/</t>
  </si>
  <si>
    <t xml:space="preserve">Empresa ou investidor que precisa de galpão funcional, rápido e com custo previsível; compara sistemas e prazos.</t>
  </si>
  <si>
    <t xml:space="preserve">Dono que Não Pode Parar, Incorporador Enxuto</t>
  </si>
  <si>
    <t xml:space="preserve">Fundações, contenções e terraplenagem</t>
  </si>
  <si>
    <t xml:space="preserve">/construcao/fundacoes-contencoes-e-terraplenagem/</t>
  </si>
  <si>
    <t xml:space="preserve">Tem terreno com desafio técnico, como aclive, solo arenoso ou lençol freático alto, e precisa resolver a base da obra com segurança antes de qualquer outra etapa.</t>
  </si>
  <si>
    <t xml:space="preserve">Patrimonialista Ocupado, Incorporador Enxuto</t>
  </si>
  <si>
    <t xml:space="preserve">Áreas externas e lazer</t>
  </si>
  <si>
    <t xml:space="preserve">/construcao/areas-externas-e-lazer/</t>
  </si>
  <si>
    <t xml:space="preserve">Quer finalizar o entorno da casa com o mesmo padrão do interior. Busca integração entre paisagismo, iluminação e pavimentos sem retrabalho.</t>
  </si>
  <si>
    <t xml:space="preserve">Patrimonialista Ocupado</t>
  </si>
  <si>
    <t xml:space="preserve">Páginas de serviço do hub</t>
  </si>
  <si>
    <t xml:space="preserve">/construcao/nome-do-servico/</t>
  </si>
  <si>
    <t xml:space="preserve">Página de serviço</t>
  </si>
  <si>
    <t xml:space="preserve">Converter a busca do serviço: dor, solução, processo, prova, preço a partir de quando possível, perguntas frequentes e formulário qualificado.</t>
  </si>
  <si>
    <t xml:space="preserve">Formulário do serviço</t>
  </si>
  <si>
    <t xml:space="preserve">Subhub pai, pilar do hub, 2 serviços relacionados, 2 artigos, obra relacionada</t>
  </si>
  <si>
    <t xml:space="preserve">Páginas locais e de marca</t>
  </si>
  <si>
    <t xml:space="preserve">/construcao/nome-do-servico/local-ou-marca/</t>
  </si>
  <si>
    <t xml:space="preserve">Página local ou de marca</t>
  </si>
  <si>
    <t xml:space="preserve">Capturar buscas com cidade, bairro, companhia ou marca com conteúdo único.</t>
  </si>
  <si>
    <t xml:space="preserve">Página do serviço pai e página da região</t>
  </si>
  <si>
    <t xml:space="preserve">Reformas</t>
  </si>
  <si>
    <t xml:space="preserve">/reformas/</t>
  </si>
  <si>
    <t xml:space="preserve">Ranquear para empresa de reforma de alto padrão e distribuir para subhubs e serviços. Reformas residenciais, comerciais e por ambiente, retrofit, acessibilidade e acabamentos.</t>
  </si>
  <si>
    <t xml:space="preserve">Patrimonialista Ocupado, Recém-Chegado, Proprietário à Distância, Dono que Não Pode Parar, Investidor de Renda</t>
  </si>
  <si>
    <t xml:space="preserve">Reformas residenciais</t>
  </si>
  <si>
    <t xml:space="preserve">/reformas/reformas-residenciais/</t>
  </si>
  <si>
    <t xml:space="preserve">Tem um imóvel que não atende mais ao padrão desejado e quer transformá-lo sem viver meses de caos. Compara empresas pela prova de obras semelhantes, pelo processo e pela segurança de prazo.</t>
  </si>
  <si>
    <t xml:space="preserve">Patrimonialista Ocupado, Recém-Chegado, Proprietário à Distância, Herdeiros, Investidor de Renda</t>
  </si>
  <si>
    <t xml:space="preserve">Reformas por ambiente</t>
  </si>
  <si>
    <t xml:space="preserve">/reformas/reformas-por-ambiente/</t>
  </si>
  <si>
    <t xml:space="preserve">Quer resolver um ambiente específico com acabamento de alto padrão. Pesquisa referências, custo aproximado e prazo; teme que uma reforma pequena vire uma grande dor de cabeça.</t>
  </si>
  <si>
    <t xml:space="preserve">Patrimonialista Ocupado, Recém-Chegado</t>
  </si>
  <si>
    <t xml:space="preserve">Ampliações</t>
  </si>
  <si>
    <t xml:space="preserve">/reformas/ampliacoes/</t>
  </si>
  <si>
    <t xml:space="preserve">Precisa de mais espaço sem mudar de endereço. Tem dúvidas sobre viabilidade estrutural, aprovação e se a estrutura existente suporta o acréscimo.</t>
  </si>
  <si>
    <t xml:space="preserve">Reformas comerciais</t>
  </si>
  <si>
    <t xml:space="preserve">/reformas/reformas-comerciais/</t>
  </si>
  <si>
    <t xml:space="preserve">Precisa reformar o espaço do negócio com o mínimo de tempo parado, muitas vezes com a operação funcionando. Prazo e aprovações pesam mais do que preço.</t>
  </si>
  <si>
    <t xml:space="preserve">Dono que Não Pode Parar, Empresa que Chega, Dono de Pousada, Instituição</t>
  </si>
  <si>
    <t xml:space="preserve">Reformas de áreas comuns</t>
  </si>
  <si>
    <t xml:space="preserve">/reformas/reformas-areas-comuns/</t>
  </si>
  <si>
    <t xml:space="preserve">Síndico com obra aprovada em assembleia buscando executor ou fiscal. Precisa justificar escolha e custo aos condôminos.</t>
  </si>
  <si>
    <t xml:space="preserve">Síndico Profissional, Administradora</t>
  </si>
  <si>
    <t xml:space="preserve">Retrofit e revitalização</t>
  </si>
  <si>
    <t xml:space="preserve">/reformas/retrofit-e-revitalizacao/</t>
  </si>
  <si>
    <t xml:space="preserve">Dono de imóvel antigo que quer atualizar sistemas e valor de mercado. Busca quem entenda de edificações existentes, patologias escondidas e restrições de patrimônio.</t>
  </si>
  <si>
    <t xml:space="preserve">Investidor de Renda, Incorporador Enxuto, Síndico Profissional</t>
  </si>
  <si>
    <t xml:space="preserve">Acessibilidade</t>
  </si>
  <si>
    <t xml:space="preserve">/reformas/acessibilidade/</t>
  </si>
  <si>
    <t xml:space="preserve">Família ou empresa que precisa adaptar o espaço com urgência, sem que a casa ou o negócio perca o padrão estético. Há carga emocional forte no caso residencial.</t>
  </si>
  <si>
    <t xml:space="preserve">Família que Adapta a Casa, Dono que Não Pode Parar, Síndico Profissional</t>
  </si>
  <si>
    <t xml:space="preserve">Acabamentos de alto padrão</t>
  </si>
  <si>
    <t xml:space="preserve">/reformas/acabamentos-alto-padrao/</t>
  </si>
  <si>
    <t xml:space="preserve">Quer um acabamento específico executado com perfeição, geralmente especificado pelo arquiteto. Busca mão de obra qualificada e gestão do detalhe.</t>
  </si>
  <si>
    <t xml:space="preserve">Patrimonialista Ocupado, Arquiteto</t>
  </si>
  <si>
    <t xml:space="preserve">Demolição</t>
  </si>
  <si>
    <t xml:space="preserve">/reformas/demolicao/</t>
  </si>
  <si>
    <t xml:space="preserve">Precisa remover estrutura ou edificação com segurança e documentação, sem danificar vizinhos nem partes que vão permanecer.</t>
  </si>
  <si>
    <t xml:space="preserve">/reformas/nome-do-servico/</t>
  </si>
  <si>
    <t xml:space="preserve">/reformas/nome-do-servico/local-ou-marca/</t>
  </si>
  <si>
    <t xml:space="preserve">Projetos de Engenharia</t>
  </si>
  <si>
    <t xml:space="preserve">/projetos/</t>
  </si>
  <si>
    <t xml:space="preserve">Ranquear para projetos de engenharia e distribuir para subhubs e serviços. Projetos complementares, estruturais, aprovações, compatibilização, orçamento e planejamento técnico.</t>
  </si>
  <si>
    <t xml:space="preserve">Travado pela Burocracia, Arquiteto, Incorporador Enxuto, Patrimonialista Ocupado</t>
  </si>
  <si>
    <t xml:space="preserve">Projetos estruturais</t>
  </si>
  <si>
    <t xml:space="preserve">/projetos/projetos-estruturais/</t>
  </si>
  <si>
    <t xml:space="preserve">Precisa do projeto para construir, ampliar ou aprovar. Quer preço claro, prazo curto e responsabilidade técnica; teme projeto superdimensionado que encarece a obra ou subdimensionado que coloca em risco.</t>
  </si>
  <si>
    <t xml:space="preserve">Patrimonialista Ocupado, Incorporador Enxuto, Arquiteto, Travado pela Burocracia</t>
  </si>
  <si>
    <t xml:space="preserve">Projetos elétricos</t>
  </si>
  <si>
    <t xml:space="preserve">/projetos/projetos-eletricos/</t>
  </si>
  <si>
    <t xml:space="preserve">Precisa do projeto elétrico para aprovar na concessionária, ligar energia, aumentar carga ou fazer a obra com segurança. Busca rapidez e aceitação do projeto.</t>
  </si>
  <si>
    <t xml:space="preserve">Travado pela Burocracia, Arquiteto, Dono que Não Pode Parar</t>
  </si>
  <si>
    <t xml:space="preserve">Projetos de sistemas e automação</t>
  </si>
  <si>
    <t xml:space="preserve">/projetos/projetos-sistemas-e-automacao/</t>
  </si>
  <si>
    <t xml:space="preserve">Quer infraestrutura pronta para tecnologia e segurança desde a obra, evitando quebrar parede depois. Busca integração com o projeto elétrico.</t>
  </si>
  <si>
    <t xml:space="preserve">Patrimonialista Ocupado, Dono que Não Pode Parar</t>
  </si>
  <si>
    <t xml:space="preserve">Projetos hidrossanitários</t>
  </si>
  <si>
    <t xml:space="preserve">/projetos/projetos-hidrossanitarios/</t>
  </si>
  <si>
    <t xml:space="preserve">Precisa do projeto de água e esgoto para aprovar, ligar na concessionária ou reformar banheiros e cozinhas. Valoriza projeto que evite vazamentos e retrabalho.</t>
  </si>
  <si>
    <t xml:space="preserve">Travado pela Burocracia, Arquiteto, Patrimonialista Ocupado</t>
  </si>
  <si>
    <t xml:space="preserve">Projetos de gás</t>
  </si>
  <si>
    <t xml:space="preserve">/projetos/projetos-gas/</t>
  </si>
  <si>
    <t xml:space="preserve">Precisa do projeto de gás para ligar a rede, instalar aquecedor ou aprovar a obra. Quer segurança e aceitação na concessionária.</t>
  </si>
  <si>
    <t xml:space="preserve">Travado pela Burocracia, Dono que Não Pode Parar</t>
  </si>
  <si>
    <t xml:space="preserve">Projetos preventivos contra incêndio</t>
  </si>
  <si>
    <t xml:space="preserve">/projetos/projetos-preventivos-contra-incendio/</t>
  </si>
  <si>
    <t xml:space="preserve">Está travado na aprovação dos Bombeiros ou precisa regularizar o imóvel para funcionar. Quer aprovação rápida e sem idas e vindas.</t>
  </si>
  <si>
    <t xml:space="preserve">Travado pela Burocracia, Dono que Não Pode Parar, Síndico Profissional</t>
  </si>
  <si>
    <t xml:space="preserve">Projetos de climatização e conforto</t>
  </si>
  <si>
    <t xml:space="preserve">/projetos/projetos-climatizacao-e-conforto/</t>
  </si>
  <si>
    <t xml:space="preserve">Quer conforto térmico e acústico planejado desde a obra, sem aparelhos improvisados. Busca integração com arquitetura e forro.</t>
  </si>
  <si>
    <t xml:space="preserve">Projetos especiais</t>
  </si>
  <si>
    <t xml:space="preserve">/projetos/projetos-especiais/</t>
  </si>
  <si>
    <t xml:space="preserve">Tem uma necessidade técnica específica, como piscina, elevador, impermeabilização ou infraestrutura, e quer um projeto que evite improviso na execução.</t>
  </si>
  <si>
    <t xml:space="preserve">Patrimonialista Ocupado, Família que Adapta a Casa, Incorporador Enxuto</t>
  </si>
  <si>
    <t xml:space="preserve">Projetos para aprovação</t>
  </si>
  <si>
    <t xml:space="preserve">/projetos/projetos-para-aprovacao/</t>
  </si>
  <si>
    <t xml:space="preserve">Tem um processo travado em órgão público ou concessionária. Quer um projeto que passe de primeira e alguém que acompanhe a aprovação.</t>
  </si>
  <si>
    <t xml:space="preserve">Travado pela Burocracia, Patrimonialista Ocupado, Dono que Não Pode Parar</t>
  </si>
  <si>
    <t xml:space="preserve">Coordenação e compatibilização</t>
  </si>
  <si>
    <t xml:space="preserve">/projetos/coordenacao-e-compatibilizacao/</t>
  </si>
  <si>
    <t xml:space="preserve">Tem projetos de várias disciplinas que não conversam entre si e teme descobrir os conflitos no meio da obra. Arquitetos e incorporadores são os mais sensíveis a essa dor.</t>
  </si>
  <si>
    <t xml:space="preserve">Arquiteto, Incorporador Enxuto, Patrimonialista Ocupado</t>
  </si>
  <si>
    <t xml:space="preserve">Orçamento e planejamento</t>
  </si>
  <si>
    <t xml:space="preserve">/projetos/orcamento-e-planejamento/</t>
  </si>
  <si>
    <t xml:space="preserve">Quer saber quanto a obra vai custar e quanto tempo vai levar antes de se comprometer. Busca números confiáveis para decidir, captar recursos ou comparar propostas.</t>
  </si>
  <si>
    <t xml:space="preserve">Patrimonialista Ocupado, Incorporador Enxuto, Síndico Profissional</t>
  </si>
  <si>
    <t xml:space="preserve">/projetos/nome-do-servico/</t>
  </si>
  <si>
    <t xml:space="preserve">/projetos/nome-do-servico/local-ou-marca/</t>
  </si>
  <si>
    <t xml:space="preserve">Laudos Técnicos</t>
  </si>
  <si>
    <t xml:space="preserve">/laudos-tecnicos/</t>
  </si>
  <si>
    <t xml:space="preserve">Ranquear para laudo técnico de engenharia e distribuir para subhubs e serviços. Laudos de patologias, estrutura, instalações, sinistros, vizinhança e finalidades legais.</t>
  </si>
  <si>
    <t xml:space="preserve">Assustado, Comprador Cauteloso, Vítima de Sinistro, Síndico Profissional, Advogado</t>
  </si>
  <si>
    <t xml:space="preserve">Laudos estruturais</t>
  </si>
  <si>
    <t xml:space="preserve">/laudos-tecnicos/laudos-estruturais/</t>
  </si>
  <si>
    <t xml:space="preserve">Viu um sinal de alerta na estrutura e quer saber se é grave. Busca resposta técnica rápida, confiável e independente; teme tanto a notícia ruim quanto ser enganado para vender uma obra.</t>
  </si>
  <si>
    <t xml:space="preserve">Assustado, Síndico Profissional, Comprador Cauteloso</t>
  </si>
  <si>
    <t xml:space="preserve">Laudos de umidade e patologias</t>
  </si>
  <si>
    <t xml:space="preserve">/laudos-tecnicos/laudos-umidade-e-patologias/</t>
  </si>
  <si>
    <t xml:space="preserve">Convive com mancha, mofo ou vazamento que volta sempre. Quer descobrir a causa real e quem é o responsável, muitas vezes para cobrar vizinho, condomínio ou construtora.</t>
  </si>
  <si>
    <t xml:space="preserve">Assustado, Síndico Profissional, Patrimonialista Ocupado</t>
  </si>
  <si>
    <t xml:space="preserve">Laudos de instalações</t>
  </si>
  <si>
    <t xml:space="preserve">/laudos-tecnicos/laudos-instalacoes/</t>
  </si>
  <si>
    <t xml:space="preserve">Precisa comprovar que as instalações são seguras, seja por exigência do condomínio, da seguradora, dos Bombeiros ou por um problema recorrente.</t>
  </si>
  <si>
    <t xml:space="preserve">Síndico Profissional, Dono que Não Pode Parar, Travado pela Burocracia</t>
  </si>
  <si>
    <t xml:space="preserve">Laudos de sinistro e seguros</t>
  </si>
  <si>
    <t xml:space="preserve">/laudos-tecnicos/laudos-sinistro-e-seguros/</t>
  </si>
  <si>
    <t xml:space="preserve">Sofreu um dano e está negociando com a seguradora ou com o causador. Quer um documento técnico que comprove e quantifique o prejuízo, principalmente se a indenização foi negada ou reduzida.</t>
  </si>
  <si>
    <t xml:space="preserve">Vítima de Sinistro, Síndico Profissional</t>
  </si>
  <si>
    <t xml:space="preserve">Laudos de vizinhança</t>
  </si>
  <si>
    <t xml:space="preserve">/laudos-tecnicos/laudos-vizinhanca/</t>
  </si>
  <si>
    <t xml:space="preserve">Existe uma obra ao lado, antes ou depois do dano. De um lado, quem constrói quer se proteger de reclamações; do outro, o vizinho quer prova para cobrar.</t>
  </si>
  <si>
    <t xml:space="preserve">Vizinho de Obra, Assustado, Incorporador Enxuto</t>
  </si>
  <si>
    <t xml:space="preserve">Laudos de conformidade e desempenho</t>
  </si>
  <si>
    <t xml:space="preserve">/laudos-tecnicos/laudos-conformidade-e-desempenho/</t>
  </si>
  <si>
    <t xml:space="preserve">Precisa demonstrar que a edificação atende a normas de desempenho, acessibilidade, acústica ou habitabilidade, para uso, venda, disputa ou aprovação.</t>
  </si>
  <si>
    <t xml:space="preserve">Síndico Profissional, Dono que Não Pode Parar, Recebedor de Chaves</t>
  </si>
  <si>
    <t xml:space="preserve">Laudos para finalidades legais</t>
  </si>
  <si>
    <t xml:space="preserve">/laudos-tecnicos/laudos-para-finalidades-legais/</t>
  </si>
  <si>
    <t xml:space="preserve">Precisa de um documento técnico para cumprir exigência de banco, cartório, inventário, processo judicial ou Defesa Civil. O que importa é o documento ser aceito.</t>
  </si>
  <si>
    <t xml:space="preserve">Travado pela Burocracia, Herdeiros, Advogado</t>
  </si>
  <si>
    <t xml:space="preserve">/laudos-tecnicos/nome-do-servico/</t>
  </si>
  <si>
    <t xml:space="preserve">/laudos-tecnicos/nome-do-servico/local-ou-marca/</t>
  </si>
  <si>
    <t xml:space="preserve">Vistorias e Inspeções</t>
  </si>
  <si>
    <t xml:space="preserve">/vistorias-e-inspecoes/</t>
  </si>
  <si>
    <t xml:space="preserve">Ranquear para vistoria técnica de imóveis e distribuir para subhubs e serviços. Vistorias de entrega, compra, locação, cautelares, inspeção predial e ensaios técnicos.</t>
  </si>
  <si>
    <t xml:space="preserve">Recebedor de Chaves, Comprador Cauteloso, Síndico Profissional, Vizinho de Obra</t>
  </si>
  <si>
    <t xml:space="preserve">Vistorias de entrega e recebimento</t>
  </si>
  <si>
    <t xml:space="preserve">/vistorias-e-inspecoes/vistorias-entrega-e-recebimento/</t>
  </si>
  <si>
    <t xml:space="preserve">Vai receber as chaves de um imóvel novo e tem medo de assinar o termo sem perceber defeitos. Quer um engenheiro ao lado na vistoria da construtora.</t>
  </si>
  <si>
    <t xml:space="preserve">Recebedor de Chaves, Síndico Profissional</t>
  </si>
  <si>
    <t xml:space="preserve">Vistorias de compra e locação</t>
  </si>
  <si>
    <t xml:space="preserve">/vistorias-e-inspecoes/vistorias-compra-e-locacao/</t>
  </si>
  <si>
    <t xml:space="preserve">Está prestes a comprar ou alugar e quer saber o que está levando. Muitas vezes usa o resultado para negociar preço ou estimar custo de reforma.</t>
  </si>
  <si>
    <t xml:space="preserve">Comprador Cauteloso, Recém-Chegado, Investidor de Renda, Corretor</t>
  </si>
  <si>
    <t xml:space="preserve">Vistorias técnicas</t>
  </si>
  <si>
    <t xml:space="preserve">/vistorias-e-inspecoes/vistorias-tecnicas/</t>
  </si>
  <si>
    <t xml:space="preserve">Precisa registrar o estado de um imóvel ou investigar um problema específico com método e equipamento adequados.</t>
  </si>
  <si>
    <t xml:space="preserve">Assustado, Vizinho de Obra, Patrimonialista Ocupado, Vítima de Sinistro</t>
  </si>
  <si>
    <t xml:space="preserve">Inspeções prediais e técnicas</t>
  </si>
  <si>
    <t xml:space="preserve">/vistorias-e-inspecoes/inspecoes-prediais-e-tecnicas/</t>
  </si>
  <si>
    <t xml:space="preserve">Síndico ou gestor que precisa de diagnóstico formal da edificação, para cumprir norma, planejar manutenção, justificar obra em assembleia ou atender seguradora.</t>
  </si>
  <si>
    <t xml:space="preserve">Síndico Profissional, Administradora, Instituição</t>
  </si>
  <si>
    <t xml:space="preserve">Ensaios e monitoramento</t>
  </si>
  <si>
    <t xml:space="preserve">/vistorias-e-inspecoes/ensaios-e-monitoramento/</t>
  </si>
  <si>
    <t xml:space="preserve">Precisa de dado técnico mensurável para fundamentar um laudo, uma disputa ou uma decisão de reforço estrutural.</t>
  </si>
  <si>
    <t xml:space="preserve">Síndico Profissional, Incorporador Enxuto, Advogado</t>
  </si>
  <si>
    <t xml:space="preserve">/vistorias-e-inspecoes/nome-do-servico/</t>
  </si>
  <si>
    <t xml:space="preserve">/vistorias-e-inspecoes/nome-do-servico/local-ou-marca/</t>
  </si>
  <si>
    <t xml:space="preserve">Perícias e Avaliações</t>
  </si>
  <si>
    <t xml:space="preserve">/pericias-e-avaliacoes/</t>
  </si>
  <si>
    <t xml:space="preserve">Ranquear para perícia de engenharia e distribuir para subhubs e serviços. Perícias judiciais e extrajudiciais, assistência técnica, pareceres e avaliação de imóveis.</t>
  </si>
  <si>
    <t xml:space="preserve">Advogado, Traído, Herdeiros, Comprador Cauteloso</t>
  </si>
  <si>
    <t xml:space="preserve">Perícias judiciais e extrajudiciais</t>
  </si>
  <si>
    <t xml:space="preserve">/pericias-e-avaliacoes/pericias-judiciais-e-extrajudiciais/</t>
  </si>
  <si>
    <t xml:space="preserve">Está em conflito, ou prestes a entrar em um, e precisa de fundamentação técnica que convença juiz, árbitro ou a outra parte.</t>
  </si>
  <si>
    <t xml:space="preserve">Advogado, Traído, Vizinho de Obra</t>
  </si>
  <si>
    <t xml:space="preserve">Pareceres técnicos</t>
  </si>
  <si>
    <t xml:space="preserve">/pericias-e-avaliacoes/pareceres-tecnicos/</t>
  </si>
  <si>
    <t xml:space="preserve">Quer uma opinião técnica formal sobre um contrato, uma obra ou uma disputa para decidir o próximo passo ou negociar com base sólida.</t>
  </si>
  <si>
    <t xml:space="preserve">Advogado, Traído, Síndico Profissional</t>
  </si>
  <si>
    <t xml:space="preserve">Avaliação de imóveis</t>
  </si>
  <si>
    <t xml:space="preserve">/pericias-e-avaliacoes/avaliacao-imoveis/</t>
  </si>
  <si>
    <t xml:space="preserve">Precisa saber o valor justo de um imóvel para comprar, vender, partilhar, integralizar em holding ou dar em garantia, com laudo aceito por terceiros.</t>
  </si>
  <si>
    <t xml:space="preserve">Herdeiros, Comprador Cauteloso, Patrimonialista Ocupado, Advogado</t>
  </si>
  <si>
    <t xml:space="preserve">/pericias-e-avaliacoes/nome-do-servico/</t>
  </si>
  <si>
    <t xml:space="preserve">/pericias-e-avaliacoes/nome-do-servico/local-ou-marca/</t>
  </si>
  <si>
    <t xml:space="preserve">Gestão e Fiscalização de Obras</t>
  </si>
  <si>
    <t xml:space="preserve">/gestao-de-obras/</t>
  </si>
  <si>
    <t xml:space="preserve">Ranquear para gestão de obras e distribuir para subhubs e serviços. Gestão, administração, fiscalização, auditoria, controle e responsabilidade técnica de obras.</t>
  </si>
  <si>
    <t xml:space="preserve">Patrimonialista Ocupado, Proprietário à Distância, Incorporador Enxuto, Síndico Profissional, Traído</t>
  </si>
  <si>
    <t xml:space="preserve">Gestão e administração de obras</t>
  </si>
  <si>
    <t xml:space="preserve">/gestao-de-obras/gestao-e-administracao-obras/</t>
  </si>
  <si>
    <t xml:space="preserve">Não quer se envolver no dia a dia da obra e procura quem assuma a responsabilidade por tudo. Compara modelos de contratação e quer entender quanto custa ter tranquilidade.</t>
  </si>
  <si>
    <t xml:space="preserve">Patrimonialista Ocupado, Recém-Chegado, Proprietário à Distância, Dono que Não Pode Parar</t>
  </si>
  <si>
    <t xml:space="preserve">Fiscalização e acompanhamento</t>
  </si>
  <si>
    <t xml:space="preserve">/gestao-de-obras/fiscalizacao-e-acompanhamento/</t>
  </si>
  <si>
    <t xml:space="preserve">Já tem alguém executando a obra e quer um olhar técnico independente para garantir que o que está sendo pago está sendo feito corretamente.</t>
  </si>
  <si>
    <t xml:space="preserve">Síndico Profissional, Traído, Incorporador Enxuto, Proprietário à Distância</t>
  </si>
  <si>
    <t xml:space="preserve">Auditoria e controle</t>
  </si>
  <si>
    <t xml:space="preserve">/gestao-de-obras/auditoria-e-controle/</t>
  </si>
  <si>
    <t xml:space="preserve">Desconfia que está pagando mais do que deveria ou perdeu o controle de prazo e custo. Quer diagnóstico objetivo e recuperação de controle.</t>
  </si>
  <si>
    <t xml:space="preserve">Incorporador Enxuto, Patrimonialista Ocupado, Traído</t>
  </si>
  <si>
    <t xml:space="preserve">Responsabilidade técnica</t>
  </si>
  <si>
    <t xml:space="preserve">/gestao-de-obras/responsabilidade-tecnica/</t>
  </si>
  <si>
    <t xml:space="preserve">Precisa de um engenheiro responsável formal pela obra, por exigência legal, do condomínio ou do banco, ou quer um profissional residente.</t>
  </si>
  <si>
    <t xml:space="preserve">Travado pela Burocracia, Incorporador Enxuto, Construtor por Paixão</t>
  </si>
  <si>
    <t xml:space="preserve">Obras paralisadas e retomadas</t>
  </si>
  <si>
    <t xml:space="preserve">/gestao-de-obras/obras-paralisadas-e-retomadas/</t>
  </si>
  <si>
    <t xml:space="preserve">A obra parou ou foi abandonada por outra empresa. Está frustrado, com dinheiro investido e sem saber o estado real do que foi feito.</t>
  </si>
  <si>
    <t xml:space="preserve">Traído, Incorporador Enxuto, Patrimonialista Ocupado</t>
  </si>
  <si>
    <t xml:space="preserve">Segurança do trabalho em obras</t>
  </si>
  <si>
    <t xml:space="preserve">/gestao-de-obras/seguranca-trabalho-em-obras/</t>
  </si>
  <si>
    <t xml:space="preserve">Quer se proteger de acidente e passivo trabalhista na obra, ou precisa cumprir exigência documental.</t>
  </si>
  <si>
    <t xml:space="preserve">Incorporador Enxuto, Patrimonialista Ocupado</t>
  </si>
  <si>
    <t xml:space="preserve">Pós-obra e garantia</t>
  </si>
  <si>
    <t xml:space="preserve">/gestao-de-obras/pos-obra-e-garantia/</t>
  </si>
  <si>
    <t xml:space="preserve">Terminou a obra e quer ter segurança sobre o que acontece se algo aparecer depois. Incorporadores precisam organizar a assistência técnica do empreendimento.</t>
  </si>
  <si>
    <t xml:space="preserve">Gestão de resíduos e obra limpa</t>
  </si>
  <si>
    <t xml:space="preserve">/gestao-de-obras/gestao-residuos-e-obra-limpa/</t>
  </si>
  <si>
    <t xml:space="preserve">Quer obra organizada e dentro das exigências ambientais, sem reclamações de vizinhos nem multas.</t>
  </si>
  <si>
    <t xml:space="preserve">/gestao-de-obras/nome-do-servico/</t>
  </si>
  <si>
    <t xml:space="preserve">/gestao-de-obras/nome-do-servico/local-ou-marca/</t>
  </si>
  <si>
    <t xml:space="preserve">Condomínios</t>
  </si>
  <si>
    <t xml:space="preserve">/condominios/</t>
  </si>
  <si>
    <t xml:space="preserve">Ranquear para engenharia para condomínios e distribuir para subhubs e serviços. Assessoria técnica a síndicos e administradoras, fiscalização, memorial, NBR 16280 e manutenção.</t>
  </si>
  <si>
    <t xml:space="preserve">Assessoria técnica ao síndico</t>
  </si>
  <si>
    <t xml:space="preserve">/condominios/assessoria-tecnica-ao-sindico/</t>
  </si>
  <si>
    <t xml:space="preserve">Síndico sem formação técnica que precisa decidir, justificar e fiscalizar obras. Compra proteção pessoal e autoridade perante assembleia e conselho.</t>
  </si>
  <si>
    <t xml:space="preserve">Fiscalização de obras em condomínio</t>
  </si>
  <si>
    <t xml:space="preserve">/condominios/fiscalizacao-obras-em-condominio/</t>
  </si>
  <si>
    <t xml:space="preserve">Assembleia aprovou uma obra e o síndico precisa garantir que a empreiteira entregue o combinado, com relatórios e base para notificar ou reter pagamento.</t>
  </si>
  <si>
    <t xml:space="preserve">Síndico Profissional</t>
  </si>
  <si>
    <t xml:space="preserve">Cotação e contratação de obras</t>
  </si>
  <si>
    <t xml:space="preserve">/condominios/cotacao-e-contratacao-obras/</t>
  </si>
  <si>
    <t xml:space="preserve">Recebeu orçamentos que não dá para comparar e teme escolher errado. Precisa de escopo único para cotar e de análise para defender a escolha.</t>
  </si>
  <si>
    <t xml:space="preserve">Reformas nas unidades e NBR 16280</t>
  </si>
  <si>
    <t xml:space="preserve">/condominios/reformas-nas-unidades-e-nbr-16280/</t>
  </si>
  <si>
    <t xml:space="preserve">Recebe planos de reforma dos moradores e não tem capacidade técnica para analisar. Está exposto a cada parede derrubada sem autorização.</t>
  </si>
  <si>
    <t xml:space="preserve">Planejamento de manutenção</t>
  </si>
  <si>
    <t xml:space="preserve">/condominios/planejamento-manutencao/</t>
  </si>
  <si>
    <t xml:space="preserve">Quer sair do modo apagar incêndio e ter um plano que proteja o prédio, o seguro e o síndico.</t>
  </si>
  <si>
    <t xml:space="preserve">Síndico Profissional, Administradora, Incorporador Enxuto</t>
  </si>
  <si>
    <t xml:space="preserve">Treinamentos e conteúdo técnico</t>
  </si>
  <si>
    <t xml:space="preserve">/condominios/treinamentos-e-conteudo-tecnico/</t>
  </si>
  <si>
    <t xml:space="preserve">Quer aprender a lidar com obras e normas, ou oferecer conhecimento à sua equipe e clientes.</t>
  </si>
  <si>
    <t xml:space="preserve">Síndico Profissional, Administradora, Arquiteto</t>
  </si>
  <si>
    <t xml:space="preserve">/condominios/nome-do-servico/</t>
  </si>
  <si>
    <t xml:space="preserve">/condominios/nome-do-servico/local-ou-marca/</t>
  </si>
  <si>
    <t xml:space="preserve">Consultoria Técnica</t>
  </si>
  <si>
    <t xml:space="preserve">/consultoria/</t>
  </si>
  <si>
    <t xml:space="preserve">Ranquear para consultoria em engenharia civil e distribuir para subhubs e serviços. Consultoria presencial, online e internacional, segunda opinião, viabilidade e treinamentos.</t>
  </si>
  <si>
    <t xml:space="preserve">Traído, Recém-Chegado, Construtor por Paixão, Incorporador Enxuto, Arquiteto</t>
  </si>
  <si>
    <t xml:space="preserve">Consultoria técnica</t>
  </si>
  <si>
    <t xml:space="preserve">/consultoria/consultoria-tecnica/</t>
  </si>
  <si>
    <t xml:space="preserve">Tem uma dúvida técnica séria e quer falar com um engenheiro experiente, sem necessariamente contratar uma obra. Valoriza independência e clareza.</t>
  </si>
  <si>
    <t xml:space="preserve">Traído, Recém-Chegado, Construtor por Paixão, Assustado</t>
  </si>
  <si>
    <t xml:space="preserve">Consultoria para decisões de compra e construção</t>
  </si>
  <si>
    <t xml:space="preserve">/consultoria/consultoria-para-decisoes-compra-e-construcao/</t>
  </si>
  <si>
    <t xml:space="preserve">Está diante de uma decisão cara, como comprar terreno, imóvel ou escolher construtora, e quer apoio técnico para não errar.</t>
  </si>
  <si>
    <t xml:space="preserve">Recém-Chegado, Comprador Cauteloso, Patrimonialista Ocupado</t>
  </si>
  <si>
    <t xml:space="preserve">Consultoria especializada</t>
  </si>
  <si>
    <t xml:space="preserve">/consultoria/consultoria-especializada/</t>
  </si>
  <si>
    <t xml:space="preserve">Enfrenta um problema técnico específico ou quer aplicar uma norma corretamente.</t>
  </si>
  <si>
    <t xml:space="preserve">Recém-Chegado, Síndico Profissional, Patrimonialista Ocupado</t>
  </si>
  <si>
    <t xml:space="preserve">Consultoria por segmento</t>
  </si>
  <si>
    <t xml:space="preserve">/consultoria/consultoria-por-segmento/</t>
  </si>
  <si>
    <t xml:space="preserve">Profissional de um segmento que precisa de um parceiro técnico recorrente, não de um serviço pontual.</t>
  </si>
  <si>
    <t xml:space="preserve">Incorporador Enxuto, Investidor de Renda, Síndico Profissional, Arquiteto</t>
  </si>
  <si>
    <t xml:space="preserve">Viabilidade e due diligence</t>
  </si>
  <si>
    <t xml:space="preserve">/consultoria/viabilidade-e-due-diligence/</t>
  </si>
  <si>
    <t xml:space="preserve">Vai investir em terreno ou empreendimento e precisa saber se o negócio para em pé técnica e financeiramente antes de assinar.</t>
  </si>
  <si>
    <t xml:space="preserve">Incorporador Enxuto, Investidor de Renda, Comprador Cauteloso</t>
  </si>
  <si>
    <t xml:space="preserve">Sustentabilidade e eficiência</t>
  </si>
  <si>
    <t xml:space="preserve">/consultoria/sustentabilidade-e-eficiencia/</t>
  </si>
  <si>
    <t xml:space="preserve">Quer reduzir custo de operação do imóvel ou agregar valor com certificação e eficiência.</t>
  </si>
  <si>
    <t xml:space="preserve">/consultoria/nome-do-servico/</t>
  </si>
  <si>
    <t xml:space="preserve">/consultoria/nome-do-servico/local-ou-marca/</t>
  </si>
  <si>
    <t xml:space="preserve">Regularização e Aprovações</t>
  </si>
  <si>
    <t xml:space="preserve">/regularizacao/</t>
  </si>
  <si>
    <t xml:space="preserve">Ranquear para regularização de imóveis e distribuir para subhubs e serviços. Alvarás, habite-se, averbação, CNO, Bombeiros, Vigilância Sanitária, ambiental e acessibilidade legal.</t>
  </si>
  <si>
    <t xml:space="preserve">Travado pela Burocracia, Patrimonialista Ocupado, Dono que Não Pode Parar, Herdeiros</t>
  </si>
  <si>
    <t xml:space="preserve">Regularização de obras e imóveis</t>
  </si>
  <si>
    <t xml:space="preserve">/regularizacao/regularizacao-obras-e-imoveis/</t>
  </si>
  <si>
    <t xml:space="preserve">Tem um imóvel ou ampliação irregular que trava venda, financiamento, inventário ou seguro. Quer resolver com o mínimo de burocracia possível.</t>
  </si>
  <si>
    <t xml:space="preserve">Travado pela Burocracia, Patrimonialista Ocupado, Herdeiros</t>
  </si>
  <si>
    <t xml:space="preserve">Alvarás e habite-se</t>
  </si>
  <si>
    <t xml:space="preserve">/regularizacao/alvaras-e-habite-se/</t>
  </si>
  <si>
    <t xml:space="preserve">Precisa da autorização para começar ou do documento final para ocupar e averbar. Qualquer atraso trava a obra ou a mudança.</t>
  </si>
  <si>
    <t xml:space="preserve">Registro e obrigações da obra</t>
  </si>
  <si>
    <t xml:space="preserve">/regularizacao/registro-e-obrigacoes-obra/</t>
  </si>
  <si>
    <t xml:space="preserve">Descobriu, geralmente no fim da obra, que precisa averbar a construção e regularizar a parte previdenciária. Quer evitar custos surpresa na Receita e no cartório.</t>
  </si>
  <si>
    <t xml:space="preserve">Patrimonialista Ocupado, Travado pela Burocracia</t>
  </si>
  <si>
    <t xml:space="preserve">Bombeiros e Vigilância Sanitária</t>
  </si>
  <si>
    <t xml:space="preserve">/regularizacao/bombeiros-e-vigilancia-sanitaria/</t>
  </si>
  <si>
    <t xml:space="preserve">Precisa do atestado para funcionar, renovar alvará ou abrir um estabelecimento de saúde. Uma reprovação significa portas fechadas.</t>
  </si>
  <si>
    <t xml:space="preserve">Dono que Não Pode Parar, Travado pela Burocracia, Síndico Profissional</t>
  </si>
  <si>
    <t xml:space="preserve">Terreno e ambiental</t>
  </si>
  <si>
    <t xml:space="preserve">/regularizacao/terreno-e-ambiental/</t>
  </si>
  <si>
    <t xml:space="preserve">Tem terreno com restrição ou precisa de licença ambiental. Em Florianópolis, marinha, APP e restinga são dores frequentes e pouco compreendidas.</t>
  </si>
  <si>
    <t xml:space="preserve">Recém-Chegado, Incorporador Enxuto, Patrimonialista Ocupado</t>
  </si>
  <si>
    <t xml:space="preserve">/regularizacao/nome-do-servico/</t>
  </si>
  <si>
    <t xml:space="preserve">/regularizacao/nome-do-servico/local-ou-marca/</t>
  </si>
  <si>
    <t xml:space="preserve">Recuperação e Manutenção</t>
  </si>
  <si>
    <t xml:space="preserve">/recuperacao-e-manutencao/</t>
  </si>
  <si>
    <t xml:space="preserve">Ranquear para manutenção e recuperação de edificações e distribuir para subhubs e serviços. Recuperação e reforço estrutural, impermeabilização, fachadas e manutenção predial.</t>
  </si>
  <si>
    <t xml:space="preserve">Síndico Profissional, Patrimonialista Ocupado, Proprietário à Distância, Assustado</t>
  </si>
  <si>
    <t xml:space="preserve">Recuperação e reforço estrutural</t>
  </si>
  <si>
    <t xml:space="preserve">/recuperacao-e-manutencao/recuperacao-e-reforco-estrutural/</t>
  </si>
  <si>
    <t xml:space="preserve">Recebeu um diagnóstico de problema estrutural e precisa corrigir com segurança. Quer saber o que fazer, quanto custa e se o imóvel continua habitável.</t>
  </si>
  <si>
    <t xml:space="preserve">Síndico Profissional, Assustado, Patrimonialista Ocupado</t>
  </si>
  <si>
    <t xml:space="preserve">Impermeabilização e umidade</t>
  </si>
  <si>
    <t xml:space="preserve">/recuperacao-e-manutencao/impermeabilizacao-e-umidade/</t>
  </si>
  <si>
    <t xml:space="preserve">Está cansado de infiltração que volta e quer resolver de vez. Desconfia de soluções paliativas e quer entender o sistema certo para o seu caso.</t>
  </si>
  <si>
    <t xml:space="preserve">Fachadas</t>
  </si>
  <si>
    <t xml:space="preserve">/recuperacao-e-manutencao/fachadas/</t>
  </si>
  <si>
    <t xml:space="preserve">Condomínio com fachada deteriorada, risco de desplacamento ou obra aprovada em assembleia. Precisa de solução técnica duradoura e que aguente a maresia.</t>
  </si>
  <si>
    <t xml:space="preserve">Manutenção predial</t>
  </si>
  <si>
    <t xml:space="preserve">/recuperacao-e-manutencao/manutencao-predial/</t>
  </si>
  <si>
    <t xml:space="preserve">Quer que alguém cuide do imóvel de forma contínua para evitar problemas maiores. Proprietários de casas de praia e condomínios são os mais sensíveis.</t>
  </si>
  <si>
    <t xml:space="preserve">Síndico Profissional, Proprietário à Distância, Patrimonialista Ocupado, Dono de Pousada</t>
  </si>
  <si>
    <t xml:space="preserve">/recuperacao-e-manutencao/nome-do-servico/</t>
  </si>
  <si>
    <t xml:space="preserve">/recuperacao-e-manutencao/nome-do-servico/local-ou-marca/</t>
  </si>
  <si>
    <t xml:space="preserve">Instalações e Sistemas</t>
  </si>
  <si>
    <t xml:space="preserve">/instalacoes/</t>
  </si>
  <si>
    <t xml:space="preserve">Ranquear para instalações prediais e distribuir para subhubs e serviços. Instalações elétricas, hidráulicas, gás, climatização, automação, energia solar e equipamentos.</t>
  </si>
  <si>
    <t xml:space="preserve">Patrimonialista Ocupado, Dono que Não Pode Parar, Síndico Profissional</t>
  </si>
  <si>
    <t xml:space="preserve">Instalações elétricas</t>
  </si>
  <si>
    <t xml:space="preserve">/instalacoes/instalacoes-eletricas/</t>
  </si>
  <si>
    <t xml:space="preserve">Tem instalação antiga, disjuntor que desarma, necessidade de mais carga ou equipamento novo. Quer segurança e evitar risco de incêndio.</t>
  </si>
  <si>
    <t xml:space="preserve">Energia solar e eficiência</t>
  </si>
  <si>
    <t xml:space="preserve">/instalacoes/energia-solar-e-eficiencia/</t>
  </si>
  <si>
    <t xml:space="preserve">Quer reduzir a conta de energia e aumentar autonomia. Compara retorno do investimento e confiabilidade da instalação.</t>
  </si>
  <si>
    <t xml:space="preserve">Automação e segurança</t>
  </si>
  <si>
    <t xml:space="preserve">/instalacoes/automacao-e-seguranca/</t>
  </si>
  <si>
    <t xml:space="preserve">Quer casa ou empresa inteligente e segura, com infraestrutura planejada e integrada.</t>
  </si>
  <si>
    <t xml:space="preserve">Instalações hidráulicas e gás</t>
  </si>
  <si>
    <t xml:space="preserve">/instalacoes/instalacoes-hidraulicas-e-gas/</t>
  </si>
  <si>
    <t xml:space="preserve">Tem vazamento, pressão fraca, água quente insuficiente ou precisa trocar tubulação antiga. Quer resolver sem quebrar mais do que o necessário.</t>
  </si>
  <si>
    <t xml:space="preserve">Patrimonialista Ocupado, Síndico Profissional</t>
  </si>
  <si>
    <t xml:space="preserve">Climatização e combate a incêndio</t>
  </si>
  <si>
    <t xml:space="preserve">/instalacoes/climatizacao-e-combate-a-incendio/</t>
  </si>
  <si>
    <t xml:space="preserve">Precisa de conforto térmico ou adequação de segurança contra incêndio com instalação correta e aprovável.</t>
  </si>
  <si>
    <t xml:space="preserve">Elevadores e acessibilidade vertical</t>
  </si>
  <si>
    <t xml:space="preserve">/instalacoes/elevadores-e-acessibilidade-vertical/</t>
  </si>
  <si>
    <t xml:space="preserve">Quer instalar elevador ou plataforma em casa existente, geralmente por acessibilidade. Teme a obra civil e a viabilidade estrutural.</t>
  </si>
  <si>
    <t xml:space="preserve">Família que Adapta a Casa, Patrimonialista Ocupado</t>
  </si>
  <si>
    <t xml:space="preserve">/instalacoes/nome-do-servico/</t>
  </si>
  <si>
    <t xml:space="preserve">/instalacoes/nome-do-servico/local-ou-marca/</t>
  </si>
  <si>
    <t xml:space="preserve">Marcas e Sistemas</t>
  </si>
  <si>
    <t xml:space="preserve">/marcas-e-sistemas/</t>
  </si>
  <si>
    <t xml:space="preserve">Capturar quem busca pelo nome do fabricante, do equipamento ou do sistema construtivo e mostrar o que a Vaff faz com cada um.</t>
  </si>
  <si>
    <t xml:space="preserve">Patrimonialista Ocupado, Arquiteto, Incorporador Enxuto, Síndico Profissional</t>
  </si>
  <si>
    <t xml:space="preserve">Categorias de marca, sistemas construtivos, hubs de serviço relacionados</t>
  </si>
  <si>
    <t xml:space="preserve">Tubos e conexões</t>
  </si>
  <si>
    <t xml:space="preserve">/marcas-e-sistemas/tubos-e-conexoes/</t>
  </si>
  <si>
    <t xml:space="preserve">Página de categoria de marca</t>
  </si>
  <si>
    <t xml:space="preserve">Grupo Materiais básicos e estruturais. Listar as marcas de tubos e conexões e os serviços ligados a cada uma.</t>
  </si>
  <si>
    <t xml:space="preserve">Páginas de marca da categoria e serviços âncora</t>
  </si>
  <si>
    <t xml:space="preserve">Marcas: Tigre, Amanco, Krona</t>
  </si>
  <si>
    <t xml:space="preserve">/marcas-e-sistemas/tubos-e-conexoes/nome-da-marca/</t>
  </si>
  <si>
    <t xml:space="preserve">Página de marca</t>
  </si>
  <si>
    <t xml:space="preserve">Uma página por marca com os serviços da Vaff ligados a ela, cada serviço como seção e com link para a página de serviço principal.</t>
  </si>
  <si>
    <t xml:space="preserve">Categoria, serviços âncora, obras que usaram a marca</t>
  </si>
  <si>
    <t xml:space="preserve">Cimento e concreto</t>
  </si>
  <si>
    <t xml:space="preserve">/marcas-e-sistemas/cimento-e-concreto/</t>
  </si>
  <si>
    <t xml:space="preserve">Grupo Materiais básicos e estruturais. Listar as marcas de cimento e concreto e os serviços ligados a cada uma.</t>
  </si>
  <si>
    <t xml:space="preserve">Marcas: Votorantim, Itambé, InterCement, CSN Cimentos</t>
  </si>
  <si>
    <t xml:space="preserve">/marcas-e-sistemas/cimento-e-concreto/nome-da-marca/</t>
  </si>
  <si>
    <t xml:space="preserve">Aço para construção</t>
  </si>
  <si>
    <t xml:space="preserve">/marcas-e-sistemas/aco-para-construcao/</t>
  </si>
  <si>
    <t xml:space="preserve">Grupo Materiais básicos e estruturais. Listar as marcas de aço para construção e os serviços ligados a cada uma.</t>
  </si>
  <si>
    <t xml:space="preserve">Marcas: Gerdau, ArcelorMittal, CSN</t>
  </si>
  <si>
    <t xml:space="preserve">/marcas-e-sistemas/aco-para-construcao/nome-da-marca/</t>
  </si>
  <si>
    <t xml:space="preserve">Revestimentos cerâmicos</t>
  </si>
  <si>
    <t xml:space="preserve">/marcas-e-sistemas/revestimentos-ceramicos/</t>
  </si>
  <si>
    <t xml:space="preserve">Grupo Acabamentos. Listar as marcas de revestimentos cerâmicos e os serviços ligados a cada uma.</t>
  </si>
  <si>
    <t xml:space="preserve">Marcas: Portobello, Eliane, Portinari, Decortiles, Incepa, Roca Cerâmica</t>
  </si>
  <si>
    <t xml:space="preserve">/marcas-e-sistemas/revestimentos-ceramicos/nome-da-marca/</t>
  </si>
  <si>
    <t xml:space="preserve">Metais e louças</t>
  </si>
  <si>
    <t xml:space="preserve">/marcas-e-sistemas/metais-e-loucas/</t>
  </si>
  <si>
    <t xml:space="preserve">Grupo Acabamentos. Listar as marcas de metais e louças e os serviços ligados a cada uma.</t>
  </si>
  <si>
    <t xml:space="preserve">Marcas: Deca, Docol, Lorenzetti, Tramontina, Celite, Roca, Grohe, Hansgrohe, Kohler</t>
  </si>
  <si>
    <t xml:space="preserve">/marcas-e-sistemas/metais-e-loucas/nome-da-marca/</t>
  </si>
  <si>
    <t xml:space="preserve">Argamassas e rejuntes</t>
  </si>
  <si>
    <t xml:space="preserve">/marcas-e-sistemas/argamassas-e-rejuntes/</t>
  </si>
  <si>
    <t xml:space="preserve">Grupo Acabamentos. Listar as marcas de argamassas e rejuntes e os serviços ligados a cada uma.</t>
  </si>
  <si>
    <t xml:space="preserve">Marcas: Quartzolit, Votomassa</t>
  </si>
  <si>
    <t xml:space="preserve">/marcas-e-sistemas/argamassas-e-rejuntes/nome-da-marca/</t>
  </si>
  <si>
    <t xml:space="preserve">Tintas</t>
  </si>
  <si>
    <t xml:space="preserve">/marcas-e-sistemas/tintas/</t>
  </si>
  <si>
    <t xml:space="preserve">Grupo Acabamentos. Listar as marcas de tintas e os serviços ligados a cada uma.</t>
  </si>
  <si>
    <t xml:space="preserve">Marcas: Suvinil, Coral, Sherwin-Williams, Lukscolor</t>
  </si>
  <si>
    <t xml:space="preserve">/marcas-e-sistemas/tintas/nome-da-marca/</t>
  </si>
  <si>
    <t xml:space="preserve">Drywall e forros</t>
  </si>
  <si>
    <t xml:space="preserve">/marcas-e-sistemas/drywall-e-forros/</t>
  </si>
  <si>
    <t xml:space="preserve">Grupo Acabamentos. Listar as marcas de drywall e forros e os serviços ligados a cada uma.</t>
  </si>
  <si>
    <t xml:space="preserve">Marcas: Placo, Knauf</t>
  </si>
  <si>
    <t xml:space="preserve">/marcas-e-sistemas/drywall-e-forros/nome-da-marca/</t>
  </si>
  <si>
    <t xml:space="preserve">Pisos de madeira e vinílicos</t>
  </si>
  <si>
    <t xml:space="preserve">/marcas-e-sistemas/pisos-madeira-e-vinilicos/</t>
  </si>
  <si>
    <t xml:space="preserve">Grupo Acabamentos. Listar as marcas de pisos de madeira e vinílicos e os serviços ligados a cada uma.</t>
  </si>
  <si>
    <t xml:space="preserve">Marcas: Durafloor, Eucafloor, Indusparquet, Tarkett, Quick-Step</t>
  </si>
  <si>
    <t xml:space="preserve">/marcas-e-sistemas/pisos-madeira-e-vinilicos/nome-da-marca/</t>
  </si>
  <si>
    <t xml:space="preserve">Superfícies e pedras</t>
  </si>
  <si>
    <t xml:space="preserve">/marcas-e-sistemas/superficies-e-pedras/</t>
  </si>
  <si>
    <t xml:space="preserve">Grupo Acabamentos. Listar as marcas de superfícies e pedras e os serviços ligados a cada uma.</t>
  </si>
  <si>
    <t xml:space="preserve">Marcas: Dekton, Silestone, Neolith</t>
  </si>
  <si>
    <t xml:space="preserve">/marcas-e-sistemas/superficies-e-pedras/nome-da-marca/</t>
  </si>
  <si>
    <t xml:space="preserve">Vidros</t>
  </si>
  <si>
    <t xml:space="preserve">/marcas-e-sistemas/vidros/</t>
  </si>
  <si>
    <t xml:space="preserve">Grupo Acabamentos. Listar as marcas de vidros e os serviços ligados a cada uma.</t>
  </si>
  <si>
    <t xml:space="preserve">Marcas: Cebrace, Guardian, Saint-Gobain Glass</t>
  </si>
  <si>
    <t xml:space="preserve">/marcas-e-sistemas/vidros/nome-da-marca/</t>
  </si>
  <si>
    <t xml:space="preserve">Painéis de madeira</t>
  </si>
  <si>
    <t xml:space="preserve">/marcas-e-sistemas/paineis-madeira/</t>
  </si>
  <si>
    <t xml:space="preserve">Grupo Acabamentos. Listar as marcas de painéis de madeira e os serviços ligados a cada uma.</t>
  </si>
  <si>
    <t xml:space="preserve">Marcas: Duratex, Arauco, Berneck</t>
  </si>
  <si>
    <t xml:space="preserve">/marcas-e-sistemas/paineis-madeira/nome-da-marca/</t>
  </si>
  <si>
    <t xml:space="preserve">Impermeabilizantes</t>
  </si>
  <si>
    <t xml:space="preserve">/marcas-e-sistemas/impermeabilizantes/</t>
  </si>
  <si>
    <t xml:space="preserve">Grupo Proteção e cobertura. Listar as marcas de impermeabilizantes e os serviços ligados a cada uma.</t>
  </si>
  <si>
    <t xml:space="preserve">Marcas: Viapol, Vedacit, Sika, Quartzolit, Denver Impermeabilizantes, MC-Bauchemie</t>
  </si>
  <si>
    <t xml:space="preserve">/marcas-e-sistemas/impermeabilizantes/nome-da-marca/</t>
  </si>
  <si>
    <t xml:space="preserve">Telhas e coberturas</t>
  </si>
  <si>
    <t xml:space="preserve">/marcas-e-sistemas/telhas-e-coberturas/</t>
  </si>
  <si>
    <t xml:space="preserve">Grupo Proteção e cobertura. Listar as marcas de telhas e coberturas e os serviços ligados a cada uma.</t>
  </si>
  <si>
    <t xml:space="preserve">Marcas: Brasilit, Eternit, Tégula, Owens Corning, IKO, Kingspan Isoeste</t>
  </si>
  <si>
    <t xml:space="preserve">/marcas-e-sistemas/telhas-e-coberturas/nome-da-marca/</t>
  </si>
  <si>
    <t xml:space="preserve">Elevadores</t>
  </si>
  <si>
    <t xml:space="preserve">/marcas-e-sistemas/elevadores/</t>
  </si>
  <si>
    <t xml:space="preserve">Grupo Equipamentos. Listar as marcas de elevadores e os serviços ligados a cada uma.</t>
  </si>
  <si>
    <t xml:space="preserve">Marcas: TK Elevator, Otis, Atlas Schindler, Daiken</t>
  </si>
  <si>
    <t xml:space="preserve">/marcas-e-sistemas/elevadores/nome-da-marca/</t>
  </si>
  <si>
    <t xml:space="preserve">Climatização</t>
  </si>
  <si>
    <t xml:space="preserve">/marcas-e-sistemas/climatizacao/</t>
  </si>
  <si>
    <t xml:space="preserve">Grupo Equipamentos. Listar as marcas de climatização e os serviços ligados a cada uma.</t>
  </si>
  <si>
    <t xml:space="preserve">Marcas: Daikin, LG, Samsung, Midea, Carrier, Fujitsu, Gree, Trane</t>
  </si>
  <si>
    <t xml:space="preserve">/marcas-e-sistemas/climatizacao/nome-da-marca/</t>
  </si>
  <si>
    <t xml:space="preserve">Aquecimento a gás</t>
  </si>
  <si>
    <t xml:space="preserve">/marcas-e-sistemas/aquecimento-a-gas/</t>
  </si>
  <si>
    <t xml:space="preserve">Grupo Equipamentos. Listar as marcas de aquecimento a gás e os serviços ligados a cada uma.</t>
  </si>
  <si>
    <t xml:space="preserve">Marcas: Rinnai, Komeco, Bosch</t>
  </si>
  <si>
    <t xml:space="preserve">/marcas-e-sistemas/aquecimento-a-gas/nome-da-marca/</t>
  </si>
  <si>
    <t xml:space="preserve">Geradores</t>
  </si>
  <si>
    <t xml:space="preserve">/marcas-e-sistemas/geradores/</t>
  </si>
  <si>
    <t xml:space="preserve">Grupo Equipamentos. Listar as marcas de geradores e os serviços ligados a cada uma.</t>
  </si>
  <si>
    <t xml:space="preserve">Marcas: WEG, Cummins, Stemac</t>
  </si>
  <si>
    <t xml:space="preserve">/marcas-e-sistemas/geradores/nome-da-marca/</t>
  </si>
  <si>
    <t xml:space="preserve">Energia solar</t>
  </si>
  <si>
    <t xml:space="preserve">/marcas-e-sistemas/energia-solar/</t>
  </si>
  <si>
    <t xml:space="preserve">Grupo Equipamentos. Listar as marcas de energia solar e os serviços ligados a cada uma.</t>
  </si>
  <si>
    <t xml:space="preserve">Marcas: WEG, Canadian Solar, Jinko Solar, Fronius, Growatt</t>
  </si>
  <si>
    <t xml:space="preserve">/marcas-e-sistemas/energia-solar/nome-da-marca/</t>
  </si>
  <si>
    <t xml:space="preserve">Automação</t>
  </si>
  <si>
    <t xml:space="preserve">/marcas-e-sistemas/automacao/</t>
  </si>
  <si>
    <t xml:space="preserve">Grupo Equipamentos. Listar as marcas de automação e os serviços ligados a cada uma.</t>
  </si>
  <si>
    <t xml:space="preserve">Marcas: Control4, Crestron, Savant, Lutron, Intelbras</t>
  </si>
  <si>
    <t xml:space="preserve">/marcas-e-sistemas/automacao/nome-da-marca/</t>
  </si>
  <si>
    <t xml:space="preserve">Segurança eletrônica</t>
  </si>
  <si>
    <t xml:space="preserve">/marcas-e-sistemas/seguranca-eletronica/</t>
  </si>
  <si>
    <t xml:space="preserve">Grupo Equipamentos. Listar as marcas de segurança eletrônica e os serviços ligados a cada uma.</t>
  </si>
  <si>
    <t xml:space="preserve">Marcas: Intelbras, Hikvision</t>
  </si>
  <si>
    <t xml:space="preserve">/marcas-e-sistemas/seguranca-eletronica/nome-da-marca/</t>
  </si>
  <si>
    <t xml:space="preserve">Material elétrico</t>
  </si>
  <si>
    <t xml:space="preserve">/marcas-e-sistemas/material-eletrico/</t>
  </si>
  <si>
    <t xml:space="preserve">Grupo Equipamentos. Listar as marcas de material elétrico e os serviços ligados a cada uma.</t>
  </si>
  <si>
    <t xml:space="preserve">Marcas: Schneider Electric, Legrand, Pial Legrand, Siemens, WEG</t>
  </si>
  <si>
    <t xml:space="preserve">/marcas-e-sistemas/material-eletrico/nome-da-marca/</t>
  </si>
  <si>
    <t xml:space="preserve">Piscinas</t>
  </si>
  <si>
    <t xml:space="preserve">/marcas-e-sistemas/piscinas/</t>
  </si>
  <si>
    <t xml:space="preserve">Grupo Equipamentos. Listar as marcas de piscinas e os serviços ligados a cada uma.</t>
  </si>
  <si>
    <t xml:space="preserve">Marcas: Sodramar, Nautilus, Jacuzzi, Dancor</t>
  </si>
  <si>
    <t xml:space="preserve">/marcas-e-sistemas/piscinas/nome-da-marca/</t>
  </si>
  <si>
    <t xml:space="preserve">/marcas-e-sistemas/sistemas-construtivos/</t>
  </si>
  <si>
    <t xml:space="preserve">Comparar os sistemas construtivos e levar ao sistema escolhido.</t>
  </si>
  <si>
    <t xml:space="preserve">Páginas de sistema</t>
  </si>
  <si>
    <t xml:space="preserve">Sistemas: Steel frame, Wood frame, Estrutura metálica, Concreto armado, Alvenaria estrutural, Madeira laminada cruzada, Pré-moldado de concreto, Paredes de concreto, Concreto protendido, Laje nervurada, Laje alveolar, Construção a seco, Casa modular, Bloco de concreto celular, Painel de EPS, Tijolo ecológico, Fachada ventilada, Telhado verde, Telhado shingle, Telha termoacústica</t>
  </si>
  <si>
    <t xml:space="preserve">/marcas-e-sistemas/sistemas-construtivos/nome-do-sistema/</t>
  </si>
  <si>
    <t xml:space="preserve">Página de sistema construtivo</t>
  </si>
  <si>
    <t xml:space="preserve">Uma página por sistema com construção, projeto, custo, laudo e reforma naquele sistema.</t>
  </si>
  <si>
    <t xml:space="preserve">Construção, projeto estrutural, obras no sistema, artigo vale a pena</t>
  </si>
  <si>
    <t xml:space="preserve">Página de marca ou sistema por serviço</t>
  </si>
  <si>
    <t xml:space="preserve">/marcas-e-sistemas/categoria/marca/servico/</t>
  </si>
  <si>
    <t xml:space="preserve">Página de marca por serviço</t>
  </si>
  <si>
    <t xml:space="preserve">Só para combinações com demanda própria, como assentamento ou laudo de porcelanato de uma marca. As demais ficam como seção da página da marca.</t>
  </si>
  <si>
    <t xml:space="preserve">Página da marca e página de serviço principal</t>
  </si>
  <si>
    <t xml:space="preserve">Para você</t>
  </si>
  <si>
    <t xml:space="preserve">Soluções por perfil</t>
  </si>
  <si>
    <t xml:space="preserve">/para-voce/</t>
  </si>
  <si>
    <t xml:space="preserve">Índice de perfis</t>
  </si>
  <si>
    <t xml:space="preserve">Deixar cada visitante se identificar em um clique.</t>
  </si>
  <si>
    <t xml:space="preserve">Escolher perfil</t>
  </si>
  <si>
    <t xml:space="preserve">Páginas de perfil</t>
  </si>
  <si>
    <t xml:space="preserve">Para proprietários</t>
  </si>
  <si>
    <t xml:space="preserve">/para-proprietarios/</t>
  </si>
  <si>
    <t xml:space="preserve">Página de persona</t>
  </si>
  <si>
    <t xml:space="preserve">Falar com quem vai construir ou reformar a casa: tranquilidade, processo, prova e pré-requisitos.</t>
  </si>
  <si>
    <t xml:space="preserve">Patrimonialista Ocupado, Recém-Chegado, Proprietário à Distância, Construtor por Paixão</t>
  </si>
  <si>
    <t xml:space="preserve">Hubs e serviços da persona, obras do tipo, depoimentos do perfil, guia para download</t>
  </si>
  <si>
    <t xml:space="preserve">Para síndicos e administradoras</t>
  </si>
  <si>
    <t xml:space="preserve">/para-sindicos/</t>
  </si>
  <si>
    <t xml:space="preserve">Mostrar a engenharia que protege o síndico: fiscalização, memorial, NBR 16280 e relatórios para assembleia.</t>
  </si>
  <si>
    <t xml:space="preserve">Para empresas</t>
  </si>
  <si>
    <t xml:space="preserve">/para-empresas/</t>
  </si>
  <si>
    <t xml:space="preserve">Obras comerciais e de saúde com prazo, aprovações e operação preservada.</t>
  </si>
  <si>
    <t xml:space="preserve">Dono que Não Pode Parar, Empresa que Chega, Instituição</t>
  </si>
  <si>
    <t xml:space="preserve">Para incorporadores e investidores</t>
  </si>
  <si>
    <t xml:space="preserve">/para-incorporadores/</t>
  </si>
  <si>
    <t xml:space="preserve">Engenharia completa para quem não tem equipe interna: projetos, gestão, medição e pós-obra.</t>
  </si>
  <si>
    <t xml:space="preserve">Incorporador Enxuto, Investidor de Renda</t>
  </si>
  <si>
    <t xml:space="preserve">Para arquitetos</t>
  </si>
  <si>
    <t xml:space="preserve">/para-arquitetos/</t>
  </si>
  <si>
    <t xml:space="preserve">Execução fiel ao projeto, comunicação e compatibilização. Sem listar arquitetos parceiros.</t>
  </si>
  <si>
    <t xml:space="preserve">Arquiteto</t>
  </si>
  <si>
    <t xml:space="preserve">Para advogados</t>
  </si>
  <si>
    <t xml:space="preserve">/para-advogados/</t>
  </si>
  <si>
    <t xml:space="preserve">Laudos, pareceres e assistência técnica em perícias.</t>
  </si>
  <si>
    <t xml:space="preserve">Advogado</t>
  </si>
  <si>
    <t xml:space="preserve">Para corretores</t>
  </si>
  <si>
    <t xml:space="preserve">/para-corretores/</t>
  </si>
  <si>
    <t xml:space="preserve">Vistoria e estimativa de reforma para destravar vendas.</t>
  </si>
  <si>
    <t xml:space="preserve">Corretor</t>
  </si>
  <si>
    <t xml:space="preserve">Para quem mora fora</t>
  </si>
  <si>
    <t xml:space="preserve">/para-quem-mora-fora/</t>
  </si>
  <si>
    <t xml:space="preserve">Gestão e consultoria à distância, relatórios e atendimento internacional.</t>
  </si>
  <si>
    <t xml:space="preserve">Proprietário à Distância, Estrangeiro</t>
  </si>
  <si>
    <t xml:space="preserve">Obras</t>
  </si>
  <si>
    <t xml:space="preserve">Portfólio</t>
  </si>
  <si>
    <t xml:space="preserve">/obras/</t>
  </si>
  <si>
    <t xml:space="preserve">Provar execução com obras reais por tipo, antes e depois e contexto.</t>
  </si>
  <si>
    <t xml:space="preserve">Ver obra</t>
  </si>
  <si>
    <t xml:space="preserve">Categorias de obras</t>
  </si>
  <si>
    <t xml:space="preserve">Obras residenciais</t>
  </si>
  <si>
    <t xml:space="preserve">/obras/residenciais/</t>
  </si>
  <si>
    <t xml:space="preserve">Categoria de portfólio</t>
  </si>
  <si>
    <t xml:space="preserve">Agrupar cases de obras residenciais para o visitante que busca experiência no mesmo tipo.</t>
  </si>
  <si>
    <t xml:space="preserve">Cases da categoria e hub correspondente</t>
  </si>
  <si>
    <t xml:space="preserve">Obras comerciais</t>
  </si>
  <si>
    <t xml:space="preserve">/obras/comerciais/</t>
  </si>
  <si>
    <t xml:space="preserve">Agrupar cases de obras comerciais para o visitante que busca experiência no mesmo tipo.</t>
  </si>
  <si>
    <t xml:space="preserve">Obras saúde</t>
  </si>
  <si>
    <t xml:space="preserve">/obras/saude/</t>
  </si>
  <si>
    <t xml:space="preserve">Agrupar cases de obras saúde para o visitante que busca experiência no mesmo tipo.</t>
  </si>
  <si>
    <t xml:space="preserve">Obras educação</t>
  </si>
  <si>
    <t xml:space="preserve">/obras/educacao/</t>
  </si>
  <si>
    <t xml:space="preserve">Agrupar cases de obras educação para o visitante que busca experiência no mesmo tipo.</t>
  </si>
  <si>
    <t xml:space="preserve">Obras condomínios</t>
  </si>
  <si>
    <t xml:space="preserve">/obras/condominios/</t>
  </si>
  <si>
    <t xml:space="preserve">Agrupar cases de obras condomínios para o visitante que busca experiência no mesmo tipo.</t>
  </si>
  <si>
    <t xml:space="preserve">Obras edifícios</t>
  </si>
  <si>
    <t xml:space="preserve">/obras/edificios/</t>
  </si>
  <si>
    <t xml:space="preserve">Agrupar cases de obras edifícios para o visitante que busca experiência no mesmo tipo.</t>
  </si>
  <si>
    <t xml:space="preserve">Obras galpões</t>
  </si>
  <si>
    <t xml:space="preserve">/obras/galpoes/</t>
  </si>
  <si>
    <t xml:space="preserve">Agrupar cases de obras galpões para o visitante que busca experiência no mesmo tipo.</t>
  </si>
  <si>
    <t xml:space="preserve">Obras obras premiadas</t>
  </si>
  <si>
    <t xml:space="preserve">/obras/obras-premiadas/</t>
  </si>
  <si>
    <t xml:space="preserve">Agrupar cases de obras obras premiadas para o visitante que busca experiência no mesmo tipo.</t>
  </si>
  <si>
    <t xml:space="preserve">Obras fora de santa catarina</t>
  </si>
  <si>
    <t xml:space="preserve">/obras/fora-santa-catarina/</t>
  </si>
  <si>
    <t xml:space="preserve">Agrupar cases de obras fora de santa catarina para o visitante que busca experiência no mesmo tipo.</t>
  </si>
  <si>
    <t xml:space="preserve">Case individual</t>
  </si>
  <si>
    <t xml:space="preserve">/obras/categoria/nome-da-obra/</t>
  </si>
  <si>
    <t xml:space="preserve">Case</t>
  </si>
  <si>
    <t xml:space="preserve">Contar a obra: desafio, solução, prazo, fotos, depoimento e serviços usados.</t>
  </si>
  <si>
    <t xml:space="preserve">Quero uma obra assim</t>
  </si>
  <si>
    <t xml:space="preserve">Serviços usados na obra, categoria, obras semelhantes</t>
  </si>
  <si>
    <t xml:space="preserve">Sobre</t>
  </si>
  <si>
    <t xml:space="preserve">Sobre a Vaff</t>
  </si>
  <si>
    <t xml:space="preserve">/sobre/</t>
  </si>
  <si>
    <t xml:space="preserve">Institucional</t>
  </si>
  <si>
    <t xml:space="preserve">História desde 2014, filosofia, triângulo preço, prazo e qualidade, para quem a Vaff é e para quem não é.</t>
  </si>
  <si>
    <t xml:space="preserve">Equipe, método, reconhecimentos, depoimentos</t>
  </si>
  <si>
    <t xml:space="preserve">Equipe técnica</t>
  </si>
  <si>
    <t xml:space="preserve">/sobre/equipe/</t>
  </si>
  <si>
    <t xml:space="preserve">Engenheiros com nome, foto, formação e registro no conselho.</t>
  </si>
  <si>
    <t xml:space="preserve">Sobre, hubs, obras</t>
  </si>
  <si>
    <t xml:space="preserve">Como trabalhamos</t>
  </si>
  <si>
    <t xml:space="preserve">/sobre/metodo/</t>
  </si>
  <si>
    <t xml:space="preserve">Processo do primeiro contato à entrega, relatórios, compras e aditivos explicados.</t>
  </si>
  <si>
    <t xml:space="preserve">Reconhecimentos e eventos</t>
  </si>
  <si>
    <t xml:space="preserve">/sobre/reconhecimentos/</t>
  </si>
  <si>
    <t xml:space="preserve">Prêmios, BNI, Clube M, eventos, patrocínios e associações com fotos e datas.</t>
  </si>
  <si>
    <t xml:space="preserve">Depoimentos</t>
  </si>
  <si>
    <t xml:space="preserve">/sobre/depoimentos/</t>
  </si>
  <si>
    <t xml:space="preserve">Prints de depoimentos, avaliações do Google e vídeos de clientes.</t>
  </si>
  <si>
    <t xml:space="preserve">Garantia e pós-obra</t>
  </si>
  <si>
    <t xml:space="preserve">/sobre/garantia/</t>
  </si>
  <si>
    <t xml:space="preserve">O que acontece depois da entrega.</t>
  </si>
  <si>
    <t xml:space="preserve">Conteúdo</t>
  </si>
  <si>
    <t xml:space="preserve">Blog</t>
  </si>
  <si>
    <t xml:space="preserve">/blog/</t>
  </si>
  <si>
    <t xml:space="preserve">Captar topo de funil e responder às dúvidas do ICP.</t>
  </si>
  <si>
    <t xml:space="preserve">Ler artigo</t>
  </si>
  <si>
    <t xml:space="preserve">Categorias por hub</t>
  </si>
  <si>
    <t xml:space="preserve">Artigo</t>
  </si>
  <si>
    <t xml:space="preserve">/blog/nome-do-artigo/</t>
  </si>
  <si>
    <t xml:space="preserve">Artigo de blog</t>
  </si>
  <si>
    <t xml:space="preserve">Responder uma dúvida e levar para o serviço.</t>
  </si>
  <si>
    <t xml:space="preserve">Página de serviço relacionada</t>
  </si>
  <si>
    <t xml:space="preserve">Serviço relacionado, pilar do hub, 2 artigos, guia</t>
  </si>
  <si>
    <t xml:space="preserve">Guias</t>
  </si>
  <si>
    <t xml:space="preserve">/guias/</t>
  </si>
  <si>
    <t xml:space="preserve">Biblioteca de iscas</t>
  </si>
  <si>
    <t xml:space="preserve">Trocar materiais práticos por contato qualificado.</t>
  </si>
  <si>
    <t xml:space="preserve">Baixar guia</t>
  </si>
  <si>
    <t xml:space="preserve">Guias por persona</t>
  </si>
  <si>
    <t xml:space="preserve">Ferramentas</t>
  </si>
  <si>
    <t xml:space="preserve">/ferramentas/</t>
  </si>
  <si>
    <t xml:space="preserve">Calculadoras de custo que qualificam pela faixa de investimento.</t>
  </si>
  <si>
    <t xml:space="preserve">Calcular</t>
  </si>
  <si>
    <t xml:space="preserve">Calculadoras</t>
  </si>
  <si>
    <t xml:space="preserve">Perguntas frequentes</t>
  </si>
  <si>
    <t xml:space="preserve">/perguntas-frequentes/</t>
  </si>
  <si>
    <t xml:space="preserve">FAQ</t>
  </si>
  <si>
    <t xml:space="preserve">Centralizar as dúvidas do banco de perguntas, com links para os serviços.</t>
  </si>
  <si>
    <t xml:space="preserve">Serviços citados em cada resposta</t>
  </si>
  <si>
    <t xml:space="preserve">Regiões</t>
  </si>
  <si>
    <t xml:space="preserve">Regiões atendidas</t>
  </si>
  <si>
    <t xml:space="preserve">/regioes/</t>
  </si>
  <si>
    <t xml:space="preserve">Índice de regiões</t>
  </si>
  <si>
    <t xml:space="preserve">Mostrar a abrangência e as regras de atendimento por distância.</t>
  </si>
  <si>
    <t xml:space="preserve">Páginas de cidade</t>
  </si>
  <si>
    <t xml:space="preserve">Florianópolis</t>
  </si>
  <si>
    <t xml:space="preserve">/regioes/florianopolis/</t>
  </si>
  <si>
    <t xml:space="preserve">Página de região</t>
  </si>
  <si>
    <t xml:space="preserve">Reunir serviços e obras em Florianópolis, com particularidades locais.</t>
  </si>
  <si>
    <t xml:space="preserve">Páginas locais dos serviços da cidade, obras na cidade</t>
  </si>
  <si>
    <t xml:space="preserve">São José</t>
  </si>
  <si>
    <t xml:space="preserve">/regioes/sao-jose/</t>
  </si>
  <si>
    <t xml:space="preserve">Reunir serviços e obras em São José, com particularidades locais.</t>
  </si>
  <si>
    <t xml:space="preserve">Palhoça</t>
  </si>
  <si>
    <t xml:space="preserve">/regioes/palhoca/</t>
  </si>
  <si>
    <t xml:space="preserve">Reunir serviços e obras em Palhoça, com particularidades locais.</t>
  </si>
  <si>
    <t xml:space="preserve">Biguaçu</t>
  </si>
  <si>
    <t xml:space="preserve">/regioes/biguacu/</t>
  </si>
  <si>
    <t xml:space="preserve">Reunir serviços e obras em Biguaçu, com particularidades locais.</t>
  </si>
  <si>
    <t xml:space="preserve">Governador Celso Ramos</t>
  </si>
  <si>
    <t xml:space="preserve">/regioes/governador-celso-ramos/</t>
  </si>
  <si>
    <t xml:space="preserve">Reunir serviços e obras em Governador Celso Ramos, com particularidades locais.</t>
  </si>
  <si>
    <t xml:space="preserve">Santo Amaro da Imperatriz</t>
  </si>
  <si>
    <t xml:space="preserve">/regioes/santo-amaro-imperatriz/</t>
  </si>
  <si>
    <t xml:space="preserve">Reunir serviços e obras em Santo Amaro da Imperatriz, com particularidades locais.</t>
  </si>
  <si>
    <t xml:space="preserve">Balneário Camboriú</t>
  </si>
  <si>
    <t xml:space="preserve">/regioes/balneario-camboriu/</t>
  </si>
  <si>
    <t xml:space="preserve">Reunir serviços e obras em Balneário Camboriú, com particularidades locais.</t>
  </si>
  <si>
    <t xml:space="preserve">Itajaí</t>
  </si>
  <si>
    <t xml:space="preserve">/regioes/itajai/</t>
  </si>
  <si>
    <t xml:space="preserve">Reunir serviços e obras em Itajaí, com particularidades locais.</t>
  </si>
  <si>
    <t xml:space="preserve">Joinville</t>
  </si>
  <si>
    <t xml:space="preserve">/regioes/joinville/</t>
  </si>
  <si>
    <t xml:space="preserve">Reunir serviços e obras em Joinville, com particularidades locais.</t>
  </si>
  <si>
    <t xml:space="preserve">Blumenau</t>
  </si>
  <si>
    <t xml:space="preserve">/regioes/blumenau/</t>
  </si>
  <si>
    <t xml:space="preserve">Reunir serviços e obras em Blumenau, com particularidades locais.</t>
  </si>
  <si>
    <t xml:space="preserve">Itapema</t>
  </si>
  <si>
    <t xml:space="preserve">/regioes/itapema/</t>
  </si>
  <si>
    <t xml:space="preserve">Reunir serviços e obras em Itapema, com particularidades locais.</t>
  </si>
  <si>
    <t xml:space="preserve">Contato</t>
  </si>
  <si>
    <t xml:space="preserve">/contato/</t>
  </si>
  <si>
    <t xml:space="preserve">Canais, endereço, CNPJ, registro no conselho e mapa.</t>
  </si>
  <si>
    <t xml:space="preserve">Enviar mensagem</t>
  </si>
  <si>
    <t xml:space="preserve">/solicitar-proposta/</t>
  </si>
  <si>
    <t xml:space="preserve">Conversão</t>
  </si>
  <si>
    <t xml:space="preserve">Direcionar para o formulário certo por tipo de demanda.</t>
  </si>
  <si>
    <t xml:space="preserve">Escolher tipo</t>
  </si>
  <si>
    <t xml:space="preserve">Formulários</t>
  </si>
  <si>
    <t xml:space="preserve">Formulário de obra ou reforma</t>
  </si>
  <si>
    <t xml:space="preserve">/solicitar-proposta/obra-ou-reforma/</t>
  </si>
  <si>
    <t xml:space="preserve">Formulário qualificado</t>
  </si>
  <si>
    <t xml:space="preserve">Campos obrigatórios que qualificam e evitam idas e vindas no WhatsApp.</t>
  </si>
  <si>
    <t xml:space="preserve">Enviar</t>
  </si>
  <si>
    <t xml:space="preserve">Página de obrigado com próximo passo</t>
  </si>
  <si>
    <t xml:space="preserve">Formulário de laudo ou vistoria</t>
  </si>
  <si>
    <t xml:space="preserve">/solicitar-proposta/laudo-ou-vistoria/</t>
  </si>
  <si>
    <t xml:space="preserve">Formulário de projeto</t>
  </si>
  <si>
    <t xml:space="preserve">/solicitar-proposta/projeto/</t>
  </si>
  <si>
    <t xml:space="preserve">Formulário de condomínio</t>
  </si>
  <si>
    <t xml:space="preserve">/solicitar-proposta/condominio/</t>
  </si>
  <si>
    <t xml:space="preserve">Formulário de consultoria</t>
  </si>
  <si>
    <t xml:space="preserve">/solicitar-proposta/consultoria/</t>
  </si>
  <si>
    <t xml:space="preserve">Política de privacidade</t>
  </si>
  <si>
    <t xml:space="preserve">/politica-de-privacidade/</t>
  </si>
  <si>
    <t xml:space="preserve">Legal</t>
  </si>
  <si>
    <t xml:space="preserve">Adequação à LGPD, necessária por causa dos formulários.</t>
  </si>
  <si>
    <t xml:space="preserve">REGRAS DE ARQUITETURA</t>
  </si>
  <si>
    <t xml:space="preserve">URLs curtas, em minúsculas, sem acento e com hífen. Serviços ficam sob o hub: /hub/servico/. Páginas locais e de marca ficam sob o serviço: /hub/servico/local/.</t>
  </si>
  <si>
    <t xml:space="preserve">Subhubs aparecem no breadcrumb e nos links internos, mas não entram na URL do serviço, para manter URLs curtas e estáveis se a organização mudar.</t>
  </si>
  <si>
    <t xml:space="preserve">Breadcrumb em todas as páginas: Início &gt; Hub &gt; Subhub &gt; Serviço.</t>
  </si>
  <si>
    <t xml:space="preserve">Cada página de serviço linka para o subhub, para o pilar do hub, para dois serviços relacionados, dois artigos e uma obra do mesmo tipo.</t>
  </si>
  <si>
    <t xml:space="preserve">Cada artigo linka para a página de serviço que resolve a dúvida. Conteúdo sempre empurra para o fundo do funil.</t>
  </si>
  <si>
    <t xml:space="preserve">Termos com a coluna Consolidar em preenchida viram seções e perguntas frequentes da página canônica, não páginas novas.</t>
  </si>
  <si>
    <t xml:space="preserve">Dados estruturados sugeridos: Organization, LocalBusiness, Service, FAQPage, BreadcrumbList e Review.</t>
  </si>
  <si>
    <t xml:space="preserve">Cada serviço publicado deve existir com o mesmo nome no Google Meu Negócio.</t>
  </si>
  <si>
    <t xml:space="preserve">Nenhuma página órfã: toda página nova precisa receber ao menos um link do seu hub e de uma página de conteúdo.</t>
  </si>
  <si>
    <t xml:space="preserve">Área</t>
  </si>
  <si>
    <t xml:space="preserve">Posição</t>
  </si>
  <si>
    <t xml:space="preserve">Item de menu</t>
  </si>
  <si>
    <t xml:space="preserve">Itens em destaque</t>
  </si>
  <si>
    <t xml:space="preserve">Observação</t>
  </si>
  <si>
    <t xml:space="preserve">Menu principal</t>
  </si>
  <si>
    <t xml:space="preserve">Mega menu com os 12 hubs de serviço em colunas</t>
  </si>
  <si>
    <t xml:space="preserve">Item mais importante; abre o mega menu. No rodapé de cada coluna, link Por marca para as categorias ligadas ao hub.</t>
  </si>
  <si>
    <t xml:space="preserve">Mega menu com materiais, acabamentos, proteção e cobertura, equipamentos e sistemas construtivos</t>
  </si>
  <si>
    <t xml:space="preserve">Entrada para quem chega pelo nome do fabricante, do equipamento ou do sistema.</t>
  </si>
  <si>
    <t xml:space="preserve">Proprietários, Síndicos, Empresas, Incorporadores, Arquitetos, Advogados, Corretores, Quem mora fora</t>
  </si>
  <si>
    <t xml:space="preserve">Atalho por persona, reduz o esforço de quem não sabe o nome do serviço.</t>
  </si>
  <si>
    <t xml:space="preserve">Residenciais, Comerciais, Saúde, Educação, Condomínios, Edifícios, Galpões, Premiadas</t>
  </si>
  <si>
    <t xml:space="preserve">Prova é o principal argumento de venda.</t>
  </si>
  <si>
    <t xml:space="preserve">Equipe, Como trabalhamos, Reconhecimentos, Depoimentos, Garantia</t>
  </si>
  <si>
    <t xml:space="preserve">Blog, Guias, Ferramentas, Perguntas frequentes</t>
  </si>
  <si>
    <t xml:space="preserve">Botão destacado, fixo no topo.</t>
  </si>
  <si>
    <t xml:space="preserve">Mega menu Serviços</t>
  </si>
  <si>
    <t xml:space="preserve">Construção de casa de alto padrão, Construção de casa em condomínio fechado, Construção de casa de praia, Construção de casa de campo, Construção de casa térrea, Construção de sobrado</t>
  </si>
  <si>
    <t xml:space="preserve">Coluna do hub com link Ver todos para a página pilar. Link Por marca: Aço para construção, Piscinas.</t>
  </si>
  <si>
    <t xml:space="preserve">Reforma de casa, Reforma de apartamento de alto padrão, Reforma de escritório, Reforma de clínica, Reforma residencial, Reforma de apartamento</t>
  </si>
  <si>
    <t xml:space="preserve">Coluna do hub com link Ver todos para a página pilar. Link Por marca: Revestimentos cerâmicos, Metais e louças, Argamassas e rejuntes, Tintas, Drywall e forros, Telhas e coberturas, Pisos de madeira e vinílicos, Superfícies e pedras, Vidros, Painéis de madeira, Piscinas.</t>
  </si>
  <si>
    <t xml:space="preserve">Projeto estrutural, Projeto elétrico, Projeto de entrada de energia, Projeto hidrossanitário, Projeto preventivo contra incêndio, Orçamento de obra</t>
  </si>
  <si>
    <t xml:space="preserve">Coluna do hub com link Ver todos para a página pilar. Link Por marca: Tubos e conexões, Cimento e concreto, Aço para construção, Impermeabilizantes, Elevadores, Climatização, Aquecimento a gás, Geradores, Automação, Segurança eletrônica.</t>
  </si>
  <si>
    <t xml:space="preserve">Laudo estrutural, Laudo de rachaduras, Laudo de infiltração, Laudo de vícios construtivos, Laudo de sinistro, Laudo de danos por vendaval</t>
  </si>
  <si>
    <t xml:space="preserve">Coluna do hub com link Ver todos para a página pilar. Link Por marca: Tubos e conexões, Aço para construção, Revestimentos cerâmicos, Metais e louças, Argamassas e rejuntes, Impermeabilizantes, Tintas, Telhas e coberturas, Pisos de madeira e vinílicos, Energia solar.</t>
  </si>
  <si>
    <t xml:space="preserve">Vistoria de entrega de apartamento, Vistoria de imóvel antes da compra, Vistoria cautelar, Inspeção predial, Vistoria de entrega de casa, Assistência técnica em recebimento de condomínio novo</t>
  </si>
  <si>
    <t xml:space="preserve">Coluna do hub com link Ver todos para a página pilar. Link Por marca: Cimento e concreto.</t>
  </si>
  <si>
    <t xml:space="preserve">Parecer técnico para ação contra construtora, Avaliação de imóvel de alto padrão, Estimativa de custo de reforma para compra de imóvel, Perícia judicial, Perícia extrajudicial, Assistência técnica em perícia judicial</t>
  </si>
  <si>
    <t xml:space="preserve">Coluna do hub com link Ver todos para a página pilar.</t>
  </si>
  <si>
    <t xml:space="preserve">Gestão de obras residenciais, Gestão de obra à distância, Gestão de obra para estrangeiros, Gestão de obra de casa de veraneio, Administração de obras, Retomada de obra paralisada</t>
  </si>
  <si>
    <t xml:space="preserve">Assessoria técnica para síndicos, Participação técnica em assembleia, Fiscalização de obras de condomínio, Fiscalização de reforma de fachada, Elaboração de memorial descritivo para cotação, Análise de planos de reforma de unidades</t>
  </si>
  <si>
    <t xml:space="preserve">Consultoria técnica online, Consultoria técnica internacional, Segunda opinião técnica sobre obra em andamento, Visita técnica, Revisão técnica de proposta de construtora, Consultoria técnica presencial</t>
  </si>
  <si>
    <t xml:space="preserve">Regularização de obra, Obtenção de habite-se, Averbação de construção, Aprovação no Corpo de Bombeiros, Regularização de construção sem projeto, Regularização de ampliação</t>
  </si>
  <si>
    <t xml:space="preserve">Impermeabilização, Reforma de fachada, Revisão pré-temporada de imóvel, Recuperação estrutural, Reforço estrutural, Reforço de fundação</t>
  </si>
  <si>
    <t xml:space="preserve">Coluna do hub com link Ver todos para a página pilar. Link Por marca: Cimento e concreto, Aço para construção, Revestimentos cerâmicos, Impermeabilizantes, Tintas, Telhas e coberturas, Superfícies e pedras, Vidros.</t>
  </si>
  <si>
    <t xml:space="preserve">Instalação elétrica, Reforma de instalação elétrica, Troca de fiação, Adequação de quadro elétrico, Aumento de carga elétrica, Instalação de gerador</t>
  </si>
  <si>
    <t xml:space="preserve">Coluna do hub com link Ver todos para a página pilar. Link Por marca: Tubos e conexões, Elevadores, Climatização, Aquecimento a gás, Geradores, Energia solar, Automação, Segurança eletrônica, Material elétrico.</t>
  </si>
  <si>
    <t xml:space="preserve">Mega menu Marcas e Sistemas</t>
  </si>
  <si>
    <t xml:space="preserve">Materiais básicos e estruturais</t>
  </si>
  <si>
    <t xml:space="preserve">Tubos e conexões, Cimento e concreto, Aço para construção</t>
  </si>
  <si>
    <t xml:space="preserve">Título de coluna do mega menu.</t>
  </si>
  <si>
    <t xml:space="preserve">Tigre, Amanco, Krona</t>
  </si>
  <si>
    <t xml:space="preserve">Subitem da coluna; cada marca leva à sua página.</t>
  </si>
  <si>
    <t xml:space="preserve">Votorantim, Itambé, InterCement, CSN Cimentos</t>
  </si>
  <si>
    <t xml:space="preserve">Gerdau, ArcelorMittal, CSN</t>
  </si>
  <si>
    <t xml:space="preserve">Acabamentos</t>
  </si>
  <si>
    <t xml:space="preserve">Revestimentos cerâmicos, Metais e louças, Argamassas e rejuntes, Tintas, Drywall e forros, Pisos de madeira e vinílicos, Superfícies e pedras, Vidros, Painéis de madeira</t>
  </si>
  <si>
    <t xml:space="preserve">Portobello, Eliane, Portinari, Decortiles, Incepa, Roca Cerâmica</t>
  </si>
  <si>
    <t xml:space="preserve">Deca, Docol, Lorenzetti, Tramontina, Celite, Roca, Grohe, Hansgrohe, Kohler</t>
  </si>
  <si>
    <t xml:space="preserve">Quartzolit, Votomassa</t>
  </si>
  <si>
    <t xml:space="preserve">Suvinil, Coral, Sherwin-Williams, Lukscolor</t>
  </si>
  <si>
    <t xml:space="preserve">Placo, Knauf</t>
  </si>
  <si>
    <t xml:space="preserve">Durafloor, Eucafloor, Indusparquet, Tarkett, Quick-Step</t>
  </si>
  <si>
    <t xml:space="preserve">Dekton, Silestone, Neolith</t>
  </si>
  <si>
    <t xml:space="preserve">Cebrace, Guardian, Saint-Gobain Glass</t>
  </si>
  <si>
    <t xml:space="preserve">Duratex, Arauco, Berneck</t>
  </si>
  <si>
    <t xml:space="preserve">Proteção e cobertura</t>
  </si>
  <si>
    <t xml:space="preserve">Impermeabilizantes, Telhas e coberturas</t>
  </si>
  <si>
    <t xml:space="preserve">Viapol, Vedacit, Sika, Quartzolit, Denver Impermeabilizantes, MC-Bauchemie</t>
  </si>
  <si>
    <t xml:space="preserve">Brasilit, Eternit, Tégula, Owens Corning, IKO, Kingspan Isoeste</t>
  </si>
  <si>
    <t xml:space="preserve">Equipamentos</t>
  </si>
  <si>
    <t xml:space="preserve">Elevadores, Climatização, Aquecimento a gás, Geradores, Energia solar, Automação, Segurança eletrônica, Material elétrico, Piscinas</t>
  </si>
  <si>
    <t xml:space="preserve">TK Elevator, Otis, Atlas Schindler, Daiken</t>
  </si>
  <si>
    <t xml:space="preserve">Daikin, LG, Samsung, Midea, Carrier, Fujitsu, Gree, Trane</t>
  </si>
  <si>
    <t xml:space="preserve">Rinnai, Komeco, Bosch</t>
  </si>
  <si>
    <t xml:space="preserve">WEG, Cummins, Stemac</t>
  </si>
  <si>
    <t xml:space="preserve">WEG, Canadian Solar, Jinko Solar, Fronius, Growatt</t>
  </si>
  <si>
    <t xml:space="preserve">Control4, Crestron, Savant, Lutron, Intelbras</t>
  </si>
  <si>
    <t xml:space="preserve">Intelbras, Hikvision</t>
  </si>
  <si>
    <t xml:space="preserve">Schneider Electric, Legrand, Pial Legrand, Siemens, WEG</t>
  </si>
  <si>
    <t xml:space="preserve">Sodramar, Nautilus, Jacuzzi, Dancor</t>
  </si>
  <si>
    <t xml:space="preserve">Steel frame, Wood frame, Estrutura metálica, Concreto armado, Alvenaria estrutural, Madeira laminada cruzada, Pré-moldado de concreto, Paredes de concreto, Concreto protendido, Laje nervurada, Laje alveolar, Construção a seco, Casa modular, Bloco de concreto celular, Painel de EPS, Tijolo ecológico, Fachada ventilada, Telhado verde, Telhado shingle, Telha termoacústica</t>
  </si>
  <si>
    <t xml:space="preserve">Coluna própria; cada sistema leva à sua página.</t>
  </si>
  <si>
    <t xml:space="preserve">Menu mobile</t>
  </si>
  <si>
    <t xml:space="preserve">Estrutura</t>
  </si>
  <si>
    <t xml:space="preserve">Serviços em acordeão por hub, Marcas e Sistemas em acordeão por categoria, Para você, Obras, Sobre, Conteúdo, Contato</t>
  </si>
  <si>
    <t xml:space="preserve">Botões fixos no rodapé da tela: WhatsApp e Solicitar proposta.</t>
  </si>
  <si>
    <t xml:space="preserve">Rodapé</t>
  </si>
  <si>
    <t xml:space="preserve">Coluna 1</t>
  </si>
  <si>
    <t xml:space="preserve">Logo, frase de posicionamento, CNPJ, registro no conselho, endereço</t>
  </si>
  <si>
    <t xml:space="preserve">Coluna 2</t>
  </si>
  <si>
    <t xml:space="preserve">Hubs de serviço</t>
  </si>
  <si>
    <t xml:space="preserve">Coluna 3</t>
  </si>
  <si>
    <t xml:space="preserve">Ajuda o Google a entender a abrangência.</t>
  </si>
  <si>
    <t xml:space="preserve">Coluna 4</t>
  </si>
  <si>
    <t xml:space="preserve">Instagram, LinkedIn, YouTube, TikTok, Google</t>
  </si>
  <si>
    <t xml:space="preserve">Linha final</t>
  </si>
  <si>
    <t xml:space="preserve">Política de privacidade, Trabalhe conosco</t>
  </si>
  <si>
    <t xml:space="preserve">Família</t>
  </si>
  <si>
    <t xml:space="preserve">O que é</t>
  </si>
  <si>
    <t xml:space="preserve">Intenção atendida</t>
  </si>
  <si>
    <t xml:space="preserve">Nível típico</t>
  </si>
  <si>
    <t xml:space="preserve">Padrão de URL</t>
  </si>
  <si>
    <t xml:space="preserve">Blocos obrigatórios</t>
  </si>
  <si>
    <t xml:space="preserve">Dados estruturados</t>
  </si>
  <si>
    <t xml:space="preserve">Regra de publicação</t>
  </si>
  <si>
    <t xml:space="preserve">Qtde no Mapa de Serviços</t>
  </si>
  <si>
    <t xml:space="preserve">Qtde no Mapa de Marcas</t>
  </si>
  <si>
    <t xml:space="preserve">Qtde nas Camadas Programáticas</t>
  </si>
  <si>
    <t xml:space="preserve">Qtde na Arquitetura</t>
  </si>
  <si>
    <t xml:space="preserve">Página inicial do site.</t>
  </si>
  <si>
    <t xml:space="preserve">Posicionar a Vaff como engenharia de alto padrão livre de dor de cabeça e distribuir o visitante.</t>
  </si>
  <si>
    <t xml:space="preserve">Navegacional</t>
  </si>
  <si>
    <t xml:space="preserve">N0</t>
  </si>
  <si>
    <t xml:space="preserve">Proposta de valor, hubs, perfis, obras, depoimentos, triângulo preço prazo qualidade, pré-requisitos</t>
  </si>
  <si>
    <t xml:space="preserve">Organization, LocalBusiness</t>
  </si>
  <si>
    <t xml:space="preserve">Única.</t>
  </si>
  <si>
    <t xml:space="preserve">Página principal de cada hub.</t>
  </si>
  <si>
    <t xml:space="preserve">Ranquear o termo amplo do hub e distribuir para subhubs e serviços.</t>
  </si>
  <si>
    <t xml:space="preserve">Comercial</t>
  </si>
  <si>
    <t xml:space="preserve">N1</t>
  </si>
  <si>
    <t xml:space="preserve">/hub/</t>
  </si>
  <si>
    <t xml:space="preserve">Introdução, subhubs, serviços em destaque, obras do hub, perguntas frequentes, CTA</t>
  </si>
  <si>
    <t xml:space="preserve">Service, BreadcrumbList, FAQPage</t>
  </si>
  <si>
    <t xml:space="preserve">Uma por hub.</t>
  </si>
  <si>
    <t xml:space="preserve">Agrupa serviços de uma mesma categoria dentro do hub.</t>
  </si>
  <si>
    <t xml:space="preserve">Atender quem sabe a categoria do problema mas não o serviço exato.</t>
  </si>
  <si>
    <t xml:space="preserve">N2</t>
  </si>
  <si>
    <t xml:space="preserve">/hub/subhub/</t>
  </si>
  <si>
    <t xml:space="preserve">Explicação da categoria, lista de serviços com resumo, obra, CTA</t>
  </si>
  <si>
    <t xml:space="preserve">BreadcrumbList, ItemList</t>
  </si>
  <si>
    <t xml:space="preserve">Uma por subhub aprovado.</t>
  </si>
  <si>
    <t xml:space="preserve">Página de conversão de um serviço específico.</t>
  </si>
  <si>
    <t xml:space="preserve">Converter a busca do serviço.</t>
  </si>
  <si>
    <t xml:space="preserve">Transacional</t>
  </si>
  <si>
    <t xml:space="preserve">N3</t>
  </si>
  <si>
    <t xml:space="preserve">/hub/servico/</t>
  </si>
  <si>
    <t xml:space="preserve">Dor, solução, processo, prova, preço a partir de, perguntas frequentes, formulário qualificado</t>
  </si>
  <si>
    <t xml:space="preserve">Service, FAQPage, BreadcrumbList, Review</t>
  </si>
  <si>
    <t xml:space="preserve">Criar para cada serviço aprovado.</t>
  </si>
  <si>
    <t xml:space="preserve">Seção dentro de outra página</t>
  </si>
  <si>
    <t xml:space="preserve">Sinônimo ou variação tratado como seção da página canônica.</t>
  </si>
  <si>
    <t xml:space="preserve">Capturar a variação sem canibalizar.</t>
  </si>
  <si>
    <t xml:space="preserve">Seção</t>
  </si>
  <si>
    <t xml:space="preserve">/hub/servico/#secao</t>
  </si>
  <si>
    <t xml:space="preserve">Subtítulo com o termo, parágrafo, pergunta frequente</t>
  </si>
  <si>
    <t xml:space="preserve">CTA da página</t>
  </si>
  <si>
    <t xml:space="preserve">Incluído no FAQPage</t>
  </si>
  <si>
    <t xml:space="preserve">Nunca criar URL própria.</t>
  </si>
  <si>
    <t xml:space="preserve">Página de serviço principal</t>
  </si>
  <si>
    <t xml:space="preserve">Camadas programáticas</t>
  </si>
  <si>
    <t xml:space="preserve">A própria página do serviço otimizada para Florianópolis.</t>
  </si>
  <si>
    <t xml:space="preserve">Evitar página local duplicada para a praça principal.</t>
  </si>
  <si>
    <t xml:space="preserve">Menção a bairros atendidos e obras em Florianópolis</t>
  </si>
  <si>
    <t xml:space="preserve">Service com areaServed</t>
  </si>
  <si>
    <t xml:space="preserve">Sem página extra.</t>
  </si>
  <si>
    <t xml:space="preserve">Página local</t>
  </si>
  <si>
    <t xml:space="preserve">Serviço combinado com cidade, ou processo em órgão municipal.</t>
  </si>
  <si>
    <t xml:space="preserve">Capturar buscas com cidade.</t>
  </si>
  <si>
    <t xml:space="preserve">N4</t>
  </si>
  <si>
    <t xml:space="preserve">/hub/servico/cidade/</t>
  </si>
  <si>
    <t xml:space="preserve">Obras na cidade, regras locais, prazo de atendimento, depoimento local</t>
  </si>
  <si>
    <t xml:space="preserve">Service, LocalBusiness com areaServed</t>
  </si>
  <si>
    <t xml:space="preserve">Só com conteúdo único e obra ou demanda comprovada.</t>
  </si>
  <si>
    <t xml:space="preserve">Página local de bairro</t>
  </si>
  <si>
    <t xml:space="preserve">Serviço de obra combinado com bairro de alto padrão.</t>
  </si>
  <si>
    <t xml:space="preserve">Capturar buscas hiperlocais de alto padrão.</t>
  </si>
  <si>
    <t xml:space="preserve">/hub/servico/bairro/</t>
  </si>
  <si>
    <t xml:space="preserve">Obra no bairro, particularidades de solo e condomínio, fotos</t>
  </si>
  <si>
    <t xml:space="preserve">Só com obra da Vaff no bairro.</t>
  </si>
  <si>
    <t xml:space="preserve">Marcas e sistemas</t>
  </si>
  <si>
    <t xml:space="preserve">Lista as marcas de uma categoria e os serviços ligados.</t>
  </si>
  <si>
    <t xml:space="preserve">Entrada para quem busca pelo tipo de produto.</t>
  </si>
  <si>
    <t xml:space="preserve">/marcas-e-sistemas/categoria/</t>
  </si>
  <si>
    <t xml:space="preserve">Explicação da categoria, marcas, serviços relacionados</t>
  </si>
  <si>
    <t xml:space="preserve">ItemList, BreadcrumbList</t>
  </si>
  <si>
    <t xml:space="preserve">Uma por categoria aprovada.</t>
  </si>
  <si>
    <t xml:space="preserve">Página de uma marca, companhia ou operadora.</t>
  </si>
  <si>
    <t xml:space="preserve">Capturar a busca pelo nome da marca e levar ao serviço.</t>
  </si>
  <si>
    <t xml:space="preserve">N3 ou N4</t>
  </si>
  <si>
    <t xml:space="preserve">/marcas-e-sistemas/categoria/marca/ ou /hub/servico/marca/</t>
  </si>
  <si>
    <t xml:space="preserve">O que a Vaff faz com a marca, serviços em seções, orientação neutra, obra, CTA, aviso de não vínculo</t>
  </si>
  <si>
    <t xml:space="preserve">BreadcrumbList, FAQPage</t>
  </si>
  <si>
    <t xml:space="preserve">Criar para marcas aprovadas; nunca sugerir parceria inexistente.</t>
  </si>
  <si>
    <t xml:space="preserve">Combinação de marca e serviço com demanda própria.</t>
  </si>
  <si>
    <t xml:space="preserve">Capturar a busca específica, como laudo de um produto de uma marca.</t>
  </si>
  <si>
    <t xml:space="preserve">Problema típico, diagnóstico, garantia do fabricante, caso real, CTA</t>
  </si>
  <si>
    <t xml:space="preserve">Service, FAQPage</t>
  </si>
  <si>
    <t xml:space="preserve">Só para marcas em destaque e com conteúdo único.</t>
  </si>
  <si>
    <t xml:space="preserve">Seção na página da marca</t>
  </si>
  <si>
    <t xml:space="preserve">Combinação de marca e serviço sem demanda para página própria.</t>
  </si>
  <si>
    <t xml:space="preserve">Cobrir o termo sem criar página fina.</t>
  </si>
  <si>
    <t xml:space="preserve">/marcas-e-sistemas/categoria/marca/#servico</t>
  </si>
  <si>
    <t xml:space="preserve">Subtítulo, parágrafo, link para o serviço âncora</t>
  </si>
  <si>
    <t xml:space="preserve">Página de um sistema construtivo.</t>
  </si>
  <si>
    <t xml:space="preserve">Educar e posicionar a Vaff como quem domina vários sistemas.</t>
  </si>
  <si>
    <t xml:space="preserve">/marcas-e-sistemas/sistemas-construtivos/sistema/</t>
  </si>
  <si>
    <t xml:space="preserve">Vantagens, limites, custo relativo, clima local, serviços, obras</t>
  </si>
  <si>
    <t xml:space="preserve">Article, FAQPage</t>
  </si>
  <si>
    <t xml:space="preserve">Uma por sistema aprovado.</t>
  </si>
  <si>
    <t xml:space="preserve">Página de sistema por serviço</t>
  </si>
  <si>
    <t xml:space="preserve">Construção ou execução em um sistema específico.</t>
  </si>
  <si>
    <t xml:space="preserve">Converter quem já escolheu o sistema.</t>
  </si>
  <si>
    <t xml:space="preserve">/marcas-e-sistemas/sistemas-construtivos/sistema/construcao/</t>
  </si>
  <si>
    <t xml:space="preserve">Processo no sistema, prazo, custo, obra, CTA</t>
  </si>
  <si>
    <t xml:space="preserve">Service</t>
  </si>
  <si>
    <t xml:space="preserve">Só para sistemas com obra da Vaff.</t>
  </si>
  <si>
    <t xml:space="preserve">Seção na página do sistema</t>
  </si>
  <si>
    <t xml:space="preserve">Serviço ligado ao sistema tratado como seção.</t>
  </si>
  <si>
    <t xml:space="preserve">Cobrir o termo sem página fina.</t>
  </si>
  <si>
    <t xml:space="preserve">/marcas-e-sistemas/sistemas-construtivos/sistema/#servico</t>
  </si>
  <si>
    <t xml:space="preserve">Subtítulo, parágrafo, link para o serviço</t>
  </si>
  <si>
    <t xml:space="preserve">Seção em página de serviço</t>
  </si>
  <si>
    <t xml:space="preserve">Menção de companhia ou tipo de apólice dentro de uma página de serviço.</t>
  </si>
  <si>
    <t xml:space="preserve">Cobrir a busca sem página própria.</t>
  </si>
  <si>
    <t xml:space="preserve">/hub/servico/#termo</t>
  </si>
  <si>
    <t xml:space="preserve">Parágrafo específico</t>
  </si>
  <si>
    <t xml:space="preserve">Menção em página de serviço</t>
  </si>
  <si>
    <t xml:space="preserve">Citação breve da marca dentro de uma página de serviço.</t>
  </si>
  <si>
    <t xml:space="preserve">Relevância semântica.</t>
  </si>
  <si>
    <t xml:space="preserve">Informacional</t>
  </si>
  <si>
    <t xml:space="preserve">/hub/servico/#marca</t>
  </si>
  <si>
    <t xml:space="preserve">Frase de contexto</t>
  </si>
  <si>
    <t xml:space="preserve">Nenhum</t>
  </si>
  <si>
    <t xml:space="preserve">Apenas menção.</t>
  </si>
  <si>
    <t xml:space="preserve">Menção na página Sobre</t>
  </si>
  <si>
    <t xml:space="preserve">Citação na página Sobre.</t>
  </si>
  <si>
    <t xml:space="preserve">Credibilidade.</t>
  </si>
  <si>
    <t xml:space="preserve">Registro, número de conselho</t>
  </si>
  <si>
    <t xml:space="preserve">Organization</t>
  </si>
  <si>
    <t xml:space="preserve">Menção na página Reconhecimentos</t>
  </si>
  <si>
    <t xml:space="preserve">Citação na página de reconhecimentos e eventos.</t>
  </si>
  <si>
    <t xml:space="preserve">Prova social e autoridade.</t>
  </si>
  <si>
    <t xml:space="preserve">Foto, ano, descrição da participação</t>
  </si>
  <si>
    <t xml:space="preserve">Apenas vínculos reais.</t>
  </si>
  <si>
    <t xml:space="preserve">Não criar página</t>
  </si>
  <si>
    <t xml:space="preserve">Monitoramento</t>
  </si>
  <si>
    <t xml:space="preserve">Termo sem aderência ou de marketplace.</t>
  </si>
  <si>
    <t xml:space="preserve">Evitar páginas sem retorno.</t>
  </si>
  <si>
    <t xml:space="preserve">Sem página</t>
  </si>
  <si>
    <t xml:space="preserve">Não se aplica</t>
  </si>
  <si>
    <t xml:space="preserve">Apenas monitorar.</t>
  </si>
  <si>
    <t xml:space="preserve">Conteúdo informativo que responde a uma dúvida.</t>
  </si>
  <si>
    <t xml:space="preserve">Captar topo de funil e levar ao serviço.</t>
  </si>
  <si>
    <t xml:space="preserve">/blog/artigo/</t>
  </si>
  <si>
    <t xml:space="preserve">Resposta direta, aprofundamento, links para serviço, CTA suave</t>
  </si>
  <si>
    <t xml:space="preserve">Produzir por prioridade.</t>
  </si>
  <si>
    <t xml:space="preserve">Guia para download</t>
  </si>
  <si>
    <t xml:space="preserve">Material prático trocado por contato.</t>
  </si>
  <si>
    <t xml:space="preserve">Gerar lead qualificado.</t>
  </si>
  <si>
    <t xml:space="preserve">/guias/guia/</t>
  </si>
  <si>
    <t xml:space="preserve">Resumo do guia, formulário, prévia</t>
  </si>
  <si>
    <t xml:space="preserve">Article</t>
  </si>
  <si>
    <t xml:space="preserve">Um por persona prioritária.</t>
  </si>
  <si>
    <t xml:space="preserve">Calculadora</t>
  </si>
  <si>
    <t xml:space="preserve">Ferramenta interativa de estimativa.</t>
  </si>
  <si>
    <t xml:space="preserve">Qualificar pela faixa de investimento e capturar contato.</t>
  </si>
  <si>
    <t xml:space="preserve">/ferramentas/ferramenta/</t>
  </si>
  <si>
    <t xml:space="preserve">Campos, resultado, faixa, CTA</t>
  </si>
  <si>
    <t xml:space="preserve">Calcular e solicitar proposta</t>
  </si>
  <si>
    <t xml:space="preserve">WebApplication</t>
  </si>
  <si>
    <t xml:space="preserve">Só com premissas revisadas pela engenharia.</t>
  </si>
  <si>
    <t xml:space="preserve">Página pilar de conteúdo</t>
  </si>
  <si>
    <t xml:space="preserve">Guia completo sobre um tema regulatório.</t>
  </si>
  <si>
    <t xml:space="preserve">Autoridade sobre normas como a NBR 16280.</t>
  </si>
  <si>
    <t xml:space="preserve">/guias/tema/</t>
  </si>
  <si>
    <t xml:space="preserve">Guia completo, índice, perguntas frequentes, CTA</t>
  </si>
  <si>
    <t xml:space="preserve">Poucos e profundos.</t>
  </si>
  <si>
    <t xml:space="preserve">Página por perfil de cliente.</t>
  </si>
  <si>
    <t xml:space="preserve">Fazer cada visitante se identificar em um clique.</t>
  </si>
  <si>
    <t xml:space="preserve">/para-perfil/</t>
  </si>
  <si>
    <t xml:space="preserve">Dores do perfil, serviços, obras, depoimentos, guia</t>
  </si>
  <si>
    <t xml:space="preserve">WebPage</t>
  </si>
  <si>
    <t xml:space="preserve">Uma por persona.</t>
  </si>
  <si>
    <t xml:space="preserve">Prova</t>
  </si>
  <si>
    <t xml:space="preserve">Obra individual do portfólio.</t>
  </si>
  <si>
    <t xml:space="preserve">Provar execução.</t>
  </si>
  <si>
    <t xml:space="preserve">/obras/categoria/obra/</t>
  </si>
  <si>
    <t xml:space="preserve">Desafio, solução, prazo, fotos, depoimento, serviços usados</t>
  </si>
  <si>
    <t xml:space="preserve">CreativeWork</t>
  </si>
  <si>
    <t xml:space="preserve">Uma por obra com fotos autorizadas.</t>
  </si>
  <si>
    <t xml:space="preserve">Formulário por tipo de demanda.</t>
  </si>
  <si>
    <t xml:space="preserve">Qualificar antes da conversa.</t>
  </si>
  <si>
    <t xml:space="preserve">/solicitar-proposta/tipo/</t>
  </si>
  <si>
    <t xml:space="preserve">Campos obrigatórios, fotos, prazo de resposta</t>
  </si>
  <si>
    <t xml:space="preserve">ContactPage</t>
  </si>
  <si>
    <t xml:space="preserve">Um por tipo de demanda.</t>
  </si>
  <si>
    <t xml:space="preserve">Hub</t>
  </si>
  <si>
    <t xml:space="preserve">URL do hub</t>
  </si>
  <si>
    <t xml:space="preserve">Palavra pilar</t>
  </si>
  <si>
    <t xml:space="preserve">O que reúne</t>
  </si>
  <si>
    <t xml:space="preserve">Personas principais</t>
  </si>
  <si>
    <t xml:space="preserve">Total de termos</t>
  </si>
  <si>
    <t xml:space="preserve">Páginas próprias</t>
  </si>
  <si>
    <t xml:space="preserve">Seções em outras páginas</t>
  </si>
  <si>
    <t xml:space="preserve">Conteúdos</t>
  </si>
  <si>
    <t xml:space="preserve">Termos de marca e companhia</t>
  </si>
  <si>
    <t xml:space="preserve">Prioridade alta</t>
  </si>
  <si>
    <t xml:space="preserve">Lacunas na concorrência</t>
  </si>
  <si>
    <t xml:space="preserve">Aprovados pela Vaff</t>
  </si>
  <si>
    <t xml:space="preserve">Construtora de alto padrão em Florianópolis</t>
  </si>
  <si>
    <t xml:space="preserve">Execução de casas, edifícios e obras comerciais do zero, incluindo sistemas construtivos, fundações e áreas externas.</t>
  </si>
  <si>
    <t xml:space="preserve">Empresa de reforma de alto padrão</t>
  </si>
  <si>
    <t xml:space="preserve">Reformas residenciais, comerciais e por ambiente, retrofit, acessibilidade e acabamentos.</t>
  </si>
  <si>
    <t xml:space="preserve">Projetos de engenharia</t>
  </si>
  <si>
    <t xml:space="preserve">Projetos complementares, estruturais, aprovações, compatibilização, orçamento e planejamento técnico.</t>
  </si>
  <si>
    <t xml:space="preserve">Laudo técnico de engenharia</t>
  </si>
  <si>
    <t xml:space="preserve">Laudos de patologias, estrutura, instalações, sinistros, vizinhança e finalidades legais.</t>
  </si>
  <si>
    <t xml:space="preserve">Vistoria técnica de imóveis</t>
  </si>
  <si>
    <t xml:space="preserve">Vistorias de entrega, compra, locação, cautelares, inspeção predial e ensaios técnicos.</t>
  </si>
  <si>
    <t xml:space="preserve">Perícia de engenharia</t>
  </si>
  <si>
    <t xml:space="preserve">Perícias judiciais e extrajudiciais, assistência técnica, pareceres e avaliação de imóveis.</t>
  </si>
  <si>
    <t xml:space="preserve">Gestão de obras</t>
  </si>
  <si>
    <t xml:space="preserve">Gestão, administração, fiscalização, auditoria, controle e responsabilidade técnica de obras.</t>
  </si>
  <si>
    <t xml:space="preserve">Engenharia para condomínios</t>
  </si>
  <si>
    <t xml:space="preserve">Assessoria técnica a síndicos e administradoras, fiscalização, memorial, NBR 16280 e manutenção.</t>
  </si>
  <si>
    <t xml:space="preserve">Consultoria em engenharia civil</t>
  </si>
  <si>
    <t xml:space="preserve">Consultoria presencial, online e internacional, segunda opinião, viabilidade e treinamentos.</t>
  </si>
  <si>
    <t xml:space="preserve">Regularização de imóveis</t>
  </si>
  <si>
    <t xml:space="preserve">Alvarás, habite-se, averbação, CNO, Bombeiros, Vigilância Sanitária, ambiental e acessibilidade legal.</t>
  </si>
  <si>
    <t xml:space="preserve">Manutenção e recuperação de edificações</t>
  </si>
  <si>
    <t xml:space="preserve">Recuperação e reforço estrutural, impermeabilização, fachadas e manutenção predial.</t>
  </si>
  <si>
    <t xml:space="preserve">Instalações prediais</t>
  </si>
  <si>
    <t xml:space="preserve">Instalações elétricas, hidráulicas, gás, climatização, automação, energia solar e equipamentos.</t>
  </si>
  <si>
    <t xml:space="preserve">Marcas e sistemas construtivos</t>
  </si>
  <si>
    <t xml:space="preserve">Páginas por fabricante de material, marca de equipamento e sistema construtivo, cada uma com os serviços que a Vaff projeta, executa, instala ou avalia com aquela marca ou sistema.</t>
  </si>
  <si>
    <t xml:space="preserve">Total</t>
  </si>
  <si>
    <t xml:space="preserve">ID</t>
  </si>
  <si>
    <t xml:space="preserve">Subhub</t>
  </si>
  <si>
    <t xml:space="preserve">Palavra-chave</t>
  </si>
  <si>
    <t xml:space="preserve">Tipo de termo</t>
  </si>
  <si>
    <t xml:space="preserve">URL sugerida</t>
  </si>
  <si>
    <t xml:space="preserve">Nível na arquitetura</t>
  </si>
  <si>
    <t xml:space="preserve">Página pai</t>
  </si>
  <si>
    <t xml:space="preserve">Nota</t>
  </si>
  <si>
    <t xml:space="preserve">Decisão Vaff</t>
  </si>
  <si>
    <t xml:space="preserve">S0001</t>
  </si>
  <si>
    <t xml:space="preserve">Página pilar do hub</t>
  </si>
  <si>
    <t xml:space="preserve">Pilar</t>
  </si>
  <si>
    <t xml:space="preserve">Meio</t>
  </si>
  <si>
    <t xml:space="preserve">Busca ampla de quem ainda está entendendo o que precisa dentro de construção. A página pilar organiza as opções, mostra autoridade e distribui o visitante para o serviço certo. Execução de casas, edifícios e obras comerciais do zero, incluindo sistemas construtivos, fundações e áreas externas.</t>
  </si>
  <si>
    <t xml:space="preserve">Core</t>
  </si>
  <si>
    <t xml:space="preserve">Alta</t>
  </si>
  <si>
    <t xml:space="preserve">Não verificado</t>
  </si>
  <si>
    <t xml:space="preserve">S0002</t>
  </si>
  <si>
    <t xml:space="preserve">Busca ampla de quem ainda está entendendo o que precisa dentro de reformas. A página pilar organiza as opções, mostra autoridade e distribui o visitante para o serviço certo. Reformas residenciais, comerciais e por ambiente, retrofit, acessibilidade e acabamentos.</t>
  </si>
  <si>
    <t xml:space="preserve">S0003</t>
  </si>
  <si>
    <t xml:space="preserve">Busca ampla de quem ainda está entendendo o que precisa dentro de projetos de engenharia. A página pilar organiza as opções, mostra autoridade e distribui o visitante para o serviço certo. Projetos complementares, estruturais, aprovações, compatibilização, orçamento e planejamento técnico.</t>
  </si>
  <si>
    <t xml:space="preserve">S0004</t>
  </si>
  <si>
    <t xml:space="preserve">Busca ampla de quem ainda está entendendo o que precisa dentro de laudos técnicos. A página pilar organiza as opções, mostra autoridade e distribui o visitante para o serviço certo. Laudos de patologias, estrutura, instalações, sinistros, vizinhança e finalidades legais.</t>
  </si>
  <si>
    <t xml:space="preserve">S0005</t>
  </si>
  <si>
    <t xml:space="preserve">Busca ampla de quem ainda está entendendo o que precisa dentro de vistorias e inspeções. A página pilar organiza as opções, mostra autoridade e distribui o visitante para o serviço certo. Vistorias de entrega, compra, locação, cautelares, inspeção predial e ensaios técnicos.</t>
  </si>
  <si>
    <t xml:space="preserve">S0006</t>
  </si>
  <si>
    <t xml:space="preserve">Busca ampla de quem ainda está entendendo o que precisa dentro de perícias e avaliações. A página pilar organiza as opções, mostra autoridade e distribui o visitante para o serviço certo. Perícias judiciais e extrajudiciais, assistência técnica, pareceres e avaliação de imóveis.</t>
  </si>
  <si>
    <t xml:space="preserve">S0007</t>
  </si>
  <si>
    <t xml:space="preserve">Busca ampla de quem ainda está entendendo o que precisa dentro de gestão e fiscalização de obras. A página pilar organiza as opções, mostra autoridade e distribui o visitante para o serviço certo. Gestão, administração, fiscalização, auditoria, controle e responsabilidade técnica de obras.</t>
  </si>
  <si>
    <t xml:space="preserve">S0008</t>
  </si>
  <si>
    <t xml:space="preserve">Busca ampla de quem ainda está entendendo o que precisa dentro de condomínios. A página pilar organiza as opções, mostra autoridade e distribui o visitante para o serviço certo. Assessoria técnica a síndicos e administradoras, fiscalização, memorial, NBR 16280 e manutenção.</t>
  </si>
  <si>
    <t xml:space="preserve">S0009</t>
  </si>
  <si>
    <t xml:space="preserve">Busca ampla de quem ainda está entendendo o que precisa dentro de consultoria técnica. A página pilar organiza as opções, mostra autoridade e distribui o visitante para o serviço certo. Consultoria presencial, online e internacional, segunda opinião, viabilidade e treinamentos.</t>
  </si>
  <si>
    <t xml:space="preserve">S0010</t>
  </si>
  <si>
    <t xml:space="preserve">Busca ampla de quem ainda está entendendo o que precisa dentro de regularização e aprovações. A página pilar organiza as opções, mostra autoridade e distribui o visitante para o serviço certo. Alvarás, habite-se, averbação, CNO, Bombeiros, Vigilância Sanitária, ambiental e acessibilidade legal.</t>
  </si>
  <si>
    <t xml:space="preserve">S0011</t>
  </si>
  <si>
    <t xml:space="preserve">Busca ampla de quem ainda está entendendo o que precisa dentro de recuperação e manutenção. A página pilar organiza as opções, mostra autoridade e distribui o visitante para o serviço certo. Recuperação e reforço estrutural, impermeabilização, fachadas e manutenção predial.</t>
  </si>
  <si>
    <t xml:space="preserve">S0012</t>
  </si>
  <si>
    <t xml:space="preserve">Busca ampla de quem ainda está entendendo o que precisa dentro de instalações e sistemas. A página pilar organiza as opções, mostra autoridade e distribui o visitante para o serviço certo. Instalações elétricas, hidráulicas, gás, climatização, automação, energia solar e equipamentos.</t>
  </si>
  <si>
    <t xml:space="preserve">S0013</t>
  </si>
  <si>
    <t xml:space="preserve">Visitante que já sabe a categoria do problema, mas não o serviço exato. Quer construir a casa e está escolhendo em quem confiar. Pesquisa portfólio, processo, prazo e faixa de investimento antes de pedir proposta; o medo central é a obra sem fim e o orçamento que estoura.</t>
  </si>
  <si>
    <t xml:space="preserve">S0014</t>
  </si>
  <si>
    <t xml:space="preserve">Construção de casas</t>
  </si>
  <si>
    <t xml:space="preserve">Serviço</t>
  </si>
  <si>
    <t xml:space="preserve">/construcao/construcao-casa-alto-padrao/#construcao-casas</t>
  </si>
  <si>
    <t xml:space="preserve">/construcao/construcao-casa-alto-padrao/</t>
  </si>
  <si>
    <t xml:space="preserve">Construção de casa de alto padrão</t>
  </si>
  <si>
    <t xml:space="preserve">Média</t>
  </si>
  <si>
    <t xml:space="preserve">Comum</t>
  </si>
  <si>
    <t xml:space="preserve">Sinônimo ou variação: trabalhar como seção e termo secundário da página canônica, evitando canibalização.</t>
  </si>
  <si>
    <t xml:space="preserve">S0015</t>
  </si>
  <si>
    <t xml:space="preserve">Quer construir a casa e está escolhendo em quem confiar. Pesquisa portfólio, processo, prazo e faixa de investimento antes de pedir proposta; o medo central é a obra sem fim e o orçamento que estoura. Termo com sinal de exclusividade: filtra naturalmente o público e combina com o posicionamento premium.</t>
  </si>
  <si>
    <t xml:space="preserve">S0016</t>
  </si>
  <si>
    <t xml:space="preserve">Construção de casa de luxo</t>
  </si>
  <si>
    <t xml:space="preserve">/construcao/construcao-casa-alto-padrao/#construcao-casa-luxo</t>
  </si>
  <si>
    <t xml:space="preserve">S0017</t>
  </si>
  <si>
    <t xml:space="preserve">Construção de casa em condomínio fechado</t>
  </si>
  <si>
    <t xml:space="preserve">Quer construir a casa e está escolhendo em quem confiar. Pesquisa portfólio, processo, prazo e faixa de investimento antes de pedir proposta; o medo central é a obra sem fim e o orçamento que estoura. Envolve decisão coletiva e regras internas do condomínio.</t>
  </si>
  <si>
    <t xml:space="preserve">/construcao/construcao-casa-em-condominio-fechado/</t>
  </si>
  <si>
    <t xml:space="preserve">S0018</t>
  </si>
  <si>
    <t xml:space="preserve">Construção de casa de praia</t>
  </si>
  <si>
    <t xml:space="preserve">Quer construir a casa e está escolhendo em quem confiar. Pesquisa portfólio, processo, prazo e faixa de investimento antes de pedir proposta; o medo central é a obra sem fim e o orçamento que estoura. Carrega preocupação com maresia, umidade e o calendário da temporada.</t>
  </si>
  <si>
    <t xml:space="preserve">/construcao/construcao-casa-praia/</t>
  </si>
  <si>
    <t xml:space="preserve">S0019</t>
  </si>
  <si>
    <t xml:space="preserve">Construção de casa de campo</t>
  </si>
  <si>
    <t xml:space="preserve">/construcao/construcao-casa-campo/</t>
  </si>
  <si>
    <t xml:space="preserve">S0020</t>
  </si>
  <si>
    <t xml:space="preserve">Construção de casa térrea</t>
  </si>
  <si>
    <t xml:space="preserve">/construcao/construcao-casa-terrea/</t>
  </si>
  <si>
    <t xml:space="preserve">S0021</t>
  </si>
  <si>
    <t xml:space="preserve">Construção de sobrado</t>
  </si>
  <si>
    <t xml:space="preserve">/construcao/construcao-sobrado/</t>
  </si>
  <si>
    <t xml:space="preserve">S0022</t>
  </si>
  <si>
    <t xml:space="preserve">Construção de casa em terreno em aclive</t>
  </si>
  <si>
    <t xml:space="preserve">/construcao/construcao-casa-em-terreno-em-aclive/</t>
  </si>
  <si>
    <t xml:space="preserve">S0023</t>
  </si>
  <si>
    <t xml:space="preserve">Construção de casa em terreno em declive</t>
  </si>
  <si>
    <t xml:space="preserve">/construcao/construcao-casa-em-terreno-em-declive/</t>
  </si>
  <si>
    <t xml:space="preserve">S0024</t>
  </si>
  <si>
    <t xml:space="preserve">Construção de casa com vista para o mar</t>
  </si>
  <si>
    <t xml:space="preserve">/construcao/construcao-casa-com-vista-para-o-mar/</t>
  </si>
  <si>
    <t xml:space="preserve">S0025</t>
  </si>
  <si>
    <t xml:space="preserve">Construção de casa sustentável</t>
  </si>
  <si>
    <t xml:space="preserve">/construcao/construcao-casa-sustentavel/</t>
  </si>
  <si>
    <t xml:space="preserve">S0026</t>
  </si>
  <si>
    <t xml:space="preserve">Construção de casa inteligente</t>
  </si>
  <si>
    <t xml:space="preserve">/construcao/construcao-casa-inteligente/</t>
  </si>
  <si>
    <t xml:space="preserve">S0027</t>
  </si>
  <si>
    <t xml:space="preserve">Construção chave na mão</t>
  </si>
  <si>
    <t xml:space="preserve">/construcao/construcao-chave-na-mao/</t>
  </si>
  <si>
    <t xml:space="preserve">S0028</t>
  </si>
  <si>
    <t xml:space="preserve">Construção por empreitada global</t>
  </si>
  <si>
    <t xml:space="preserve">/construcao/construcao-por-empreitada-global/</t>
  </si>
  <si>
    <t xml:space="preserve">S0029</t>
  </si>
  <si>
    <t xml:space="preserve">Visitante que já sabe a categoria do problema, mas não o serviço exato. Já ouviu falar de um sistema construtivo e quer saber se vale a pena, quanto custa e quem executa com segurança. Está em fase de comparação técnica, aberto a ser educado.</t>
  </si>
  <si>
    <t xml:space="preserve">S0030</t>
  </si>
  <si>
    <t xml:space="preserve">Construção de casa em steel frame</t>
  </si>
  <si>
    <t xml:space="preserve">/construcao/construcao-casa-em-steel-frame/</t>
  </si>
  <si>
    <t xml:space="preserve">S0031</t>
  </si>
  <si>
    <t xml:space="preserve">Construção de casa em wood frame</t>
  </si>
  <si>
    <t xml:space="preserve">/construcao/construcao-casa-em-wood-frame/</t>
  </si>
  <si>
    <t xml:space="preserve">S0032</t>
  </si>
  <si>
    <t xml:space="preserve">Construção de casa em estrutura metálica</t>
  </si>
  <si>
    <t xml:space="preserve">/construcao/construcao-casa-em-estrutura-metalica/</t>
  </si>
  <si>
    <t xml:space="preserve">S0033</t>
  </si>
  <si>
    <t xml:space="preserve">Construção de casa modular</t>
  </si>
  <si>
    <t xml:space="preserve">/construcao/construcao-casa-modular/</t>
  </si>
  <si>
    <t xml:space="preserve">S0034</t>
  </si>
  <si>
    <t xml:space="preserve">Visitante que já sabe a categoria do problema, mas não o serviço exato. Quer acrescentar um espaço de lazer ou uso específico à casa existente. Busca execução caprichada sem transtornar a rotina da família.</t>
  </si>
  <si>
    <t xml:space="preserve">S0035</t>
  </si>
  <si>
    <t xml:space="preserve">Construção de edícula</t>
  </si>
  <si>
    <t xml:space="preserve">/construcao/construcao-edicula/</t>
  </si>
  <si>
    <t xml:space="preserve">S0036</t>
  </si>
  <si>
    <t xml:space="preserve">Construção de casa de hóspedes</t>
  </si>
  <si>
    <t xml:space="preserve">/construcao/construcao-casa-hospedes/</t>
  </si>
  <si>
    <t xml:space="preserve">S0037</t>
  </si>
  <si>
    <t xml:space="preserve">Construção de área gourmet</t>
  </si>
  <si>
    <t xml:space="preserve">/construcao/construcao-area-gourmet/</t>
  </si>
  <si>
    <t xml:space="preserve">S0038</t>
  </si>
  <si>
    <t xml:space="preserve">Construção de garagem</t>
  </si>
  <si>
    <t xml:space="preserve">/construcao/construcao-garagem/</t>
  </si>
  <si>
    <t xml:space="preserve">S0039</t>
  </si>
  <si>
    <t xml:space="preserve">Construção de piscina</t>
  </si>
  <si>
    <t xml:space="preserve">/construcao/construcao-piscina/</t>
  </si>
  <si>
    <t xml:space="preserve">S0040</t>
  </si>
  <si>
    <t xml:space="preserve">Construção de piscina de borda infinita</t>
  </si>
  <si>
    <t xml:space="preserve">/construcao/construcao-piscina-borda-infinita/</t>
  </si>
  <si>
    <t xml:space="preserve">S0041</t>
  </si>
  <si>
    <t xml:space="preserve">Construção de spa residencial</t>
  </si>
  <si>
    <t xml:space="preserve">/construcao/construcao-spa-residencial/</t>
  </si>
  <si>
    <t xml:space="preserve">S0042</t>
  </si>
  <si>
    <t xml:space="preserve">Construção de sauna</t>
  </si>
  <si>
    <t xml:space="preserve">/construcao/construcao-sauna/</t>
  </si>
  <si>
    <t xml:space="preserve">S0043</t>
  </si>
  <si>
    <t xml:space="preserve">Construção de adega</t>
  </si>
  <si>
    <t xml:space="preserve">/construcao/construcao-adega/</t>
  </si>
  <si>
    <t xml:space="preserve">S0044</t>
  </si>
  <si>
    <t xml:space="preserve">Construção de home theater</t>
  </si>
  <si>
    <t xml:space="preserve">/construcao/construcao-home-theater/</t>
  </si>
  <si>
    <t xml:space="preserve">S0045</t>
  </si>
  <si>
    <t xml:space="preserve">Construção de academia residencial</t>
  </si>
  <si>
    <t xml:space="preserve">/construcao/construcao-academia-residencial/</t>
  </si>
  <si>
    <t xml:space="preserve">S0046</t>
  </si>
  <si>
    <t xml:space="preserve">Construção de estúdio residencial</t>
  </si>
  <si>
    <t xml:space="preserve">/construcao/construcao-estudio-residencial/</t>
  </si>
  <si>
    <t xml:space="preserve">S0047</t>
  </si>
  <si>
    <t xml:space="preserve">Construção de escritório residencial</t>
  </si>
  <si>
    <t xml:space="preserve">/construcao/construcao-escritorio-residencial/</t>
  </si>
  <si>
    <t xml:space="preserve">S0048</t>
  </si>
  <si>
    <t xml:space="preserve">Construção de pergolado</t>
  </si>
  <si>
    <t xml:space="preserve">/construcao/construcao-pergolado/</t>
  </si>
  <si>
    <t xml:space="preserve">S0049</t>
  </si>
  <si>
    <t xml:space="preserve">Construção de deck</t>
  </si>
  <si>
    <t xml:space="preserve">/construcao/construcao-deck/</t>
  </si>
  <si>
    <t xml:space="preserve">S0050</t>
  </si>
  <si>
    <t xml:space="preserve">Construção de muro</t>
  </si>
  <si>
    <t xml:space="preserve">/construcao/construcao-muro/</t>
  </si>
  <si>
    <t xml:space="preserve">S0051</t>
  </si>
  <si>
    <t xml:space="preserve">Construção de guarita residencial</t>
  </si>
  <si>
    <t xml:space="preserve">/construcao/construcao-guarita-residencial/</t>
  </si>
  <si>
    <t xml:space="preserve">S0052</t>
  </si>
  <si>
    <t xml:space="preserve">Construção de quadra esportiva residencial</t>
  </si>
  <si>
    <t xml:space="preserve">/construcao/construcao-quadra-esportiva-residencial/</t>
  </si>
  <si>
    <t xml:space="preserve">S0053</t>
  </si>
  <si>
    <t xml:space="preserve">Construção de heliponto residencial</t>
  </si>
  <si>
    <t xml:space="preserve">/construcao/construcao-heliponto-residencial/</t>
  </si>
  <si>
    <t xml:space="preserve">S0054</t>
  </si>
  <si>
    <t xml:space="preserve">Visitante que já sabe a categoria do problema, mas não o serviço exato. Investidor ou incorporador sem engenharia interna procurando quem execute ou gerencie um empreendimento. Avalia solidez, histórico e capacidade de cumprir cronograma.</t>
  </si>
  <si>
    <t xml:space="preserve">S0055</t>
  </si>
  <si>
    <t xml:space="preserve">Construção de edifício residencial</t>
  </si>
  <si>
    <t xml:space="preserve">/construcao/construcao-edificio-residencial/</t>
  </si>
  <si>
    <t xml:space="preserve">S0056</t>
  </si>
  <si>
    <t xml:space="preserve">Construção de edifício multifamiliar</t>
  </si>
  <si>
    <t xml:space="preserve">/construcao/construcao-edificio-multifamiliar/</t>
  </si>
  <si>
    <t xml:space="preserve">S0057</t>
  </si>
  <si>
    <t xml:space="preserve">Construção de residencial de pequeno porte</t>
  </si>
  <si>
    <t xml:space="preserve">/construcao/construcao-residencial-pequeno-porte/</t>
  </si>
  <si>
    <t xml:space="preserve">S0058</t>
  </si>
  <si>
    <t xml:space="preserve">Construção de casas geminadas</t>
  </si>
  <si>
    <t xml:space="preserve">/construcao/construcao-casas-geminadas/</t>
  </si>
  <si>
    <t xml:space="preserve">S0059</t>
  </si>
  <si>
    <t xml:space="preserve">Visitante que já sabe a categoria do problema, mas não o serviço exato. Dono de negócio ou gestor que precisa do espaço pronto na data certa. Procura experiência comprovada no mesmo tipo de obra e segurança nas aprovações.</t>
  </si>
  <si>
    <t xml:space="preserve">S0060</t>
  </si>
  <si>
    <t xml:space="preserve">Construção de edifício comercial</t>
  </si>
  <si>
    <t xml:space="preserve">/construcao/construcao-edificio-comercial/</t>
  </si>
  <si>
    <t xml:space="preserve">S0061</t>
  </si>
  <si>
    <t xml:space="preserve">Construção de sala comercial</t>
  </si>
  <si>
    <t xml:space="preserve">/construcao/construcao-sala-comercial/</t>
  </si>
  <si>
    <t xml:space="preserve">S0062</t>
  </si>
  <si>
    <t xml:space="preserve">Construção de loja</t>
  </si>
  <si>
    <t xml:space="preserve">/construcao/construcao-loja/</t>
  </si>
  <si>
    <t xml:space="preserve">S0063</t>
  </si>
  <si>
    <t xml:space="preserve">Construção de centro comercial</t>
  </si>
  <si>
    <t xml:space="preserve">/construcao/construcao-centro-comercial/</t>
  </si>
  <si>
    <t xml:space="preserve">S0064</t>
  </si>
  <si>
    <t xml:space="preserve">Construção de escritório corporativo</t>
  </si>
  <si>
    <t xml:space="preserve">/construcao/construcao-escritorio-corporativo/</t>
  </si>
  <si>
    <t xml:space="preserve">S0065</t>
  </si>
  <si>
    <t xml:space="preserve">Construção de sede de empresa</t>
  </si>
  <si>
    <t xml:space="preserve">/construcao/construcao-sede-empresa/</t>
  </si>
  <si>
    <t xml:space="preserve">S0066</t>
  </si>
  <si>
    <t xml:space="preserve">Construção de restaurante</t>
  </si>
  <si>
    <t xml:space="preserve">/construcao/construcao-restaurante/</t>
  </si>
  <si>
    <t xml:space="preserve">S0067</t>
  </si>
  <si>
    <t xml:space="preserve">Construção de supermercado</t>
  </si>
  <si>
    <t xml:space="preserve">/construcao/construcao-supermercado/</t>
  </si>
  <si>
    <t xml:space="preserve">S0068</t>
  </si>
  <si>
    <t xml:space="preserve">Construção de concessionária de veículos</t>
  </si>
  <si>
    <t xml:space="preserve">/construcao/construcao-concessionaria-veiculos/</t>
  </si>
  <si>
    <t xml:space="preserve">S0069</t>
  </si>
  <si>
    <t xml:space="preserve">Construção de posto de combustível</t>
  </si>
  <si>
    <t xml:space="preserve">/construcao/construcao-posto-combustivel/</t>
  </si>
  <si>
    <t xml:space="preserve">S0070</t>
  </si>
  <si>
    <t xml:space="preserve">Construção de estacionamento</t>
  </si>
  <si>
    <t xml:space="preserve">/construcao/construcao-estacionamento/</t>
  </si>
  <si>
    <t xml:space="preserve">S0071</t>
  </si>
  <si>
    <t xml:space="preserve">Visitante que já sabe a categoria do problema, mas não o serviço exato. Profissional de saúde que vai abrir ou ampliar o espaço. Tem medo de reprovação na Vigilância Sanitária e de atrasar a agenda de pacientes.</t>
  </si>
  <si>
    <t xml:space="preserve">S0072</t>
  </si>
  <si>
    <t xml:space="preserve">Construção de clínica médica</t>
  </si>
  <si>
    <t xml:space="preserve">Profissional de saúde que vai abrir ou ampliar o espaço. Tem medo de reprovação na Vigilância Sanitária e de atrasar a agenda de pacientes. Exigências sanitárias e data de inauguração pesam na decisão.</t>
  </si>
  <si>
    <t xml:space="preserve">/construcao/construcao-clinica-medica/</t>
  </si>
  <si>
    <t xml:space="preserve">S0073</t>
  </si>
  <si>
    <t xml:space="preserve">Construção de clínica odontológica</t>
  </si>
  <si>
    <t xml:space="preserve">/construcao/construcao-clinica-odontologica/</t>
  </si>
  <si>
    <t xml:space="preserve">S0074</t>
  </si>
  <si>
    <t xml:space="preserve">Construção de clínica de estética</t>
  </si>
  <si>
    <t xml:space="preserve">/construcao/construcao-clinica-estetica/</t>
  </si>
  <si>
    <t xml:space="preserve">S0075</t>
  </si>
  <si>
    <t xml:space="preserve">Construção de consultório</t>
  </si>
  <si>
    <t xml:space="preserve">/construcao/construcao-consultorio/</t>
  </si>
  <si>
    <t xml:space="preserve">S0076</t>
  </si>
  <si>
    <t xml:space="preserve">Construção de laboratório</t>
  </si>
  <si>
    <t xml:space="preserve">/construcao/construcao-laboratorio/</t>
  </si>
  <si>
    <t xml:space="preserve">S0077</t>
  </si>
  <si>
    <t xml:space="preserve">Visitante que já sabe a categoria do problema, mas não o serviço exato. Mantenedora, diretoria ou entidade que precisa de obra defensável perante conselho e associados, com documentação impecável e prazo alinhado ao calendário.</t>
  </si>
  <si>
    <t xml:space="preserve">S0078</t>
  </si>
  <si>
    <t xml:space="preserve">Construção de escola</t>
  </si>
  <si>
    <t xml:space="preserve">Mantenedora, diretoria ou entidade que precisa de obra defensável perante conselho e associados, com documentação impecável e prazo alinhado ao calendário. A janela de férias escolares define o prazo.</t>
  </si>
  <si>
    <t xml:space="preserve">/construcao/construcao-escola/</t>
  </si>
  <si>
    <t xml:space="preserve">S0079</t>
  </si>
  <si>
    <t xml:space="preserve">Construção de creche</t>
  </si>
  <si>
    <t xml:space="preserve">/construcao/construcao-creche/</t>
  </si>
  <si>
    <t xml:space="preserve">S0080</t>
  </si>
  <si>
    <t xml:space="preserve">Construção de academia</t>
  </si>
  <si>
    <t xml:space="preserve">/construcao/construcao-academia/</t>
  </si>
  <si>
    <t xml:space="preserve">S0081</t>
  </si>
  <si>
    <t xml:space="preserve">Construção de sede de sindicato</t>
  </si>
  <si>
    <t xml:space="preserve">/construcao/construcao-sede-sindicato/</t>
  </si>
  <si>
    <t xml:space="preserve">S0082</t>
  </si>
  <si>
    <t xml:space="preserve">Construção de sede de associação</t>
  </si>
  <si>
    <t xml:space="preserve">/construcao/construcao-sede-associacao/</t>
  </si>
  <si>
    <t xml:space="preserve">S0083</t>
  </si>
  <si>
    <t xml:space="preserve">Construção de templo religioso</t>
  </si>
  <si>
    <t xml:space="preserve">/construcao/construcao-templo-religioso/</t>
  </si>
  <si>
    <t xml:space="preserve">S0084</t>
  </si>
  <si>
    <t xml:space="preserve">Visitante que já sabe a categoria do problema, mas não o serviço exato. Empreendedor de hospedagem que precisa construir ou ampliar fora da temporada, com acabamento que resista ao uso intenso e gere boas avaliações.</t>
  </si>
  <si>
    <t xml:space="preserve">S0085</t>
  </si>
  <si>
    <t xml:space="preserve">Construção de hotel</t>
  </si>
  <si>
    <t xml:space="preserve">Empreendedor de hospedagem que precisa construir ou ampliar fora da temporada, com acabamento que resista ao uso intenso e gere boas avaliações. Precisa terminar fora da alta temporada.</t>
  </si>
  <si>
    <t xml:space="preserve">/construcao/construcao-hotel/</t>
  </si>
  <si>
    <t xml:space="preserve">S0086</t>
  </si>
  <si>
    <t xml:space="preserve">Construção de pousada</t>
  </si>
  <si>
    <t xml:space="preserve">/construcao/construcao-pousada/</t>
  </si>
  <si>
    <t xml:space="preserve">S0087</t>
  </si>
  <si>
    <t xml:space="preserve">Visitante que já sabe a categoria do problema, mas não o serviço exato. Empresa ou investidor que precisa de galpão funcional, rápido e com custo previsível; compara sistemas e prazos.</t>
  </si>
  <si>
    <t xml:space="preserve">S0088</t>
  </si>
  <si>
    <t xml:space="preserve">Construção de galpão</t>
  </si>
  <si>
    <t xml:space="preserve">/construcao/construcao-galpao/</t>
  </si>
  <si>
    <t xml:space="preserve">S0089</t>
  </si>
  <si>
    <t xml:space="preserve">Construção de galpão logístico</t>
  </si>
  <si>
    <t xml:space="preserve">/construcao/construcao-galpao-logistico/</t>
  </si>
  <si>
    <t xml:space="preserve">S0090</t>
  </si>
  <si>
    <t xml:space="preserve">Construção de galpão industrial</t>
  </si>
  <si>
    <t xml:space="preserve">/construcao/construcao-galpao-industrial/</t>
  </si>
  <si>
    <t xml:space="preserve">S0091</t>
  </si>
  <si>
    <t xml:space="preserve">Construção de galpão em estrutura metálica</t>
  </si>
  <si>
    <t xml:space="preserve">/construcao/construcao-galpao-em-estrutura-metalica/</t>
  </si>
  <si>
    <t xml:space="preserve">S0092</t>
  </si>
  <si>
    <t xml:space="preserve">Construção de pavilhão</t>
  </si>
  <si>
    <t xml:space="preserve">/construcao/construcao-pavilhao/</t>
  </si>
  <si>
    <t xml:space="preserve">S0093</t>
  </si>
  <si>
    <t xml:space="preserve">Construção de agroindústria</t>
  </si>
  <si>
    <t xml:space="preserve">/construcao/construcao-agroindustria/</t>
  </si>
  <si>
    <t xml:space="preserve">S0094</t>
  </si>
  <si>
    <t xml:space="preserve">Visitante que já sabe a categoria do problema, mas não o serviço exato. Tem terreno com desafio técnico, como aclive, solo arenoso ou lençol freático alto, e precisa resolver a base da obra com segurança antes de qualquer outra etapa.</t>
  </si>
  <si>
    <t xml:space="preserve">Adjacente</t>
  </si>
  <si>
    <t xml:space="preserve">S0095</t>
  </si>
  <si>
    <t xml:space="preserve">Execução de fundações</t>
  </si>
  <si>
    <t xml:space="preserve">Fundo</t>
  </si>
  <si>
    <t xml:space="preserve">/construcao/execucao-fundacoes/</t>
  </si>
  <si>
    <t xml:space="preserve">S0096</t>
  </si>
  <si>
    <t xml:space="preserve">Execução de estacas</t>
  </si>
  <si>
    <t xml:space="preserve">/construcao/execucao-estacas/</t>
  </si>
  <si>
    <t xml:space="preserve">S0097</t>
  </si>
  <si>
    <t xml:space="preserve">Execução de sapatas</t>
  </si>
  <si>
    <t xml:space="preserve">/construcao/execucao-sapatas/</t>
  </si>
  <si>
    <t xml:space="preserve">S0098</t>
  </si>
  <si>
    <t xml:space="preserve">Execução de radier</t>
  </si>
  <si>
    <t xml:space="preserve">/construcao/execucao-radier/</t>
  </si>
  <si>
    <t xml:space="preserve">S0099</t>
  </si>
  <si>
    <t xml:space="preserve">Sondagem de solo</t>
  </si>
  <si>
    <t xml:space="preserve">/construcao/sondagem-solo/</t>
  </si>
  <si>
    <t xml:space="preserve">S0100</t>
  </si>
  <si>
    <t xml:space="preserve">Investigação geotécnica</t>
  </si>
  <si>
    <t xml:space="preserve">/construcao/investigacao-geotecnica/</t>
  </si>
  <si>
    <t xml:space="preserve">S0101</t>
  </si>
  <si>
    <t xml:space="preserve">Execução de muro de arrimo</t>
  </si>
  <si>
    <t xml:space="preserve">/construcao/execucao-muro-arrimo/</t>
  </si>
  <si>
    <t xml:space="preserve">S0102</t>
  </si>
  <si>
    <t xml:space="preserve">Execução de contenção</t>
  </si>
  <si>
    <t xml:space="preserve">/construcao/execucao-contencao/</t>
  </si>
  <si>
    <t xml:space="preserve">S0103</t>
  </si>
  <si>
    <t xml:space="preserve">Execução de cortina atirantada</t>
  </si>
  <si>
    <t xml:space="preserve">/construcao/execucao-cortina-atirantada/</t>
  </si>
  <si>
    <t xml:space="preserve">S0104</t>
  </si>
  <si>
    <t xml:space="preserve">Estabilização de encosta</t>
  </si>
  <si>
    <t xml:space="preserve">/construcao/estabilizacao-encosta/</t>
  </si>
  <si>
    <t xml:space="preserve">S0105</t>
  </si>
  <si>
    <t xml:space="preserve">Estabilização de talude</t>
  </si>
  <si>
    <t xml:space="preserve">/construcao/estabilizacao-talude/</t>
  </si>
  <si>
    <t xml:space="preserve">S0106</t>
  </si>
  <si>
    <t xml:space="preserve">Terraplenagem</t>
  </si>
  <si>
    <t xml:space="preserve">/construcao/terraplenagem/</t>
  </si>
  <si>
    <t xml:space="preserve">S0107</t>
  </si>
  <si>
    <t xml:space="preserve">Escavação</t>
  </si>
  <si>
    <t xml:space="preserve">/construcao/escavacao/</t>
  </si>
  <si>
    <t xml:space="preserve">S0108</t>
  </si>
  <si>
    <t xml:space="preserve">Rebaixamento de lençol freático</t>
  </si>
  <si>
    <t xml:space="preserve">/construcao/rebaixamento-lencol-freatico/</t>
  </si>
  <si>
    <t xml:space="preserve">S0109</t>
  </si>
  <si>
    <t xml:space="preserve">Drenagem de terreno</t>
  </si>
  <si>
    <t xml:space="preserve">/construcao/drenagem-terreno/</t>
  </si>
  <si>
    <t xml:space="preserve">S0110</t>
  </si>
  <si>
    <t xml:space="preserve">Limpeza de terreno</t>
  </si>
  <si>
    <t xml:space="preserve">/construcao/limpeza-terreno/</t>
  </si>
  <si>
    <t xml:space="preserve">S0111</t>
  </si>
  <si>
    <t xml:space="preserve">Demolição de edificação</t>
  </si>
  <si>
    <t xml:space="preserve">/construcao/demolicao-edificacao/</t>
  </si>
  <si>
    <t xml:space="preserve">S0112</t>
  </si>
  <si>
    <t xml:space="preserve">Remoção de entulho</t>
  </si>
  <si>
    <t xml:space="preserve">/construcao/remocao-entulho/</t>
  </si>
  <si>
    <t xml:space="preserve">S0113</t>
  </si>
  <si>
    <t xml:space="preserve">Visitante que já sabe a categoria do problema, mas não o serviço exato. Quer finalizar o entorno da casa com o mesmo padrão do interior. Busca integração entre paisagismo, iluminação e pavimentos sem retrabalho.</t>
  </si>
  <si>
    <t xml:space="preserve">Parceiro</t>
  </si>
  <si>
    <t xml:space="preserve">Baixa</t>
  </si>
  <si>
    <t xml:space="preserve">S0114</t>
  </si>
  <si>
    <t xml:space="preserve">Construção de área de lazer</t>
  </si>
  <si>
    <t xml:space="preserve">/construcao/construcao-area-lazer/</t>
  </si>
  <si>
    <t xml:space="preserve">S0115</t>
  </si>
  <si>
    <t xml:space="preserve">Paisagismo executivo</t>
  </si>
  <si>
    <t xml:space="preserve">/construcao/paisagismo-executivo/</t>
  </si>
  <si>
    <t xml:space="preserve">S0116</t>
  </si>
  <si>
    <t xml:space="preserve">Execução de jardim</t>
  </si>
  <si>
    <t xml:space="preserve">/construcao/execucao-jardim/</t>
  </si>
  <si>
    <t xml:space="preserve">S0117</t>
  </si>
  <si>
    <t xml:space="preserve">Execução de irrigação automatizada</t>
  </si>
  <si>
    <t xml:space="preserve">/construcao/execucao-irrigacao-automatizada/</t>
  </si>
  <si>
    <t xml:space="preserve">S0118</t>
  </si>
  <si>
    <t xml:space="preserve">Execução de iluminação externa</t>
  </si>
  <si>
    <t xml:space="preserve">/construcao/execucao-iluminacao-externa/</t>
  </si>
  <si>
    <t xml:space="preserve">S0119</t>
  </si>
  <si>
    <t xml:space="preserve">Execução de calçada</t>
  </si>
  <si>
    <t xml:space="preserve">/construcao/execucao-calcada/</t>
  </si>
  <si>
    <t xml:space="preserve">S0120</t>
  </si>
  <si>
    <t xml:space="preserve">Execução de pavimentação</t>
  </si>
  <si>
    <t xml:space="preserve">/construcao/execucao-pavimentacao/</t>
  </si>
  <si>
    <t xml:space="preserve">S0121</t>
  </si>
  <si>
    <t xml:space="preserve">Execução de pavimento intertravado</t>
  </si>
  <si>
    <t xml:space="preserve">/construcao/execucao-pavimento-intertravado/</t>
  </si>
  <si>
    <t xml:space="preserve">S0122</t>
  </si>
  <si>
    <t xml:space="preserve">Execução de deck de madeira</t>
  </si>
  <si>
    <t xml:space="preserve">/construcao/execucao-deck-madeira/</t>
  </si>
  <si>
    <t xml:space="preserve">S0123</t>
  </si>
  <si>
    <t xml:space="preserve">Execução de deck de piscina</t>
  </si>
  <si>
    <t xml:space="preserve">/construcao/execucao-deck-piscina/</t>
  </si>
  <si>
    <t xml:space="preserve">S0124</t>
  </si>
  <si>
    <t xml:space="preserve">Execução de muros de divisa</t>
  </si>
  <si>
    <t xml:space="preserve">/construcao/execucao-muros-divisa/</t>
  </si>
  <si>
    <t xml:space="preserve">S0125</t>
  </si>
  <si>
    <t xml:space="preserve">Execução de portões</t>
  </si>
  <si>
    <t xml:space="preserve">/construcao/execucao-portoes/</t>
  </si>
  <si>
    <t xml:space="preserve">S0126</t>
  </si>
  <si>
    <t xml:space="preserve">Execução de cercamento</t>
  </si>
  <si>
    <t xml:space="preserve">/construcao/execucao-cercamento/</t>
  </si>
  <si>
    <t xml:space="preserve">S0127</t>
  </si>
  <si>
    <t xml:space="preserve">Visitante que já sabe a categoria do problema, mas não o serviço exato. Tem um imóvel que não atende mais ao padrão desejado e quer transformá-lo sem viver meses de caos. Compara empresas pela prova de obras semelhantes, pelo processo e pela segurança de prazo.</t>
  </si>
  <si>
    <t xml:space="preserve">S0128</t>
  </si>
  <si>
    <t xml:space="preserve">Reforma residencial</t>
  </si>
  <si>
    <t xml:space="preserve">/reformas/reforma-residencial/</t>
  </si>
  <si>
    <t xml:space="preserve">S0129</t>
  </si>
  <si>
    <t xml:space="preserve">Reforma de alto padrão</t>
  </si>
  <si>
    <t xml:space="preserve">Tem um imóvel que não atende mais ao padrão desejado e quer transformá-lo sem viver meses de caos. Compara empresas pela prova de obras semelhantes, pelo processo e pela segurança de prazo. Termo com sinal de exclusividade: filtra naturalmente o público e combina com o posicionamento premium.</t>
  </si>
  <si>
    <t xml:space="preserve">/reformas/reforma-residencial/#reforma-alto-padrao</t>
  </si>
  <si>
    <t xml:space="preserve">S0130</t>
  </si>
  <si>
    <t xml:space="preserve">Reforma de casa</t>
  </si>
  <si>
    <t xml:space="preserve">/reformas/reforma-casa/</t>
  </si>
  <si>
    <t xml:space="preserve">S0131</t>
  </si>
  <si>
    <t xml:space="preserve">Reforma de apartamento</t>
  </si>
  <si>
    <t xml:space="preserve">/reformas/reforma-apartamento/</t>
  </si>
  <si>
    <t xml:space="preserve">S0132</t>
  </si>
  <si>
    <t xml:space="preserve">Reforma de apartamento de alto padrão</t>
  </si>
  <si>
    <t xml:space="preserve">/reformas/reforma-apartamento-alto-padrao/</t>
  </si>
  <si>
    <t xml:space="preserve">S0133</t>
  </si>
  <si>
    <t xml:space="preserve">Reforma de cobertura</t>
  </si>
  <si>
    <t xml:space="preserve">/reformas/reforma-cobertura/</t>
  </si>
  <si>
    <t xml:space="preserve">S0134</t>
  </si>
  <si>
    <t xml:space="preserve">Reforma de casa de praia</t>
  </si>
  <si>
    <t xml:space="preserve">Tem um imóvel que não atende mais ao padrão desejado e quer transformá-lo sem viver meses de caos. Compara empresas pela prova de obras semelhantes, pelo processo e pela segurança de prazo. Carrega preocupação com maresia, umidade e o calendário da temporada.</t>
  </si>
  <si>
    <t xml:space="preserve">/reformas/reforma-casa-praia/</t>
  </si>
  <si>
    <t xml:space="preserve">S0135</t>
  </si>
  <si>
    <t xml:space="preserve">Reforma completa</t>
  </si>
  <si>
    <t xml:space="preserve">/reformas/reforma-completa/</t>
  </si>
  <si>
    <t xml:space="preserve">S0136</t>
  </si>
  <si>
    <t xml:space="preserve">Reforma parcial</t>
  </si>
  <si>
    <t xml:space="preserve">/reformas/reforma-parcial/</t>
  </si>
  <si>
    <t xml:space="preserve">S0137</t>
  </si>
  <si>
    <t xml:space="preserve">Reforma estrutural</t>
  </si>
  <si>
    <t xml:space="preserve">/reformas/reforma-estrutural/</t>
  </si>
  <si>
    <t xml:space="preserve">S0138</t>
  </si>
  <si>
    <t xml:space="preserve">Reforma com mudança de layout</t>
  </si>
  <si>
    <t xml:space="preserve">/reformas/reforma-com-mudanca-layout/</t>
  </si>
  <si>
    <t xml:space="preserve">S0139</t>
  </si>
  <si>
    <t xml:space="preserve">Reforma de imóvel recém-comprado</t>
  </si>
  <si>
    <t xml:space="preserve">/reformas/reforma-imovel-recem-comprado/</t>
  </si>
  <si>
    <t xml:space="preserve">S0140</t>
  </si>
  <si>
    <t xml:space="preserve">Reforma de imóvel herdado</t>
  </si>
  <si>
    <t xml:space="preserve">Tem um imóvel que não atende mais ao padrão desejado e quer transformá-lo sem viver meses de caos. Compara empresas pela prova de obras semelhantes, pelo processo e pela segurança de prazo. Pode haver vários herdeiros decidindo juntos; a neutralidade técnica é valorizada.</t>
  </si>
  <si>
    <t xml:space="preserve">/reformas/reforma-imovel-herdado/</t>
  </si>
  <si>
    <t xml:space="preserve">S0141</t>
  </si>
  <si>
    <t xml:space="preserve">Reforma para venda</t>
  </si>
  <si>
    <t xml:space="preserve">/reformas/reforma-para-venda/</t>
  </si>
  <si>
    <t xml:space="preserve">S0142</t>
  </si>
  <si>
    <t xml:space="preserve">Reforma para locação</t>
  </si>
  <si>
    <t xml:space="preserve">/reformas/reforma-para-locacao/</t>
  </si>
  <si>
    <t xml:space="preserve">S0143</t>
  </si>
  <si>
    <t xml:space="preserve">Reforma para locação por temporada</t>
  </si>
  <si>
    <t xml:space="preserve">Tem um imóvel que não atende mais ao padrão desejado e quer transformá-lo sem viver meses de caos. Compara empresas pela prova de obras semelhantes, pelo processo e pela segurança de prazo. Precisa terminar fora da alta temporada.</t>
  </si>
  <si>
    <t xml:space="preserve">/reformas/reforma-para-locacao-por-temporada/</t>
  </si>
  <si>
    <t xml:space="preserve">S0144</t>
  </si>
  <si>
    <t xml:space="preserve">Reforma rápida</t>
  </si>
  <si>
    <t xml:space="preserve">/reformas/reforma-rapida/</t>
  </si>
  <si>
    <t xml:space="preserve">S0145</t>
  </si>
  <si>
    <t xml:space="preserve">Reforma com o imóvel habitado</t>
  </si>
  <si>
    <t xml:space="preserve">/reformas/reforma-com-o-imovel-habitado/</t>
  </si>
  <si>
    <t xml:space="preserve">S0146</t>
  </si>
  <si>
    <t xml:space="preserve">Reforma de imóvel antigo</t>
  </si>
  <si>
    <t xml:space="preserve">/reformas/reforma-imovel-antigo/</t>
  </si>
  <si>
    <t xml:space="preserve">S0147</t>
  </si>
  <si>
    <t xml:space="preserve">Reforma de casa histórica</t>
  </si>
  <si>
    <t xml:space="preserve">/reformas/reforma-casa-historica/</t>
  </si>
  <si>
    <t xml:space="preserve">S0148</t>
  </si>
  <si>
    <t xml:space="preserve">Reforma de imóvel tombado</t>
  </si>
  <si>
    <t xml:space="preserve">/reformas/reforma-imovel-tombado/</t>
  </si>
  <si>
    <t xml:space="preserve">S0149</t>
  </si>
  <si>
    <t xml:space="preserve">Visitante que já sabe a categoria do problema, mas não o serviço exato. Quer resolver um ambiente específico com acabamento de alto padrão. Pesquisa referências, custo aproximado e prazo; teme que uma reforma pequena vire uma grande dor de cabeça.</t>
  </si>
  <si>
    <t xml:space="preserve">S0150</t>
  </si>
  <si>
    <t xml:space="preserve">Reforma de cozinha</t>
  </si>
  <si>
    <t xml:space="preserve">/reformas/reforma-cozinha/</t>
  </si>
  <si>
    <t xml:space="preserve">S0151</t>
  </si>
  <si>
    <t xml:space="preserve">Reforma de cozinha de alto padrão</t>
  </si>
  <si>
    <t xml:space="preserve">Quer resolver um ambiente específico com acabamento de alto padrão. Pesquisa referências, custo aproximado e prazo; teme que uma reforma pequena vire uma grande dor de cabeça. Termo com sinal de exclusividade: filtra naturalmente o público e combina com o posicionamento premium.</t>
  </si>
  <si>
    <t xml:space="preserve">/reformas/reforma-cozinha-alto-padrao/</t>
  </si>
  <si>
    <t xml:space="preserve">S0152</t>
  </si>
  <si>
    <t xml:space="preserve">Reforma de banheiro</t>
  </si>
  <si>
    <t xml:space="preserve">/reformas/reforma-banheiro/</t>
  </si>
  <si>
    <t xml:space="preserve">S0153</t>
  </si>
  <si>
    <t xml:space="preserve">Reforma de banheiro de alto padrão</t>
  </si>
  <si>
    <t xml:space="preserve">/reformas/reforma-banheiro-alto-padrao/</t>
  </si>
  <si>
    <t xml:space="preserve">S0154</t>
  </si>
  <si>
    <t xml:space="preserve">Reforma de lavabo</t>
  </si>
  <si>
    <t xml:space="preserve">/reformas/reforma-lavabo/</t>
  </si>
  <si>
    <t xml:space="preserve">S0155</t>
  </si>
  <si>
    <t xml:space="preserve">Reforma de suíte</t>
  </si>
  <si>
    <t xml:space="preserve">/reformas/reforma-suite/</t>
  </si>
  <si>
    <t xml:space="preserve">S0156</t>
  </si>
  <si>
    <t xml:space="preserve">Reforma de closet</t>
  </si>
  <si>
    <t xml:space="preserve">/reformas/reforma-closet/</t>
  </si>
  <si>
    <t xml:space="preserve">S0157</t>
  </si>
  <si>
    <t xml:space="preserve">Reforma de sala</t>
  </si>
  <si>
    <t xml:space="preserve">/reformas/reforma-sala/</t>
  </si>
  <si>
    <t xml:space="preserve">S0158</t>
  </si>
  <si>
    <t xml:space="preserve">Reforma de varanda</t>
  </si>
  <si>
    <t xml:space="preserve">/reformas/reforma-varanda/</t>
  </si>
  <si>
    <t xml:space="preserve">S0159</t>
  </si>
  <si>
    <t xml:space="preserve">Fechamento de varanda</t>
  </si>
  <si>
    <t xml:space="preserve">/reformas/fechamento-varanda/</t>
  </si>
  <si>
    <t xml:space="preserve">S0160</t>
  </si>
  <si>
    <t xml:space="preserve">Reforma de área gourmet</t>
  </si>
  <si>
    <t xml:space="preserve">/reformas/reforma-area-gourmet/</t>
  </si>
  <si>
    <t xml:space="preserve">S0161</t>
  </si>
  <si>
    <t xml:space="preserve">Reforma de lavanderia</t>
  </si>
  <si>
    <t xml:space="preserve">/reformas/reforma-lavanderia/</t>
  </si>
  <si>
    <t xml:space="preserve">S0162</t>
  </si>
  <si>
    <t xml:space="preserve">Reforma de home office</t>
  </si>
  <si>
    <t xml:space="preserve">/reformas/reforma-home-office/</t>
  </si>
  <si>
    <t xml:space="preserve">S0163</t>
  </si>
  <si>
    <t xml:space="preserve">Reforma de quarto infantil</t>
  </si>
  <si>
    <t xml:space="preserve">/reformas/reforma-quarto-infantil/</t>
  </si>
  <si>
    <t xml:space="preserve">S0164</t>
  </si>
  <si>
    <t xml:space="preserve">Integração de ambientes</t>
  </si>
  <si>
    <t xml:space="preserve">/reformas/integracao-ambientes/</t>
  </si>
  <si>
    <t xml:space="preserve">S0165</t>
  </si>
  <si>
    <t xml:space="preserve">Remoção de paredes</t>
  </si>
  <si>
    <t xml:space="preserve">/reformas/remocao-paredes/</t>
  </si>
  <si>
    <t xml:space="preserve">S0166</t>
  </si>
  <si>
    <t xml:space="preserve">Visitante que já sabe a categoria do problema, mas não o serviço exato. Precisa de mais espaço sem mudar de endereço. Tem dúvidas sobre viabilidade estrutural, aprovação e se a estrutura existente suporta o acréscimo.</t>
  </si>
  <si>
    <t xml:space="preserve">S0167</t>
  </si>
  <si>
    <t xml:space="preserve">Ampliação de casa</t>
  </si>
  <si>
    <t xml:space="preserve">/reformas/ampliacao-casa/</t>
  </si>
  <si>
    <t xml:space="preserve">S0168</t>
  </si>
  <si>
    <t xml:space="preserve">Ampliação de apartamento</t>
  </si>
  <si>
    <t xml:space="preserve">/reformas/ampliacao-apartamento/</t>
  </si>
  <si>
    <t xml:space="preserve">S0169</t>
  </si>
  <si>
    <t xml:space="preserve">Acréscimo de pavimento</t>
  </si>
  <si>
    <t xml:space="preserve">/reformas/acrescimo-pavimento/</t>
  </si>
  <si>
    <t xml:space="preserve">S0170</t>
  </si>
  <si>
    <t xml:space="preserve">Construção de mezanino</t>
  </si>
  <si>
    <t xml:space="preserve">/reformas/construcao-mezanino/</t>
  </si>
  <si>
    <t xml:space="preserve">S0171</t>
  </si>
  <si>
    <t xml:space="preserve">Transformação de garagem em ambiente</t>
  </si>
  <si>
    <t xml:space="preserve">/reformas/transformacao-garagem-em-ambiente/</t>
  </si>
  <si>
    <t xml:space="preserve">S0172</t>
  </si>
  <si>
    <t xml:space="preserve">Transformação de cobertura em área de lazer</t>
  </si>
  <si>
    <t xml:space="preserve">/reformas/transformacao-cobertura-em-area-lazer/</t>
  </si>
  <si>
    <t xml:space="preserve">S0173</t>
  </si>
  <si>
    <t xml:space="preserve">Visitante que já sabe a categoria do problema, mas não o serviço exato. Precisa reformar o espaço do negócio com o mínimo de tempo parado, muitas vezes com a operação funcionando. Prazo e aprovações pesam mais do que preço.</t>
  </si>
  <si>
    <t xml:space="preserve">S0174</t>
  </si>
  <si>
    <t xml:space="preserve">Reforma comercial</t>
  </si>
  <si>
    <t xml:space="preserve">/reformas/reforma-comercial/</t>
  </si>
  <si>
    <t xml:space="preserve">S0175</t>
  </si>
  <si>
    <t xml:space="preserve">Reforma de loja</t>
  </si>
  <si>
    <t xml:space="preserve">/reformas/reforma-loja/</t>
  </si>
  <si>
    <t xml:space="preserve">S0176</t>
  </si>
  <si>
    <t xml:space="preserve">Reforma de escritório</t>
  </si>
  <si>
    <t xml:space="preserve">/reformas/reforma-escritorio/</t>
  </si>
  <si>
    <t xml:space="preserve">S0177</t>
  </si>
  <si>
    <t xml:space="preserve">Reforma de sala comercial</t>
  </si>
  <si>
    <t xml:space="preserve">/reformas/reforma-sala-comercial/</t>
  </si>
  <si>
    <t xml:space="preserve">S0178</t>
  </si>
  <si>
    <t xml:space="preserve">Reforma de clínica</t>
  </si>
  <si>
    <t xml:space="preserve">Precisa reformar o espaço do negócio com o mínimo de tempo parado, muitas vezes com a operação funcionando. Prazo e aprovações pesam mais do que preço. Exigências sanitárias e data de inauguração pesam na decisão.</t>
  </si>
  <si>
    <t xml:space="preserve">/reformas/reforma-clinica/</t>
  </si>
  <si>
    <t xml:space="preserve">S0179</t>
  </si>
  <si>
    <t xml:space="preserve">Reforma de consultório</t>
  </si>
  <si>
    <t xml:space="preserve">/reformas/reforma-consultorio/</t>
  </si>
  <si>
    <t xml:space="preserve">S0180</t>
  </si>
  <si>
    <t xml:space="preserve">Reforma de escola</t>
  </si>
  <si>
    <t xml:space="preserve">Precisa reformar o espaço do negócio com o mínimo de tempo parado, muitas vezes com a operação funcionando. Prazo e aprovações pesam mais do que preço. A janela de férias escolares define o prazo.</t>
  </si>
  <si>
    <t xml:space="preserve">/reformas/reforma-escola/</t>
  </si>
  <si>
    <t xml:space="preserve">S0181</t>
  </si>
  <si>
    <t xml:space="preserve">Reforma de academia</t>
  </si>
  <si>
    <t xml:space="preserve">/reformas/reforma-academia/</t>
  </si>
  <si>
    <t xml:space="preserve">S0182</t>
  </si>
  <si>
    <t xml:space="preserve">Reforma de restaurante</t>
  </si>
  <si>
    <t xml:space="preserve">/reformas/reforma-restaurante/</t>
  </si>
  <si>
    <t xml:space="preserve">S0183</t>
  </si>
  <si>
    <t xml:space="preserve">Reforma de hotel</t>
  </si>
  <si>
    <t xml:space="preserve">Precisa reformar o espaço do negócio com o mínimo de tempo parado, muitas vezes com a operação funcionando. Prazo e aprovações pesam mais do que preço. Precisa terminar fora da alta temporada.</t>
  </si>
  <si>
    <t xml:space="preserve">/reformas/reforma-hotel/</t>
  </si>
  <si>
    <t xml:space="preserve">S0184</t>
  </si>
  <si>
    <t xml:space="preserve">Reforma de pousada</t>
  </si>
  <si>
    <t xml:space="preserve">/reformas/reforma-pousada/</t>
  </si>
  <si>
    <t xml:space="preserve">S0185</t>
  </si>
  <si>
    <t xml:space="preserve">Reforma de galpão</t>
  </si>
  <si>
    <t xml:space="preserve">/reformas/reforma-galpao/</t>
  </si>
  <si>
    <t xml:space="preserve">S0186</t>
  </si>
  <si>
    <t xml:space="preserve">Reforma de sindicato</t>
  </si>
  <si>
    <t xml:space="preserve">/reformas/reforma-sindicato/</t>
  </si>
  <si>
    <t xml:space="preserve">S0187</t>
  </si>
  <si>
    <t xml:space="preserve">Visitante que já sabe a categoria do problema, mas não o serviço exato. Síndico com obra aprovada em assembleia buscando executor ou fiscal. Precisa justificar escolha e custo aos condôminos.</t>
  </si>
  <si>
    <t xml:space="preserve">S0188</t>
  </si>
  <si>
    <t xml:space="preserve">Reforma de áreas comuns de condomínio</t>
  </si>
  <si>
    <t xml:space="preserve">Síndico com obra aprovada em assembleia buscando executor ou fiscal. Precisa justificar escolha e custo aos condôminos. Envolve decisão coletiva e regras internas do condomínio.</t>
  </si>
  <si>
    <t xml:space="preserve">/reformas/reforma-areas-comuns-condominio/</t>
  </si>
  <si>
    <t xml:space="preserve">S0189</t>
  </si>
  <si>
    <t xml:space="preserve">Reforma de salão de festas</t>
  </si>
  <si>
    <t xml:space="preserve">/reformas/reforma-salao-festas/</t>
  </si>
  <si>
    <t xml:space="preserve">S0190</t>
  </si>
  <si>
    <t xml:space="preserve">Reforma de hall de entrada</t>
  </si>
  <si>
    <t xml:space="preserve">/reformas/reforma-hall-entrada/</t>
  </si>
  <si>
    <t xml:space="preserve">S0191</t>
  </si>
  <si>
    <t xml:space="preserve">Reforma de portaria</t>
  </si>
  <si>
    <t xml:space="preserve">/reformas/reforma-portaria/</t>
  </si>
  <si>
    <t xml:space="preserve">S0192</t>
  </si>
  <si>
    <t xml:space="preserve">Reforma de garagem de condomínio</t>
  </si>
  <si>
    <t xml:space="preserve">/reformas/reforma-garagem-condominio/</t>
  </si>
  <si>
    <t xml:space="preserve">S0193</t>
  </si>
  <si>
    <t xml:space="preserve">Reforma de piscina</t>
  </si>
  <si>
    <t xml:space="preserve">/reformas/reforma-piscina/</t>
  </si>
  <si>
    <t xml:space="preserve">S0194</t>
  </si>
  <si>
    <t xml:space="preserve">Reforma de telhado</t>
  </si>
  <si>
    <t xml:space="preserve">/reformas/reforma-telhado/</t>
  </si>
  <si>
    <t xml:space="preserve">S0195</t>
  </si>
  <si>
    <t xml:space="preserve">Reforma de muro</t>
  </si>
  <si>
    <t xml:space="preserve">/reformas/reforma-muro/</t>
  </si>
  <si>
    <t xml:space="preserve">S0196</t>
  </si>
  <si>
    <t xml:space="preserve">Reforma de calçada</t>
  </si>
  <si>
    <t xml:space="preserve">/reformas/reforma-calcada/</t>
  </si>
  <si>
    <t xml:space="preserve">S0197</t>
  </si>
  <si>
    <t xml:space="preserve">Visitante que já sabe a categoria do problema, mas não o serviço exato. Dono de imóvel antigo que quer atualizar sistemas e valor de mercado. Busca quem entenda de edificações existentes, patologias escondidas e restrições de patrimônio.</t>
  </si>
  <si>
    <t xml:space="preserve">S0198</t>
  </si>
  <si>
    <t xml:space="preserve">Retrofit de edifício</t>
  </si>
  <si>
    <t xml:space="preserve">/reformas/retrofit-edificio/</t>
  </si>
  <si>
    <t xml:space="preserve">S0199</t>
  </si>
  <si>
    <t xml:space="preserve">Retrofit de edifício comercial</t>
  </si>
  <si>
    <t xml:space="preserve">/reformas/retrofit-edificio-comercial/</t>
  </si>
  <si>
    <t xml:space="preserve">S0200</t>
  </si>
  <si>
    <t xml:space="preserve">Retrofit de edifício residencial</t>
  </si>
  <si>
    <t xml:space="preserve">/reformas/retrofit-edificio-residencial/</t>
  </si>
  <si>
    <t xml:space="preserve">S0201</t>
  </si>
  <si>
    <t xml:space="preserve">Retrofit de apartamento</t>
  </si>
  <si>
    <t xml:space="preserve">/reformas/retrofit-apartamento/</t>
  </si>
  <si>
    <t xml:space="preserve">S0202</t>
  </si>
  <si>
    <t xml:space="preserve">Retrofit de casa</t>
  </si>
  <si>
    <t xml:space="preserve">/reformas/retrofit-casa/</t>
  </si>
  <si>
    <t xml:space="preserve">S0203</t>
  </si>
  <si>
    <t xml:space="preserve">Retrofit de instalações elétricas</t>
  </si>
  <si>
    <t xml:space="preserve">/reformas/retrofit-instalacoes-eletricas/</t>
  </si>
  <si>
    <t xml:space="preserve">S0204</t>
  </si>
  <si>
    <t xml:space="preserve">Retrofit de instalações hidráulicas</t>
  </si>
  <si>
    <t xml:space="preserve">/reformas/retrofit-instalacoes-hidraulicas/</t>
  </si>
  <si>
    <t xml:space="preserve">S0205</t>
  </si>
  <si>
    <t xml:space="preserve">Retrofit para eficiência energética</t>
  </si>
  <si>
    <t xml:space="preserve">/reformas/retrofit-para-eficiencia-energetica/</t>
  </si>
  <si>
    <t xml:space="preserve">S0206</t>
  </si>
  <si>
    <t xml:space="preserve">Retrofit sustentável</t>
  </si>
  <si>
    <t xml:space="preserve">/reformas/retrofit-para-eficiencia-energetica/#retrofit-sustentavel</t>
  </si>
  <si>
    <t xml:space="preserve">S0207</t>
  </si>
  <si>
    <t xml:space="preserve">Revitalização de imóvel</t>
  </si>
  <si>
    <t xml:space="preserve">/reformas/revitalizacao-imovel/</t>
  </si>
  <si>
    <t xml:space="preserve">S0208</t>
  </si>
  <si>
    <t xml:space="preserve">Revitalização de áreas comuns</t>
  </si>
  <si>
    <t xml:space="preserve">/reformas/revitalizacao-areas-comuns/</t>
  </si>
  <si>
    <t xml:space="preserve">S0209</t>
  </si>
  <si>
    <t xml:space="preserve">Restauro de edificação</t>
  </si>
  <si>
    <t xml:space="preserve">/reformas/restauro-edificacao/</t>
  </si>
  <si>
    <t xml:space="preserve">S0210</t>
  </si>
  <si>
    <t xml:space="preserve">Restauro de patrimônio histórico</t>
  </si>
  <si>
    <t xml:space="preserve">/reformas/restauro-patrimonio-historico/</t>
  </si>
  <si>
    <t xml:space="preserve">S0211</t>
  </si>
  <si>
    <t xml:space="preserve">Conversão de uso de edificação</t>
  </si>
  <si>
    <t xml:space="preserve">/reformas/conversao-uso-edificacao/</t>
  </si>
  <si>
    <t xml:space="preserve">S0212</t>
  </si>
  <si>
    <t xml:space="preserve">Conversão de edifício comercial em residencial</t>
  </si>
  <si>
    <t xml:space="preserve">/reformas/conversao-edificio-comercial-em-residencial/</t>
  </si>
  <si>
    <t xml:space="preserve">S0213</t>
  </si>
  <si>
    <t xml:space="preserve">Visitante que já sabe a categoria do problema, mas não o serviço exato. Família ou empresa que precisa adaptar o espaço com urgência, sem que a casa ou o negócio perca o padrão estético. Há carga emocional forte no caso residencial.</t>
  </si>
  <si>
    <t xml:space="preserve">S0214</t>
  </si>
  <si>
    <t xml:space="preserve">Adequação de acessibilidade</t>
  </si>
  <si>
    <t xml:space="preserve">Família ou empresa que precisa adaptar o espaço com urgência, sem que a casa ou o negócio perca o padrão estético. Há carga emocional forte no caso residencial. Decisão com carga emocional e urgência familiar.</t>
  </si>
  <si>
    <t xml:space="preserve">/reformas/adequacao-acessibilidade/</t>
  </si>
  <si>
    <t xml:space="preserve">S0215</t>
  </si>
  <si>
    <t xml:space="preserve">Adaptação de casa para idosos</t>
  </si>
  <si>
    <t xml:space="preserve">/reformas/adaptacao-casa-para-idosos/</t>
  </si>
  <si>
    <t xml:space="preserve">Lacuna</t>
  </si>
  <si>
    <t xml:space="preserve">S0216</t>
  </si>
  <si>
    <t xml:space="preserve">Adaptação de casa para pessoa com deficiência</t>
  </si>
  <si>
    <t xml:space="preserve">/reformas/adaptacao-casa-para-pessoa-com-deficiencia/</t>
  </si>
  <si>
    <t xml:space="preserve">S0217</t>
  </si>
  <si>
    <t xml:space="preserve">Construção de banheiro acessível</t>
  </si>
  <si>
    <t xml:space="preserve">/reformas/construcao-banheiro-acessivel/</t>
  </si>
  <si>
    <t xml:space="preserve">S0218</t>
  </si>
  <si>
    <t xml:space="preserve">Instalação de rampa</t>
  </si>
  <si>
    <t xml:space="preserve">/reformas/instalacao-rampa/</t>
  </si>
  <si>
    <t xml:space="preserve">S0219</t>
  </si>
  <si>
    <t xml:space="preserve">Adaptação de edificação comercial à NBR 9050</t>
  </si>
  <si>
    <t xml:space="preserve">/reformas/adaptacao-edificacao-comercial-a-nbr-9050/</t>
  </si>
  <si>
    <t xml:space="preserve">S0220</t>
  </si>
  <si>
    <t xml:space="preserve">Adaptação de condomínio para acessibilidade</t>
  </si>
  <si>
    <t xml:space="preserve">Família ou empresa que precisa adaptar o espaço com urgência, sem que a casa ou o negócio perca o padrão estético. Há carga emocional forte no caso residencial. Envolve decisão coletiva e regras internas do condomínio.</t>
  </si>
  <si>
    <t xml:space="preserve">/reformas/adaptacao-condominio-para-acessibilidade/</t>
  </si>
  <si>
    <t xml:space="preserve">S0221</t>
  </si>
  <si>
    <t xml:space="preserve">Visitante que já sabe a categoria do problema, mas não o serviço exato. Quer um acabamento específico executado com perfeição, geralmente especificado pelo arquiteto. Busca mão de obra qualificada e gestão do detalhe.</t>
  </si>
  <si>
    <t xml:space="preserve">S0222</t>
  </si>
  <si>
    <t xml:space="preserve">Execução de acabamentos de alto padrão</t>
  </si>
  <si>
    <t xml:space="preserve">Quer um acabamento específico executado com perfeição, geralmente especificado pelo arquiteto. Busca mão de obra qualificada e gestão do detalhe. Termo com sinal de exclusividade: filtra naturalmente o público e combina com o posicionamento premium.</t>
  </si>
  <si>
    <t xml:space="preserve">/reformas/execucao-acabamentos-alto-padrao/</t>
  </si>
  <si>
    <t xml:space="preserve">S0223</t>
  </si>
  <si>
    <t xml:space="preserve">Assentamento de porcelanato</t>
  </si>
  <si>
    <t xml:space="preserve">/reformas/assentamento-porcelanato/</t>
  </si>
  <si>
    <t xml:space="preserve">S0224</t>
  </si>
  <si>
    <t xml:space="preserve">Assentamento de mármore</t>
  </si>
  <si>
    <t xml:space="preserve">/reformas/assentamento-marmore/</t>
  </si>
  <si>
    <t xml:space="preserve">S0225</t>
  </si>
  <si>
    <t xml:space="preserve">Assentamento de granito</t>
  </si>
  <si>
    <t xml:space="preserve">/reformas/assentamento-granito/</t>
  </si>
  <si>
    <t xml:space="preserve">S0226</t>
  </si>
  <si>
    <t xml:space="preserve">Instalação de piso de madeira</t>
  </si>
  <si>
    <t xml:space="preserve">/reformas/instalacao-piso-madeira/</t>
  </si>
  <si>
    <t xml:space="preserve">S0227</t>
  </si>
  <si>
    <t xml:space="preserve">Instalação de piso vinílico</t>
  </si>
  <si>
    <t xml:space="preserve">/reformas/instalacao-piso-vinilico/</t>
  </si>
  <si>
    <t xml:space="preserve">S0228</t>
  </si>
  <si>
    <t xml:space="preserve">Execução de piso em concreto polido</t>
  </si>
  <si>
    <t xml:space="preserve">/reformas/execucao-piso-em-concreto-polido/</t>
  </si>
  <si>
    <t xml:space="preserve">S0229</t>
  </si>
  <si>
    <t xml:space="preserve">Execução de piso em microcimento</t>
  </si>
  <si>
    <t xml:space="preserve">/reformas/execucao-piso-em-microcimento/</t>
  </si>
  <si>
    <t xml:space="preserve">S0230</t>
  </si>
  <si>
    <t xml:space="preserve">Execução de forro de gesso</t>
  </si>
  <si>
    <t xml:space="preserve">/reformas/execucao-forro-gesso/</t>
  </si>
  <si>
    <t xml:space="preserve">S0231</t>
  </si>
  <si>
    <t xml:space="preserve">Execução de drywall</t>
  </si>
  <si>
    <t xml:space="preserve">/reformas/execucao-drywall/</t>
  </si>
  <si>
    <t xml:space="preserve">S0232</t>
  </si>
  <si>
    <t xml:space="preserve">Execução de sanca</t>
  </si>
  <si>
    <t xml:space="preserve">/reformas/execucao-sanca/</t>
  </si>
  <si>
    <t xml:space="preserve">S0233</t>
  </si>
  <si>
    <t xml:space="preserve">Execução de isolamento acústico</t>
  </si>
  <si>
    <t xml:space="preserve">/reformas/execucao-isolamento-acustico/</t>
  </si>
  <si>
    <t xml:space="preserve">S0234</t>
  </si>
  <si>
    <t xml:space="preserve">Pintura residencial</t>
  </si>
  <si>
    <t xml:space="preserve">/reformas/pintura-residencial/</t>
  </si>
  <si>
    <t xml:space="preserve">S0235</t>
  </si>
  <si>
    <t xml:space="preserve">Pintura comercial</t>
  </si>
  <si>
    <t xml:space="preserve">/reformas/pintura-comercial/</t>
  </si>
  <si>
    <t xml:space="preserve">S0236</t>
  </si>
  <si>
    <t xml:space="preserve">Pintura de alto padrão</t>
  </si>
  <si>
    <t xml:space="preserve">/reformas/pintura-alto-padrao/</t>
  </si>
  <si>
    <t xml:space="preserve">S0237</t>
  </si>
  <si>
    <t xml:space="preserve">Execução de texturas decorativas</t>
  </si>
  <si>
    <t xml:space="preserve">/reformas/execucao-texturas-decorativas/</t>
  </si>
  <si>
    <t xml:space="preserve">S0238</t>
  </si>
  <si>
    <t xml:space="preserve">Instalação de esquadrias</t>
  </si>
  <si>
    <t xml:space="preserve">/reformas/instalacao-esquadrias/</t>
  </si>
  <si>
    <t xml:space="preserve">S0239</t>
  </si>
  <si>
    <t xml:space="preserve">Troca de esquadrias</t>
  </si>
  <si>
    <t xml:space="preserve">/reformas/troca-esquadrias/</t>
  </si>
  <si>
    <t xml:space="preserve">S0240</t>
  </si>
  <si>
    <t xml:space="preserve">Instalação de esquadrias de alumínio</t>
  </si>
  <si>
    <t xml:space="preserve">/reformas/instalacao-esquadrias-aluminio/</t>
  </si>
  <si>
    <t xml:space="preserve">S0241</t>
  </si>
  <si>
    <t xml:space="preserve">Instalação de vidros</t>
  </si>
  <si>
    <t xml:space="preserve">/reformas/instalacao-vidros/</t>
  </si>
  <si>
    <t xml:space="preserve">S0242</t>
  </si>
  <si>
    <t xml:space="preserve">Instalação de guarda-corpo</t>
  </si>
  <si>
    <t xml:space="preserve">/reformas/instalacao-guarda-corpo/</t>
  </si>
  <si>
    <t xml:space="preserve">S0243</t>
  </si>
  <si>
    <t xml:space="preserve">Instalação de marcenaria</t>
  </si>
  <si>
    <t xml:space="preserve">Quer um acabamento específico executado com perfeição, geralmente especificado pelo arquiteto. Busca mão de obra qualificada e gestão do detalhe. Carrega preocupação com maresia, umidade e o calendário da temporada.</t>
  </si>
  <si>
    <t xml:space="preserve">/reformas/instalacao-marcenaria/</t>
  </si>
  <si>
    <t xml:space="preserve">S0244</t>
  </si>
  <si>
    <t xml:space="preserve">Gestão de marcenaria</t>
  </si>
  <si>
    <t xml:space="preserve">/reformas/gestao-marcenaria/</t>
  </si>
  <si>
    <t xml:space="preserve">S0245</t>
  </si>
  <si>
    <t xml:space="preserve">Instalação de iluminação decorativa</t>
  </si>
  <si>
    <t xml:space="preserve">/reformas/instalacao-iluminacao-decorativa/</t>
  </si>
  <si>
    <t xml:space="preserve">S0246</t>
  </si>
  <si>
    <t xml:space="preserve">Instalação de louças e metais</t>
  </si>
  <si>
    <t xml:space="preserve">/reformas/instalacao-loucas-e-metais/</t>
  </si>
  <si>
    <t xml:space="preserve">S0247</t>
  </si>
  <si>
    <t xml:space="preserve">Execução de bancadas em pedra</t>
  </si>
  <si>
    <t xml:space="preserve">/reformas/execucao-bancadas-em-pedra/</t>
  </si>
  <si>
    <t xml:space="preserve">S0248</t>
  </si>
  <si>
    <t xml:space="preserve">Visitante que já sabe a categoria do problema, mas não o serviço exato. Precisa remover estrutura ou edificação com segurança e documentação, sem danificar vizinhos nem partes que vão permanecer.</t>
  </si>
  <si>
    <t xml:space="preserve">S0249</t>
  </si>
  <si>
    <t xml:space="preserve">Demolição controlada</t>
  </si>
  <si>
    <t xml:space="preserve">/reformas/demolicao-controlada/</t>
  </si>
  <si>
    <t xml:space="preserve">S0250</t>
  </si>
  <si>
    <t xml:space="preserve">Corte de concreto</t>
  </si>
  <si>
    <t xml:space="preserve">/reformas/corte-concreto/</t>
  </si>
  <si>
    <t xml:space="preserve">S0251</t>
  </si>
  <si>
    <t xml:space="preserve">Abertura de vão em estrutura</t>
  </si>
  <si>
    <t xml:space="preserve">/reformas/abertura-vao-em-estrutura/</t>
  </si>
  <si>
    <t xml:space="preserve">S0252</t>
  </si>
  <si>
    <t xml:space="preserve">Visitante que já sabe a categoria do problema, mas não o serviço exato. Precisa do projeto para construir, ampliar ou aprovar. Quer preço claro, prazo curto e responsabilidade técnica; teme projeto superdimensionado que encarece a obra ou subdimensionado que coloca em risco.</t>
  </si>
  <si>
    <t xml:space="preserve">S0253</t>
  </si>
  <si>
    <t xml:space="preserve">Projeto estrutural</t>
  </si>
  <si>
    <t xml:space="preserve">/projetos/projeto-estrutural/</t>
  </si>
  <si>
    <t xml:space="preserve">S0254</t>
  </si>
  <si>
    <t xml:space="preserve">Projeto estrutural em concreto armado</t>
  </si>
  <si>
    <t xml:space="preserve">/projetos/projeto-estrutural-em-concreto-armado/</t>
  </si>
  <si>
    <t xml:space="preserve">S0255</t>
  </si>
  <si>
    <t xml:space="preserve">Projeto estrutural em estrutura metálica</t>
  </si>
  <si>
    <t xml:space="preserve">/projetos/projeto-estrutural-em-estrutura-metalica/</t>
  </si>
  <si>
    <t xml:space="preserve">S0256</t>
  </si>
  <si>
    <t xml:space="preserve">Projeto estrutural em madeira</t>
  </si>
  <si>
    <t xml:space="preserve">/projetos/projeto-estrutural-em-madeira/</t>
  </si>
  <si>
    <t xml:space="preserve">S0257</t>
  </si>
  <si>
    <t xml:space="preserve">Projeto estrutural em steel frame</t>
  </si>
  <si>
    <t xml:space="preserve">/projetos/projeto-estrutural-em-steel-frame/</t>
  </si>
  <si>
    <t xml:space="preserve">S0258</t>
  </si>
  <si>
    <t xml:space="preserve">Projeto estrutural em wood frame</t>
  </si>
  <si>
    <t xml:space="preserve">/projetos/projeto-estrutural-em-wood-frame/</t>
  </si>
  <si>
    <t xml:space="preserve">S0259</t>
  </si>
  <si>
    <t xml:space="preserve">Projeto estrutural em alvenaria estrutural</t>
  </si>
  <si>
    <t xml:space="preserve">/projetos/projeto-estrutural-em-alvenaria-estrutural/</t>
  </si>
  <si>
    <t xml:space="preserve">S0260</t>
  </si>
  <si>
    <t xml:space="preserve">Projeto estrutural em concreto protendido</t>
  </si>
  <si>
    <t xml:space="preserve">/projetos/projeto-estrutural-em-concreto-protendido/</t>
  </si>
  <si>
    <t xml:space="preserve">S0261</t>
  </si>
  <si>
    <t xml:space="preserve">Projeto estrutural em pré-moldado</t>
  </si>
  <si>
    <t xml:space="preserve">/projetos/projeto-estrutural-em-pre-moldado/</t>
  </si>
  <si>
    <t xml:space="preserve">S0262</t>
  </si>
  <si>
    <t xml:space="preserve">Projeto de fundações</t>
  </si>
  <si>
    <t xml:space="preserve">/projetos/projeto-fundacoes/</t>
  </si>
  <si>
    <t xml:space="preserve">S0263</t>
  </si>
  <si>
    <t xml:space="preserve">Projeto de contenção</t>
  </si>
  <si>
    <t xml:space="preserve">/projetos/projeto-contencao/</t>
  </si>
  <si>
    <t xml:space="preserve">S0264</t>
  </si>
  <si>
    <t xml:space="preserve">Projeto de muro de arrimo</t>
  </si>
  <si>
    <t xml:space="preserve">/projetos/projeto-muro-arrimo/</t>
  </si>
  <si>
    <t xml:space="preserve">S0265</t>
  </si>
  <si>
    <t xml:space="preserve">Projeto de cortina atirantada</t>
  </si>
  <si>
    <t xml:space="preserve">/projetos/projeto-cortina-atirantada/</t>
  </si>
  <si>
    <t xml:space="preserve">S0266</t>
  </si>
  <si>
    <t xml:space="preserve">Projeto de estabilização de talude</t>
  </si>
  <si>
    <t xml:space="preserve">/projetos/projeto-estabilizacao-talude/</t>
  </si>
  <si>
    <t xml:space="preserve">S0267</t>
  </si>
  <si>
    <t xml:space="preserve">Visitante que já sabe a categoria do problema, mas não o serviço exato. Precisa do projeto elétrico para aprovar na concessionária, ligar energia, aumentar carga ou fazer a obra com segurança. Busca rapidez e aceitação do projeto.</t>
  </si>
  <si>
    <t xml:space="preserve">S0268</t>
  </si>
  <si>
    <t xml:space="preserve">Projeto elétrico</t>
  </si>
  <si>
    <t xml:space="preserve">/projetos/projeto-eletrico/</t>
  </si>
  <si>
    <t xml:space="preserve">S0269</t>
  </si>
  <si>
    <t xml:space="preserve">Projeto elétrico residencial</t>
  </si>
  <si>
    <t xml:space="preserve">/projetos/projeto-eletrico-residencial/</t>
  </si>
  <si>
    <t xml:space="preserve">S0270</t>
  </si>
  <si>
    <t xml:space="preserve">Projeto elétrico comercial</t>
  </si>
  <si>
    <t xml:space="preserve">/projetos/projeto-eletrico-comercial/</t>
  </si>
  <si>
    <t xml:space="preserve">S0271</t>
  </si>
  <si>
    <t xml:space="preserve">Projeto elétrico predial</t>
  </si>
  <si>
    <t xml:space="preserve">/projetos/projeto-eletrico-predial/</t>
  </si>
  <si>
    <t xml:space="preserve">S0272</t>
  </si>
  <si>
    <t xml:space="preserve">Projeto elétrico industrial</t>
  </si>
  <si>
    <t xml:space="preserve">/projetos/projeto-eletrico-industrial/</t>
  </si>
  <si>
    <t xml:space="preserve">S0273</t>
  </si>
  <si>
    <t xml:space="preserve">Projeto de iluminação técnica</t>
  </si>
  <si>
    <t xml:space="preserve">/projetos/projeto-iluminacao-tecnica/</t>
  </si>
  <si>
    <t xml:space="preserve">S0274</t>
  </si>
  <si>
    <t xml:space="preserve">Projeto de entrada de energia</t>
  </si>
  <si>
    <t xml:space="preserve">/projetos/projeto-entrada-energia/</t>
  </si>
  <si>
    <t xml:space="preserve">S0275</t>
  </si>
  <si>
    <t xml:space="preserve">Projeto de subestação</t>
  </si>
  <si>
    <t xml:space="preserve">/projetos/projeto-subestacao/</t>
  </si>
  <si>
    <t xml:space="preserve">S0276</t>
  </si>
  <si>
    <t xml:space="preserve">Projeto de gerador de energia</t>
  </si>
  <si>
    <t xml:space="preserve">/projetos/projeto-gerador-energia/</t>
  </si>
  <si>
    <t xml:space="preserve">S0277</t>
  </si>
  <si>
    <t xml:space="preserve">Projeto de sistema de proteção contra descargas atmosféricas</t>
  </si>
  <si>
    <t xml:space="preserve">/projetos/projeto-para-raios/#projeto-sistema-protecao-contra-descargas-atmosfericas</t>
  </si>
  <si>
    <t xml:space="preserve">/projetos/projeto-para-raios/</t>
  </si>
  <si>
    <t xml:space="preserve">Projeto de para-raios</t>
  </si>
  <si>
    <t xml:space="preserve">S0278</t>
  </si>
  <si>
    <t xml:space="preserve">S0279</t>
  </si>
  <si>
    <t xml:space="preserve">Projeto de aterramento</t>
  </si>
  <si>
    <t xml:space="preserve">/projetos/projeto-aterramento/</t>
  </si>
  <si>
    <t xml:space="preserve">S0280</t>
  </si>
  <si>
    <t xml:space="preserve">Visitante que já sabe a categoria do problema, mas não o serviço exato. Quer infraestrutura pronta para tecnologia e segurança desde a obra, evitando quebrar parede depois. Busca integração com o projeto elétrico.</t>
  </si>
  <si>
    <t xml:space="preserve">S0281</t>
  </si>
  <si>
    <t xml:space="preserve">Projeto de cabeamento estruturado</t>
  </si>
  <si>
    <t xml:space="preserve">/projetos/projeto-cabeamento-estruturado/</t>
  </si>
  <si>
    <t xml:space="preserve">S0282</t>
  </si>
  <si>
    <t xml:space="preserve">Projeto de telecomunicações</t>
  </si>
  <si>
    <t xml:space="preserve">/projetos/projeto-telecomunicacoes/</t>
  </si>
  <si>
    <t xml:space="preserve">S0283</t>
  </si>
  <si>
    <t xml:space="preserve">Projeto de CFTV</t>
  </si>
  <si>
    <t xml:space="preserve">/projetos/projeto-cftv/</t>
  </si>
  <si>
    <t xml:space="preserve">S0284</t>
  </si>
  <si>
    <t xml:space="preserve">Projeto de alarme</t>
  </si>
  <si>
    <t xml:space="preserve">/projetos/projeto-alarme/</t>
  </si>
  <si>
    <t xml:space="preserve">S0285</t>
  </si>
  <si>
    <t xml:space="preserve">Projeto de controle de acesso</t>
  </si>
  <si>
    <t xml:space="preserve">/projetos/projeto-controle-acesso/</t>
  </si>
  <si>
    <t xml:space="preserve">S0286</t>
  </si>
  <si>
    <t xml:space="preserve">Projeto de automação residencial</t>
  </si>
  <si>
    <t xml:space="preserve">/projetos/projeto-automacao-residencial/</t>
  </si>
  <si>
    <t xml:space="preserve">S0287</t>
  </si>
  <si>
    <t xml:space="preserve">Projeto de automação predial</t>
  </si>
  <si>
    <t xml:space="preserve">/projetos/projeto-automacao-predial/</t>
  </si>
  <si>
    <t xml:space="preserve">S0288</t>
  </si>
  <si>
    <t xml:space="preserve">Visitante que já sabe a categoria do problema, mas não o serviço exato. Precisa do projeto de água e esgoto para aprovar, ligar na concessionária ou reformar banheiros e cozinhas. Valoriza projeto que evite vazamentos e retrabalho.</t>
  </si>
  <si>
    <t xml:space="preserve">S0289</t>
  </si>
  <si>
    <t xml:space="preserve">Projeto hidrossanitário</t>
  </si>
  <si>
    <t xml:space="preserve">/projetos/projeto-hidrossanitario/</t>
  </si>
  <si>
    <t xml:space="preserve">S0290</t>
  </si>
  <si>
    <t xml:space="preserve">Projeto hidráulico</t>
  </si>
  <si>
    <t xml:space="preserve">/projetos/projeto-hidrossanitario/#projeto-hidraulico</t>
  </si>
  <si>
    <t xml:space="preserve">S0291</t>
  </si>
  <si>
    <t xml:space="preserve">Projeto sanitário</t>
  </si>
  <si>
    <t xml:space="preserve">/projetos/projeto-hidrossanitario/#projeto-sanitario</t>
  </si>
  <si>
    <t xml:space="preserve">S0292</t>
  </si>
  <si>
    <t xml:space="preserve">Projeto de água fria</t>
  </si>
  <si>
    <t xml:space="preserve">/projetos/projeto-hidrossanitario/#projeto-agua-fria</t>
  </si>
  <si>
    <t xml:space="preserve">S0293</t>
  </si>
  <si>
    <t xml:space="preserve">Projeto de água quente</t>
  </si>
  <si>
    <t xml:space="preserve">/projetos/projeto-hidrossanitario/#projeto-agua-quente</t>
  </si>
  <si>
    <t xml:space="preserve">S0294</t>
  </si>
  <si>
    <t xml:space="preserve">Projeto de esgoto</t>
  </si>
  <si>
    <t xml:space="preserve">/projetos/projeto-hidrossanitario/#projeto-esgoto</t>
  </si>
  <si>
    <t xml:space="preserve">S0295</t>
  </si>
  <si>
    <t xml:space="preserve">Projeto de drenagem pluvial</t>
  </si>
  <si>
    <t xml:space="preserve">/projetos/projeto-drenagem-pluvial/</t>
  </si>
  <si>
    <t xml:space="preserve">S0296</t>
  </si>
  <si>
    <t xml:space="preserve">Projeto de reúso de água</t>
  </si>
  <si>
    <t xml:space="preserve">/projetos/projeto-reuso-agua/</t>
  </si>
  <si>
    <t xml:space="preserve">S0297</t>
  </si>
  <si>
    <t xml:space="preserve">Projeto de aproveitamento de água da chuva</t>
  </si>
  <si>
    <t xml:space="preserve">/projetos/projeto-aproveitamento-agua-chuva/</t>
  </si>
  <si>
    <t xml:space="preserve">S0298</t>
  </si>
  <si>
    <t xml:space="preserve">Projeto de fossa séptica</t>
  </si>
  <si>
    <t xml:space="preserve">/projetos/projeto-fossa-septica/</t>
  </si>
  <si>
    <t xml:space="preserve">S0299</t>
  </si>
  <si>
    <t xml:space="preserve">Projeto de sistema de tratamento de esgoto</t>
  </si>
  <si>
    <t xml:space="preserve">/projetos/projeto-sistema-tratamento-esgoto/</t>
  </si>
  <si>
    <t xml:space="preserve">S0300</t>
  </si>
  <si>
    <t xml:space="preserve">Projeto de estação de tratamento de esgoto compacta</t>
  </si>
  <si>
    <t xml:space="preserve">/projetos/projeto-estacao-tratamento-esgoto-compacta/</t>
  </si>
  <si>
    <t xml:space="preserve">S0301</t>
  </si>
  <si>
    <t xml:space="preserve">Visitante que já sabe a categoria do problema, mas não o serviço exato. Precisa do projeto de gás para ligar a rede, instalar aquecedor ou aprovar a obra. Quer segurança e aceitação na concessionária.</t>
  </si>
  <si>
    <t xml:space="preserve">S0302</t>
  </si>
  <si>
    <t xml:space="preserve">Projeto de gás</t>
  </si>
  <si>
    <t xml:space="preserve">/projetos/projeto-gas/</t>
  </si>
  <si>
    <t xml:space="preserve">S0303</t>
  </si>
  <si>
    <t xml:space="preserve">Projeto de gás natural</t>
  </si>
  <si>
    <t xml:space="preserve">/projetos/projeto-gas-natural/</t>
  </si>
  <si>
    <t xml:space="preserve">S0304</t>
  </si>
  <si>
    <t xml:space="preserve">Projeto de gás GLP</t>
  </si>
  <si>
    <t xml:space="preserve">/projetos/projeto-gas-glp/</t>
  </si>
  <si>
    <t xml:space="preserve">S0305</t>
  </si>
  <si>
    <t xml:space="preserve">Visitante que já sabe a categoria do problema, mas não o serviço exato. Está travado na aprovação dos Bombeiros ou precisa regularizar o imóvel para funcionar. Quer aprovação rápida e sem idas e vindas.</t>
  </si>
  <si>
    <t xml:space="preserve">S0306</t>
  </si>
  <si>
    <t xml:space="preserve">Projeto preventivo contra incêndio</t>
  </si>
  <si>
    <t xml:space="preserve">Está travado na aprovação dos Bombeiros ou precisa regularizar o imóvel para funcionar. Quer aprovação rápida e sem idas e vindas. Há negociação em curso com seguradora ou terceiro.</t>
  </si>
  <si>
    <t xml:space="preserve">/projetos/projeto-preventivo-contra-incendio/</t>
  </si>
  <si>
    <t xml:space="preserve">S0307</t>
  </si>
  <si>
    <t xml:space="preserve">Projeto de hidrantes</t>
  </si>
  <si>
    <t xml:space="preserve">/projetos/projeto-hidrantes/</t>
  </si>
  <si>
    <t xml:space="preserve">S0308</t>
  </si>
  <si>
    <t xml:space="preserve">Projeto de sprinklers</t>
  </si>
  <si>
    <t xml:space="preserve">/projetos/projeto-sprinklers/</t>
  </si>
  <si>
    <t xml:space="preserve">S0309</t>
  </si>
  <si>
    <t xml:space="preserve">Projeto de alarme de incêndio</t>
  </si>
  <si>
    <t xml:space="preserve">/projetos/projeto-alarme-incendio/</t>
  </si>
  <si>
    <t xml:space="preserve">S0310</t>
  </si>
  <si>
    <t xml:space="preserve">Projeto de iluminação de emergência</t>
  </si>
  <si>
    <t xml:space="preserve">/projetos/projeto-iluminacao-emergencia/</t>
  </si>
  <si>
    <t xml:space="preserve">S0311</t>
  </si>
  <si>
    <t xml:space="preserve">Projeto de saídas de emergência</t>
  </si>
  <si>
    <t xml:space="preserve">/projetos/projeto-saidas-emergencia/</t>
  </si>
  <si>
    <t xml:space="preserve">S0312</t>
  </si>
  <si>
    <t xml:space="preserve">Visitante que já sabe a categoria do problema, mas não o serviço exato. Quer conforto térmico e acústico planejado desde a obra, sem aparelhos improvisados. Busca integração com arquitetura e forro.</t>
  </si>
  <si>
    <t xml:space="preserve">S0313</t>
  </si>
  <si>
    <t xml:space="preserve">Projeto de climatização</t>
  </si>
  <si>
    <t xml:space="preserve">/projetos/projeto-climatizacao/</t>
  </si>
  <si>
    <t xml:space="preserve">S0314</t>
  </si>
  <si>
    <t xml:space="preserve">Projeto de ar-condicionado</t>
  </si>
  <si>
    <t xml:space="preserve">/projetos/projeto-climatizacao/#projeto-ar-condicionado</t>
  </si>
  <si>
    <t xml:space="preserve">S0315</t>
  </si>
  <si>
    <t xml:space="preserve">Projeto de ventilação mecânica</t>
  </si>
  <si>
    <t xml:space="preserve">/projetos/projeto-ventilacao-mecanica/</t>
  </si>
  <si>
    <t xml:space="preserve">S0316</t>
  </si>
  <si>
    <t xml:space="preserve">Projeto de exaustão</t>
  </si>
  <si>
    <t xml:space="preserve">/projetos/projeto-exaustao/</t>
  </si>
  <si>
    <t xml:space="preserve">S0317</t>
  </si>
  <si>
    <t xml:space="preserve">Projeto de aquecimento solar</t>
  </si>
  <si>
    <t xml:space="preserve">/projetos/projeto-aquecimento-solar/</t>
  </si>
  <si>
    <t xml:space="preserve">S0318</t>
  </si>
  <si>
    <t xml:space="preserve">Projeto de energia solar fotovoltaica</t>
  </si>
  <si>
    <t xml:space="preserve">/projetos/projeto-energia-solar-fotovoltaica/</t>
  </si>
  <si>
    <t xml:space="preserve">S0319</t>
  </si>
  <si>
    <t xml:space="preserve">Projeto de acústica</t>
  </si>
  <si>
    <t xml:space="preserve">/projetos/projeto-acustica/</t>
  </si>
  <si>
    <t xml:space="preserve">S0320</t>
  </si>
  <si>
    <t xml:space="preserve">Projeto de isolamento térmico</t>
  </si>
  <si>
    <t xml:space="preserve">/projetos/projeto-isolamento-termico/</t>
  </si>
  <si>
    <t xml:space="preserve">S0321</t>
  </si>
  <si>
    <t xml:space="preserve">Visitante que já sabe a categoria do problema, mas não o serviço exato. Tem uma necessidade técnica específica, como piscina, elevador, impermeabilização ou infraestrutura, e quer um projeto que evite improviso na execução.</t>
  </si>
  <si>
    <t xml:space="preserve">S0322</t>
  </si>
  <si>
    <t xml:space="preserve">Projeto de piscina</t>
  </si>
  <si>
    <t xml:space="preserve">/projetos/projeto-piscina/</t>
  </si>
  <si>
    <t xml:space="preserve">S0323</t>
  </si>
  <si>
    <t xml:space="preserve">Projeto hidráulico de piscina</t>
  </si>
  <si>
    <t xml:space="preserve">/projetos/projeto-hidraulico-piscina/</t>
  </si>
  <si>
    <t xml:space="preserve">S0324</t>
  </si>
  <si>
    <t xml:space="preserve">Projeto de impermeabilização</t>
  </si>
  <si>
    <t xml:space="preserve">/projetos/projeto-impermeabilizacao/</t>
  </si>
  <si>
    <t xml:space="preserve">S0325</t>
  </si>
  <si>
    <t xml:space="preserve">Projeto de elevador residencial</t>
  </si>
  <si>
    <t xml:space="preserve">/projetos/projeto-elevador-residencial/</t>
  </si>
  <si>
    <t xml:space="preserve">S0326</t>
  </si>
  <si>
    <t xml:space="preserve">Projeto de plataforma elevatória</t>
  </si>
  <si>
    <t xml:space="preserve">/projetos/projeto-plataforma-elevatoria/</t>
  </si>
  <si>
    <t xml:space="preserve">S0327</t>
  </si>
  <si>
    <t xml:space="preserve">Projeto de acessibilidade</t>
  </si>
  <si>
    <t xml:space="preserve">Tem uma necessidade técnica específica, como piscina, elevador, impermeabilização ou infraestrutura, e quer um projeto que evite improviso na execução. Decisão com carga emocional e urgência familiar.</t>
  </si>
  <si>
    <t xml:space="preserve">/projetos/projeto-acessibilidade/</t>
  </si>
  <si>
    <t xml:space="preserve">S0328</t>
  </si>
  <si>
    <t xml:space="preserve">Projeto de terraplenagem</t>
  </si>
  <si>
    <t xml:space="preserve">/projetos/projeto-terraplenagem/</t>
  </si>
  <si>
    <t xml:space="preserve">S0329</t>
  </si>
  <si>
    <t xml:space="preserve">Projeto de pavimentação</t>
  </si>
  <si>
    <t xml:space="preserve">/projetos/projeto-pavimentacao/</t>
  </si>
  <si>
    <t xml:space="preserve">S0330</t>
  </si>
  <si>
    <t xml:space="preserve">Projeto de infraestrutura de loteamento</t>
  </si>
  <si>
    <t xml:space="preserve">/projetos/projeto-infraestrutura-loteamento/</t>
  </si>
  <si>
    <t xml:space="preserve">S0331</t>
  </si>
  <si>
    <t xml:space="preserve">Projeto de canteiro de obras</t>
  </si>
  <si>
    <t xml:space="preserve">/projetos/projeto-canteiro-obras/</t>
  </si>
  <si>
    <t xml:space="preserve">S0332</t>
  </si>
  <si>
    <t xml:space="preserve">Projeto de demolição</t>
  </si>
  <si>
    <t xml:space="preserve">/projetos/projeto-demolicao/</t>
  </si>
  <si>
    <t xml:space="preserve">S0333</t>
  </si>
  <si>
    <t xml:space="preserve">Visitante que já sabe a categoria do problema, mas não o serviço exato. Tem um processo travado em órgão público ou concessionária. Quer um projeto que passe de primeira e alguém que acompanhe a aprovação.</t>
  </si>
  <si>
    <t xml:space="preserve">S0334</t>
  </si>
  <si>
    <t xml:space="preserve">Projeto executivo</t>
  </si>
  <si>
    <t xml:space="preserve">/projetos/projeto-executivo/</t>
  </si>
  <si>
    <t xml:space="preserve">S0335</t>
  </si>
  <si>
    <t xml:space="preserve">Projeto legal</t>
  </si>
  <si>
    <t xml:space="preserve">/projetos/projeto-legal/</t>
  </si>
  <si>
    <t xml:space="preserve">S0336</t>
  </si>
  <si>
    <t xml:space="preserve">Projeto para aprovação na prefeitura</t>
  </si>
  <si>
    <t xml:space="preserve">/projetos/projeto-para-aprovacao-na-prefeitura/</t>
  </si>
  <si>
    <t xml:space="preserve">S0337</t>
  </si>
  <si>
    <t xml:space="preserve">Projeto para aprovação no Corpo de Bombeiros</t>
  </si>
  <si>
    <t xml:space="preserve">/projetos/projeto-para-aprovacao-no-corpo-bombeiros/</t>
  </si>
  <si>
    <t xml:space="preserve">S0338</t>
  </si>
  <si>
    <t xml:space="preserve">Projeto para aprovação na concessionária de energia</t>
  </si>
  <si>
    <t xml:space="preserve">/projetos/projeto-para-aprovacao-na-concessionaria-energia/</t>
  </si>
  <si>
    <t xml:space="preserve">S0339</t>
  </si>
  <si>
    <t xml:space="preserve">Projeto para aprovação na concessionária de água</t>
  </si>
  <si>
    <t xml:space="preserve">/projetos/projeto-para-aprovacao-na-concessionaria-agua/</t>
  </si>
  <si>
    <t xml:space="preserve">S0340</t>
  </si>
  <si>
    <t xml:space="preserve">Visitante que já sabe a categoria do problema, mas não o serviço exato. Tem projetos de várias disciplinas que não conversam entre si e teme descobrir os conflitos no meio da obra. Arquitetos e incorporadores são os mais sensíveis a essa dor.</t>
  </si>
  <si>
    <t xml:space="preserve">S0341</t>
  </si>
  <si>
    <t xml:space="preserve">Compatibilização de projetos</t>
  </si>
  <si>
    <t xml:space="preserve">/projetos/compatibilizacao-projetos/</t>
  </si>
  <si>
    <t xml:space="preserve">S0342</t>
  </si>
  <si>
    <t xml:space="preserve">Coordenação de projetos</t>
  </si>
  <si>
    <t xml:space="preserve">/projetos/coordenacao-projetos/</t>
  </si>
  <si>
    <t xml:space="preserve">S0343</t>
  </si>
  <si>
    <t xml:space="preserve">Modelagem BIM</t>
  </si>
  <si>
    <t xml:space="preserve">/projetos/modelagem-bim/</t>
  </si>
  <si>
    <t xml:space="preserve">S0344</t>
  </si>
  <si>
    <t xml:space="preserve">Compatibilização em BIM</t>
  </si>
  <si>
    <t xml:space="preserve">/projetos/compatibilizacao-em-bim/</t>
  </si>
  <si>
    <t xml:space="preserve">S0345</t>
  </si>
  <si>
    <t xml:space="preserve">Detecção de interferências entre projetos</t>
  </si>
  <si>
    <t xml:space="preserve">/projetos/deteccao-interferencias-entre-projetos/</t>
  </si>
  <si>
    <t xml:space="preserve">S0346</t>
  </si>
  <si>
    <t xml:space="preserve">Revisão técnica de projetos</t>
  </si>
  <si>
    <t xml:space="preserve">/projetos/revisao-tecnica-projetos/</t>
  </si>
  <si>
    <t xml:space="preserve">S0347</t>
  </si>
  <si>
    <t xml:space="preserve">Análise crítica de projetos de terceiros</t>
  </si>
  <si>
    <t xml:space="preserve">/projetos/analise-critica-projetos-terceiros/</t>
  </si>
  <si>
    <t xml:space="preserve">S0348</t>
  </si>
  <si>
    <t xml:space="preserve">Visitante que já sabe a categoria do problema, mas não o serviço exato. Quer saber quanto a obra vai custar e quanto tempo vai levar antes de se comprometer. Busca números confiáveis para decidir, captar recursos ou comparar propostas.</t>
  </si>
  <si>
    <t xml:space="preserve">S0349</t>
  </si>
  <si>
    <t xml:space="preserve">Memorial descritivo</t>
  </si>
  <si>
    <t xml:space="preserve">/projetos/memorial-descritivo/</t>
  </si>
  <si>
    <t xml:space="preserve">S0350</t>
  </si>
  <si>
    <t xml:space="preserve">Memorial de cálculo</t>
  </si>
  <si>
    <t xml:space="preserve">/projetos/memorial-calculo/</t>
  </si>
  <si>
    <t xml:space="preserve">S0351</t>
  </si>
  <si>
    <t xml:space="preserve">Caderno de especificações técnicas</t>
  </si>
  <si>
    <t xml:space="preserve">/projetos/caderno-especificacoes-tecnicas/</t>
  </si>
  <si>
    <t xml:space="preserve">S0352</t>
  </si>
  <si>
    <t xml:space="preserve">Caderno de encargos</t>
  </si>
  <si>
    <t xml:space="preserve">/projetos/caderno-encargos/</t>
  </si>
  <si>
    <t xml:space="preserve">S0353</t>
  </si>
  <si>
    <t xml:space="preserve">Orçamento de obra</t>
  </si>
  <si>
    <t xml:space="preserve">/projetos/orcamento-obra/</t>
  </si>
  <si>
    <t xml:space="preserve">S0354</t>
  </si>
  <si>
    <t xml:space="preserve">Orçamento analítico</t>
  </si>
  <si>
    <t xml:space="preserve">/projetos/orcamento-analitico/</t>
  </si>
  <si>
    <t xml:space="preserve">S0355</t>
  </si>
  <si>
    <t xml:space="preserve">Orçamento paramétrico</t>
  </si>
  <si>
    <t xml:space="preserve">/projetos/orcamento-parametrico/</t>
  </si>
  <si>
    <t xml:space="preserve">S0356</t>
  </si>
  <si>
    <t xml:space="preserve">Orçamento de reforma</t>
  </si>
  <si>
    <t xml:space="preserve">/projetos/orcamento-reforma/</t>
  </si>
  <si>
    <t xml:space="preserve">S0357</t>
  </si>
  <si>
    <t xml:space="preserve">Levantamento de quantitativos</t>
  </si>
  <si>
    <t xml:space="preserve">/projetos/levantamento-quantitativos/</t>
  </si>
  <si>
    <t xml:space="preserve">S0358</t>
  </si>
  <si>
    <t xml:space="preserve">Composição de custos unitários</t>
  </si>
  <si>
    <t xml:space="preserve">/projetos/composicao-custos-unitarios/</t>
  </si>
  <si>
    <t xml:space="preserve">S0359</t>
  </si>
  <si>
    <t xml:space="preserve">Cronograma físico-financeiro</t>
  </si>
  <si>
    <t xml:space="preserve">/projetos/cronograma-fisico-financeiro/</t>
  </si>
  <si>
    <t xml:space="preserve">S0360</t>
  </si>
  <si>
    <t xml:space="preserve">Planejamento de obra</t>
  </si>
  <si>
    <t xml:space="preserve">/projetos/planejamento-obra/</t>
  </si>
  <si>
    <t xml:space="preserve">S0361</t>
  </si>
  <si>
    <t xml:space="preserve">Planejamento de reforma</t>
  </si>
  <si>
    <t xml:space="preserve">/projetos/planejamento-reforma/</t>
  </si>
  <si>
    <t xml:space="preserve">S0362</t>
  </si>
  <si>
    <t xml:space="preserve">Equalização de propostas de fornecedores</t>
  </si>
  <si>
    <t xml:space="preserve">/projetos/equalizacao-propostas-fornecedores/</t>
  </si>
  <si>
    <t xml:space="preserve">S0363</t>
  </si>
  <si>
    <t xml:space="preserve">Concorrência de empreiteiros</t>
  </si>
  <si>
    <t xml:space="preserve">/projetos/concorrencia-empreiteiros/</t>
  </si>
  <si>
    <t xml:space="preserve">S0364</t>
  </si>
  <si>
    <t xml:space="preserve">Elaboração de edital técnico para contratação de obra</t>
  </si>
  <si>
    <t xml:space="preserve">/projetos/elaboracao-edital-tecnico-para-contratacao-obra/</t>
  </si>
  <si>
    <t xml:space="preserve">S0365</t>
  </si>
  <si>
    <t xml:space="preserve">Estudo de alternativas construtivas</t>
  </si>
  <si>
    <t xml:space="preserve">/projetos/estudo-alternativas-construtivas/</t>
  </si>
  <si>
    <t xml:space="preserve">S0366</t>
  </si>
  <si>
    <t xml:space="preserve">Engenharia de valor</t>
  </si>
  <si>
    <t xml:space="preserve">/projetos/engenharia-valor/</t>
  </si>
  <si>
    <t xml:space="preserve">S0367</t>
  </si>
  <si>
    <t xml:space="preserve">Visitante que já sabe a categoria do problema, mas não o serviço exato. Viu um sinal de alerta na estrutura e quer saber se é grave. Busca resposta técnica rápida, confiável e independente; teme tanto a notícia ruim quanto ser enganado para vender uma obra.</t>
  </si>
  <si>
    <t xml:space="preserve">S0368</t>
  </si>
  <si>
    <t xml:space="preserve">Laudo estrutural</t>
  </si>
  <si>
    <t xml:space="preserve">/laudos-tecnicos/laudo-estrutural/</t>
  </si>
  <si>
    <t xml:space="preserve">S0369</t>
  </si>
  <si>
    <t xml:space="preserve">Laudo de estabilidade estrutural</t>
  </si>
  <si>
    <t xml:space="preserve">/laudos-tecnicos/laudo-estrutural/#laudo-estabilidade-estrutural</t>
  </si>
  <si>
    <t xml:space="preserve">S0370</t>
  </si>
  <si>
    <t xml:space="preserve">Laudo de segurança estrutural</t>
  </si>
  <si>
    <t xml:space="preserve">/laudos-tecnicos/laudo-estrutural/#laudo-seguranca-estrutural</t>
  </si>
  <si>
    <t xml:space="preserve">S0371</t>
  </si>
  <si>
    <t xml:space="preserve">Laudo de rachaduras</t>
  </si>
  <si>
    <t xml:space="preserve">/laudos-tecnicos/laudo-rachaduras/</t>
  </si>
  <si>
    <t xml:space="preserve">S0372</t>
  </si>
  <si>
    <t xml:space="preserve">Laudo de fissuras</t>
  </si>
  <si>
    <t xml:space="preserve">/laudos-tecnicos/laudo-rachaduras/#laudo-fissuras</t>
  </si>
  <si>
    <t xml:space="preserve">S0373</t>
  </si>
  <si>
    <t xml:space="preserve">Laudo de trincas</t>
  </si>
  <si>
    <t xml:space="preserve">/laudos-tecnicos/laudo-rachaduras/#laudo-trincas</t>
  </si>
  <si>
    <t xml:space="preserve">S0374</t>
  </si>
  <si>
    <t xml:space="preserve">Laudo de recalque de fundação</t>
  </si>
  <si>
    <t xml:space="preserve">/laudos-tecnicos/laudo-recalque-fundacao/</t>
  </si>
  <si>
    <t xml:space="preserve">S0375</t>
  </si>
  <si>
    <t xml:space="preserve">Laudo de corrosão de armadura</t>
  </si>
  <si>
    <t xml:space="preserve">/laudos-tecnicos/laudo-corrosao-armadura/</t>
  </si>
  <si>
    <t xml:space="preserve">S0376</t>
  </si>
  <si>
    <t xml:space="preserve">Laudo de laje</t>
  </si>
  <si>
    <t xml:space="preserve">/laudos-tecnicos/laudo-laje/</t>
  </si>
  <si>
    <t xml:space="preserve">S0377</t>
  </si>
  <si>
    <t xml:space="preserve">Laudo de capacidade de carga de laje</t>
  </si>
  <si>
    <t xml:space="preserve">/laudos-tecnicos/laudo-capacidade-carga-laje/</t>
  </si>
  <si>
    <t xml:space="preserve">S0378</t>
  </si>
  <si>
    <t xml:space="preserve">Laudo para instalação de piscina em cobertura</t>
  </si>
  <si>
    <t xml:space="preserve">/laudos-tecnicos/laudo-para-instalacao-piscina-em-cobertura/</t>
  </si>
  <si>
    <t xml:space="preserve">S0379</t>
  </si>
  <si>
    <t xml:space="preserve">Laudo para instalação de equipamento pesado</t>
  </si>
  <si>
    <t xml:space="preserve">/laudos-tecnicos/laudo-para-instalacao-equipamento-pesado/</t>
  </si>
  <si>
    <t xml:space="preserve">S0380</t>
  </si>
  <si>
    <t xml:space="preserve">Laudo de marquise</t>
  </si>
  <si>
    <t xml:space="preserve">Viu um sinal de alerta na estrutura e quer saber se é grave. Busca resposta técnica rápida, confiável e independente; teme tanto a notícia ruim quanto ser enganado para vender uma obra. Carrega preocupação com maresia, umidade e o calendário da temporada.</t>
  </si>
  <si>
    <t xml:space="preserve">/laudos-tecnicos/laudo-marquise/</t>
  </si>
  <si>
    <t xml:space="preserve">S0381</t>
  </si>
  <si>
    <t xml:space="preserve">Laudo de sacada</t>
  </si>
  <si>
    <t xml:space="preserve">/laudos-tecnicos/laudo-sacada/</t>
  </si>
  <si>
    <t xml:space="preserve">S0382</t>
  </si>
  <si>
    <t xml:space="preserve">Laudo de muro de arrimo</t>
  </si>
  <si>
    <t xml:space="preserve">/laudos-tecnicos/laudo-muro-arrimo/</t>
  </si>
  <si>
    <t xml:space="preserve">S0383</t>
  </si>
  <si>
    <t xml:space="preserve">Laudo de talude</t>
  </si>
  <si>
    <t xml:space="preserve">/laudos-tecnicos/laudo-talude/</t>
  </si>
  <si>
    <t xml:space="preserve">S0384</t>
  </si>
  <si>
    <t xml:space="preserve">Laudo de estrutura metálica</t>
  </si>
  <si>
    <t xml:space="preserve">/laudos-tecnicos/laudo-estrutura-metalica/</t>
  </si>
  <si>
    <t xml:space="preserve">S0385</t>
  </si>
  <si>
    <t xml:space="preserve">Laudo de estrutura de madeira</t>
  </si>
  <si>
    <t xml:space="preserve">/laudos-tecnicos/laudo-estrutura-madeira/</t>
  </si>
  <si>
    <t xml:space="preserve">S0386</t>
  </si>
  <si>
    <t xml:space="preserve">Laudo de ataque de cupins em estrutura</t>
  </si>
  <si>
    <t xml:space="preserve">/laudos-tecnicos/laudo-ataque-cupins-em-estrutura/</t>
  </si>
  <si>
    <t xml:space="preserve">S0387</t>
  </si>
  <si>
    <t xml:space="preserve">Visitante que já sabe a categoria do problema, mas não o serviço exato. Convive com mancha, mofo ou vazamento que volta sempre. Quer descobrir a causa real e quem é o responsável, muitas vezes para cobrar vizinho, condomínio ou construtora.</t>
  </si>
  <si>
    <t xml:space="preserve">S0388</t>
  </si>
  <si>
    <t xml:space="preserve">Laudo de infiltração</t>
  </si>
  <si>
    <t xml:space="preserve">/laudos-tecnicos/laudo-infiltracao/</t>
  </si>
  <si>
    <t xml:space="preserve">S0389</t>
  </si>
  <si>
    <t xml:space="preserve">Laudo de umidade</t>
  </si>
  <si>
    <t xml:space="preserve">/laudos-tecnicos/laudo-infiltracao/#laudo-umidade</t>
  </si>
  <si>
    <t xml:space="preserve">S0390</t>
  </si>
  <si>
    <t xml:space="preserve">Laudo de mofo</t>
  </si>
  <si>
    <t xml:space="preserve">/laudos-tecnicos/laudo-infiltracao/#laudo-mofo</t>
  </si>
  <si>
    <t xml:space="preserve">S0391</t>
  </si>
  <si>
    <t xml:space="preserve">Laudo de impermeabilização</t>
  </si>
  <si>
    <t xml:space="preserve">/laudos-tecnicos/laudo-impermeabilizacao/</t>
  </si>
  <si>
    <t xml:space="preserve">S0392</t>
  </si>
  <si>
    <t xml:space="preserve">Laudo de patologias construtivas</t>
  </si>
  <si>
    <t xml:space="preserve">/laudos-tecnicos/laudo-patologias-construtivas/</t>
  </si>
  <si>
    <t xml:space="preserve">S0393</t>
  </si>
  <si>
    <t xml:space="preserve">Laudo de vícios construtivos</t>
  </si>
  <si>
    <t xml:space="preserve">/laudos-tecnicos/laudo-vicios-construtivos/</t>
  </si>
  <si>
    <t xml:space="preserve">S0394</t>
  </si>
  <si>
    <t xml:space="preserve">Laudo de vícios ocultos</t>
  </si>
  <si>
    <t xml:space="preserve">/laudos-tecnicos/laudo-vicios-construtivos/#laudo-vicios-ocultos</t>
  </si>
  <si>
    <t xml:space="preserve">S0395</t>
  </si>
  <si>
    <t xml:space="preserve">Laudo de desplacamento cerâmico</t>
  </si>
  <si>
    <t xml:space="preserve">/laudos-tecnicos/laudo-desplacamento-ceramico/</t>
  </si>
  <si>
    <t xml:space="preserve">S0396</t>
  </si>
  <si>
    <t xml:space="preserve">Laudo de fachada</t>
  </si>
  <si>
    <t xml:space="preserve">/laudos-tecnicos/laudo-fachada/</t>
  </si>
  <si>
    <t xml:space="preserve">S0397</t>
  </si>
  <si>
    <t xml:space="preserve">Laudo de telhado</t>
  </si>
  <si>
    <t xml:space="preserve">/laudos-tecnicos/laudo-telhado/</t>
  </si>
  <si>
    <t xml:space="preserve">S0398</t>
  </si>
  <si>
    <t xml:space="preserve">Laudo de cobertura</t>
  </si>
  <si>
    <t xml:space="preserve">/laudos-tecnicos/laudo-telhado/#laudo-cobertura</t>
  </si>
  <si>
    <t xml:space="preserve">S0399</t>
  </si>
  <si>
    <t xml:space="preserve">Laudo de reservatório de água</t>
  </si>
  <si>
    <t xml:space="preserve">/laudos-tecnicos/laudo-reservatorio-agua/</t>
  </si>
  <si>
    <t xml:space="preserve">S0400</t>
  </si>
  <si>
    <t xml:space="preserve">Laudo de piscina</t>
  </si>
  <si>
    <t xml:space="preserve">/laudos-tecnicos/laudo-piscina/</t>
  </si>
  <si>
    <t xml:space="preserve">S0401</t>
  </si>
  <si>
    <t xml:space="preserve">Visitante que já sabe a categoria do problema, mas não o serviço exato. Precisa comprovar que as instalações são seguras, seja por exigência do condomínio, da seguradora, dos Bombeiros ou por um problema recorrente.</t>
  </si>
  <si>
    <t xml:space="preserve">S0402</t>
  </si>
  <si>
    <t xml:space="preserve">Laudo elétrico</t>
  </si>
  <si>
    <t xml:space="preserve">/laudos-tecnicos/laudo-eletrico/</t>
  </si>
  <si>
    <t xml:space="preserve">S0403</t>
  </si>
  <si>
    <t xml:space="preserve">Laudo de instalações elétricas</t>
  </si>
  <si>
    <t xml:space="preserve">/laudos-tecnicos/laudo-eletrico/#laudo-instalacoes-eletricas</t>
  </si>
  <si>
    <t xml:space="preserve">S0404</t>
  </si>
  <si>
    <t xml:space="preserve">Laudo de sistema de proteção contra descargas atmosféricas</t>
  </si>
  <si>
    <t xml:space="preserve">/laudos-tecnicos/laudo-para-raios/#laudo-sistema-protecao-contra-descargas-atmosfericas</t>
  </si>
  <si>
    <t xml:space="preserve">/laudos-tecnicos/laudo-para-raios/</t>
  </si>
  <si>
    <t xml:space="preserve">Laudo de para-raios</t>
  </si>
  <si>
    <t xml:space="preserve">S0405</t>
  </si>
  <si>
    <t xml:space="preserve">S0406</t>
  </si>
  <si>
    <t xml:space="preserve">Laudo de aterramento</t>
  </si>
  <si>
    <t xml:space="preserve">/laudos-tecnicos/laudo-aterramento/</t>
  </si>
  <si>
    <t xml:space="preserve">S0407</t>
  </si>
  <si>
    <t xml:space="preserve">Laudo de instalações hidráulicas</t>
  </si>
  <si>
    <t xml:space="preserve">/laudos-tecnicos/laudo-instalacoes-hidraulicas/</t>
  </si>
  <si>
    <t xml:space="preserve">S0408</t>
  </si>
  <si>
    <t xml:space="preserve">Laudo de instalações de gás</t>
  </si>
  <si>
    <t xml:space="preserve">/laudos-tecnicos/laudo-instalacoes-gas/</t>
  </si>
  <si>
    <t xml:space="preserve">S0409</t>
  </si>
  <si>
    <t xml:space="preserve">Laudo de estanqueidade de gás</t>
  </si>
  <si>
    <t xml:space="preserve">/laudos-tecnicos/laudo-estanqueidade-gas/</t>
  </si>
  <si>
    <t xml:space="preserve">S0410</t>
  </si>
  <si>
    <t xml:space="preserve">Visitante que já sabe a categoria do problema, mas não o serviço exato. Sofreu um dano e está negociando com a seguradora ou com o causador. Quer um documento técnico que comprove e quantifique o prejuízo, principalmente se a indenização foi negada ou reduzida.</t>
  </si>
  <si>
    <t xml:space="preserve">S0411</t>
  </si>
  <si>
    <t xml:space="preserve">Laudo técnico para seguradora</t>
  </si>
  <si>
    <t xml:space="preserve">/laudos-tecnicos/laudo-sinistro/#laudo-tecnico-para-seguradora</t>
  </si>
  <si>
    <t xml:space="preserve">/laudos-tecnicos/laudo-sinistro/</t>
  </si>
  <si>
    <t xml:space="preserve">Laudo de sinistro</t>
  </si>
  <si>
    <t xml:space="preserve">S0412</t>
  </si>
  <si>
    <t xml:space="preserve">Sofreu um dano e está negociando com a seguradora ou com o causador. Quer um documento técnico que comprove e quantifique o prejuízo, principalmente se a indenização foi negada ou reduzida. Há negociação em curso com seguradora ou terceiro.</t>
  </si>
  <si>
    <t xml:space="preserve">S0413</t>
  </si>
  <si>
    <t xml:space="preserve">Laudo de danos por vendaval</t>
  </si>
  <si>
    <t xml:space="preserve">/laudos-tecnicos/laudo-danos-por-vendaval/</t>
  </si>
  <si>
    <t xml:space="preserve">S0414</t>
  </si>
  <si>
    <t xml:space="preserve">Laudo de danos por granizo</t>
  </si>
  <si>
    <t xml:space="preserve">/laudos-tecnicos/laudo-danos-por-granizo/</t>
  </si>
  <si>
    <t xml:space="preserve">S0415</t>
  </si>
  <si>
    <t xml:space="preserve">Laudo de danos por alagamento</t>
  </si>
  <si>
    <t xml:space="preserve">/laudos-tecnicos/laudo-danos-por-alagamento/</t>
  </si>
  <si>
    <t xml:space="preserve">S0416</t>
  </si>
  <si>
    <t xml:space="preserve">Laudo de danos por incêndio</t>
  </si>
  <si>
    <t xml:space="preserve">/laudos-tecnicos/laudo-danos-por-incendio/</t>
  </si>
  <si>
    <t xml:space="preserve">S0417</t>
  </si>
  <si>
    <t xml:space="preserve">Laudo de danos causados por árvore</t>
  </si>
  <si>
    <t xml:space="preserve">/laudos-tecnicos/laudo-danos-causados-por-arvore/</t>
  </si>
  <si>
    <t xml:space="preserve">S0418</t>
  </si>
  <si>
    <t xml:space="preserve">Laudo de valor de reconstrução para seguro residencial</t>
  </si>
  <si>
    <t xml:space="preserve">/laudos-tecnicos/laudo-valor-reconstrucao-para-seguro-residencial/</t>
  </si>
  <si>
    <t xml:space="preserve">S0419</t>
  </si>
  <si>
    <t xml:space="preserve">Acompanhamento técnico da vistoria da seguradora</t>
  </si>
  <si>
    <t xml:space="preserve">/laudos-tecnicos/acompanhamento-tecnico-vistoria-seguradora/</t>
  </si>
  <si>
    <t xml:space="preserve">S0420</t>
  </si>
  <si>
    <t xml:space="preserve">Contestação técnica de negativa de sinistro</t>
  </si>
  <si>
    <t xml:space="preserve">/laudos-tecnicos/contestacao-tecnica-negativa-sinistro/</t>
  </si>
  <si>
    <t xml:space="preserve">S0421</t>
  </si>
  <si>
    <t xml:space="preserve">Inspeção de telhado após tempestade</t>
  </si>
  <si>
    <t xml:space="preserve">/laudos-tecnicos/inspecao-telhado-apos-tempestade/</t>
  </si>
  <si>
    <t xml:space="preserve">S0422</t>
  </si>
  <si>
    <t xml:space="preserve">Visitante que já sabe a categoria do problema, mas não o serviço exato. Existe uma obra ao lado, antes ou depois do dano. De um lado, quem constrói quer se proteger de reclamações; do outro, o vizinho quer prova para cobrar.</t>
  </si>
  <si>
    <t xml:space="preserve">S0423</t>
  </si>
  <si>
    <t xml:space="preserve">Laudo de danos causados por obra vizinha</t>
  </si>
  <si>
    <t xml:space="preserve">/laudos-tecnicos/laudo-danos-causados-por-obra-vizinha/</t>
  </si>
  <si>
    <t xml:space="preserve">S0424</t>
  </si>
  <si>
    <t xml:space="preserve">Laudo de vizinhança</t>
  </si>
  <si>
    <t xml:space="preserve">/vistorias-e-inspecoes/vistoria-cautelar/#laudo-vizinhanca</t>
  </si>
  <si>
    <t xml:space="preserve">/vistorias-e-inspecoes/vistoria-cautelar/</t>
  </si>
  <si>
    <t xml:space="preserve">Vistoria cautelar</t>
  </si>
  <si>
    <t xml:space="preserve">S0425</t>
  </si>
  <si>
    <t xml:space="preserve">Laudo cautelar de vizinhança</t>
  </si>
  <si>
    <t xml:space="preserve">/vistorias-e-inspecoes/vistoria-cautelar/#laudo-cautelar-vizinhanca</t>
  </si>
  <si>
    <t xml:space="preserve">S0426</t>
  </si>
  <si>
    <t xml:space="preserve">Laudo de vibração</t>
  </si>
  <si>
    <t xml:space="preserve">/laudos-tecnicos/laudo-vibracao/</t>
  </si>
  <si>
    <t xml:space="preserve">S0427</t>
  </si>
  <si>
    <t xml:space="preserve">Visitante que já sabe a categoria do problema, mas não o serviço exato. Precisa demonstrar que a edificação atende a normas de desempenho, acessibilidade, acústica ou habitabilidade, para uso, venda, disputa ou aprovação.</t>
  </si>
  <si>
    <t xml:space="preserve">S0428</t>
  </si>
  <si>
    <t xml:space="preserve">Laudo de conformidade</t>
  </si>
  <si>
    <t xml:space="preserve">/laudos-tecnicos/laudo-conformidade/</t>
  </si>
  <si>
    <t xml:space="preserve">S0429</t>
  </si>
  <si>
    <t xml:space="preserve">Laudo de desempenho de edificação</t>
  </si>
  <si>
    <t xml:space="preserve">/laudos-tecnicos/laudo-desempenho-edificacao/</t>
  </si>
  <si>
    <t xml:space="preserve">S0430</t>
  </si>
  <si>
    <t xml:space="preserve">Laudo de acessibilidade</t>
  </si>
  <si>
    <t xml:space="preserve">Precisa demonstrar que a edificação atende a normas de desempenho, acessibilidade, acústica ou habitabilidade, para uso, venda, disputa ou aprovação. Decisão com carga emocional e urgência familiar.</t>
  </si>
  <si>
    <t xml:space="preserve">/laudos-tecnicos/laudo-acessibilidade/</t>
  </si>
  <si>
    <t xml:space="preserve">S0431</t>
  </si>
  <si>
    <t xml:space="preserve">Laudo de habitabilidade</t>
  </si>
  <si>
    <t xml:space="preserve">/laudos-tecnicos/laudo-habitabilidade/</t>
  </si>
  <si>
    <t xml:space="preserve">S0432</t>
  </si>
  <si>
    <t xml:space="preserve">Laudo acústico</t>
  </si>
  <si>
    <t xml:space="preserve">/laudos-tecnicos/laudo-acustico/</t>
  </si>
  <si>
    <t xml:space="preserve">S0433</t>
  </si>
  <si>
    <t xml:space="preserve">Laudo de reforma para condomínio</t>
  </si>
  <si>
    <t xml:space="preserve">Precisa demonstrar que a edificação atende a normas de desempenho, acessibilidade, acústica ou habitabilidade, para uso, venda, disputa ou aprovação. Envolve decisão coletiva e regras internas do condomínio.</t>
  </si>
  <si>
    <t xml:space="preserve">/laudos-tecnicos/laudo-reforma-para-condominio/</t>
  </si>
  <si>
    <t xml:space="preserve">S0434</t>
  </si>
  <si>
    <t xml:space="preserve">Laudo de recebimento de obra</t>
  </si>
  <si>
    <t xml:space="preserve">/vistorias-e-inspecoes/vistoria-entrega-apartamento/#laudo-recebimento-obra</t>
  </si>
  <si>
    <t xml:space="preserve">/vistorias-e-inspecoes/vistoria-entrega-apartamento/</t>
  </si>
  <si>
    <t xml:space="preserve">Vistoria de entrega de apartamento</t>
  </si>
  <si>
    <t xml:space="preserve">S0435</t>
  </si>
  <si>
    <t xml:space="preserve">Laudo de entrega de imóvel</t>
  </si>
  <si>
    <t xml:space="preserve">/vistorias-e-inspecoes/vistoria-entrega-apartamento/#laudo-entrega-imovel</t>
  </si>
  <si>
    <t xml:space="preserve">S0436</t>
  </si>
  <si>
    <t xml:space="preserve">Laudo de recebimento de áreas comuns de condomínio</t>
  </si>
  <si>
    <t xml:space="preserve">/laudos-tecnicos/laudo-recebimento-areas-comuns-condominio/</t>
  </si>
  <si>
    <t xml:space="preserve">S0437</t>
  </si>
  <si>
    <t xml:space="preserve">Visitante que já sabe a categoria do problema, mas não o serviço exato. Precisa de um documento técnico para cumprir exigência de banco, cartório, inventário, processo judicial ou Defesa Civil. O que importa é o documento ser aceito.</t>
  </si>
  <si>
    <t xml:space="preserve">S0438</t>
  </si>
  <si>
    <t xml:space="preserve">Laudo para financiamento imobiliário</t>
  </si>
  <si>
    <t xml:space="preserve">/laudos-tecnicos/laudo-para-financiamento-imobiliario/</t>
  </si>
  <si>
    <t xml:space="preserve">S0439</t>
  </si>
  <si>
    <t xml:space="preserve">Laudo para usucapião</t>
  </si>
  <si>
    <t xml:space="preserve">/laudos-tecnicos/laudo-para-usucapiao/</t>
  </si>
  <si>
    <t xml:space="preserve">S0440</t>
  </si>
  <si>
    <t xml:space="preserve">Laudo para inventário</t>
  </si>
  <si>
    <t xml:space="preserve">Precisa de um documento técnico para cumprir exigência de banco, cartório, inventário, processo judicial ou Defesa Civil. O que importa é o documento ser aceito. Pode haver vários herdeiros decidindo juntos; a neutralidade técnica é valorizada.</t>
  </si>
  <si>
    <t xml:space="preserve">/laudos-tecnicos/laudo-para-inventario/</t>
  </si>
  <si>
    <t xml:space="preserve">S0441</t>
  </si>
  <si>
    <t xml:space="preserve">Laudo para partilha de bens</t>
  </si>
  <si>
    <t xml:space="preserve">/laudos-tecnicos/laudo-para-partilha-bens/</t>
  </si>
  <si>
    <t xml:space="preserve">S0442</t>
  </si>
  <si>
    <t xml:space="preserve">Laudo para ação judicial</t>
  </si>
  <si>
    <t xml:space="preserve">/laudos-tecnicos/laudo-para-acao-judicial/</t>
  </si>
  <si>
    <t xml:space="preserve">S0443</t>
  </si>
  <si>
    <t xml:space="preserve">Laudo para regularização de imóvel</t>
  </si>
  <si>
    <t xml:space="preserve">/laudos-tecnicos/laudo-para-regularizacao-imovel/</t>
  </si>
  <si>
    <t xml:space="preserve">S0444</t>
  </si>
  <si>
    <t xml:space="preserve">Laudo de demolição</t>
  </si>
  <si>
    <t xml:space="preserve">/laudos-tecnicos/laudo-demolicao/</t>
  </si>
  <si>
    <t xml:space="preserve">S0445</t>
  </si>
  <si>
    <t xml:space="preserve">Laudo de interdição</t>
  </si>
  <si>
    <t xml:space="preserve">/laudos-tecnicos/laudo-interdicao/</t>
  </si>
  <si>
    <t xml:space="preserve">S0446</t>
  </si>
  <si>
    <t xml:space="preserve">Laudo de desinterdição</t>
  </si>
  <si>
    <t xml:space="preserve">/laudos-tecnicos/laudo-desinterdicao/</t>
  </si>
  <si>
    <t xml:space="preserve">S0447</t>
  </si>
  <si>
    <t xml:space="preserve">Visitante que já sabe a categoria do problema, mas não o serviço exato. Vai receber as chaves de um imóvel novo e tem medo de assinar o termo sem perceber defeitos. Quer um engenheiro ao lado na vistoria da construtora.</t>
  </si>
  <si>
    <t xml:space="preserve">S0448</t>
  </si>
  <si>
    <t xml:space="preserve">S0449</t>
  </si>
  <si>
    <t xml:space="preserve">Vistoria de entrega de casa</t>
  </si>
  <si>
    <t xml:space="preserve">/vistorias-e-inspecoes/vistoria-entrega-casa/</t>
  </si>
  <si>
    <t xml:space="preserve">S0450</t>
  </si>
  <si>
    <t xml:space="preserve">Vistoria de recebimento de chaves</t>
  </si>
  <si>
    <t xml:space="preserve">/vistorias-e-inspecoes/vistoria-entrega-apartamento/#vistoria-recebimento-chaves</t>
  </si>
  <si>
    <t xml:space="preserve">S0451</t>
  </si>
  <si>
    <t xml:space="preserve">Assistência técnica em recebimento de condomínio novo</t>
  </si>
  <si>
    <t xml:space="preserve">Vai receber as chaves de um imóvel novo e tem medo de assinar o termo sem perceber defeitos. Quer um engenheiro ao lado na vistoria da construtora. Envolve decisão coletiva e regras internas do condomínio.</t>
  </si>
  <si>
    <t xml:space="preserve">/vistorias-e-inspecoes/assistencia-tecnica-em-recebimento-condominio-novo/</t>
  </si>
  <si>
    <t xml:space="preserve">S0452</t>
  </si>
  <si>
    <t xml:space="preserve">Visitante que já sabe a categoria do problema, mas não o serviço exato. Está prestes a comprar ou alugar e quer saber o que está levando. Muitas vezes usa o resultado para negociar preço ou estimar custo de reforma.</t>
  </si>
  <si>
    <t xml:space="preserve">S0453</t>
  </si>
  <si>
    <t xml:space="preserve">Vistoria de imóvel antes da compra</t>
  </si>
  <si>
    <t xml:space="preserve">/vistorias-e-inspecoes/vistoria-imovel-antes-compra/</t>
  </si>
  <si>
    <t xml:space="preserve">S0454</t>
  </si>
  <si>
    <t xml:space="preserve">Vistoria de imóvel usado</t>
  </si>
  <si>
    <t xml:space="preserve">/vistorias-e-inspecoes/vistoria-imovel-usado/</t>
  </si>
  <si>
    <t xml:space="preserve">S0455</t>
  </si>
  <si>
    <t xml:space="preserve">Vistoria de imóvel para locação</t>
  </si>
  <si>
    <t xml:space="preserve">/vistorias-e-inspecoes/vistoria-imovel-para-locacao/</t>
  </si>
  <si>
    <t xml:space="preserve">S0456</t>
  </si>
  <si>
    <t xml:space="preserve">Vistoria de saída de locação</t>
  </si>
  <si>
    <t xml:space="preserve">/vistorias-e-inspecoes/vistoria-saida-locacao/</t>
  </si>
  <si>
    <t xml:space="preserve">S0457</t>
  </si>
  <si>
    <t xml:space="preserve">Visitante que já sabe a categoria do problema, mas não o serviço exato. Precisa registrar o estado de um imóvel ou investigar um problema específico com método e equipamento adequados.</t>
  </si>
  <si>
    <t xml:space="preserve">S0458</t>
  </si>
  <si>
    <t xml:space="preserve">Vistoria técnica</t>
  </si>
  <si>
    <t xml:space="preserve">/vistorias-e-inspecoes/vistoria-tecnica/</t>
  </si>
  <si>
    <t xml:space="preserve">S0459</t>
  </si>
  <si>
    <t xml:space="preserve">S0460</t>
  </si>
  <si>
    <t xml:space="preserve">Vistoria de vizinhança</t>
  </si>
  <si>
    <t xml:space="preserve">/vistorias-e-inspecoes/vistoria-cautelar/#vistoria-vizinhanca</t>
  </si>
  <si>
    <t xml:space="preserve">S0461</t>
  </si>
  <si>
    <t xml:space="preserve">Vistoria de reforma em condomínio</t>
  </si>
  <si>
    <t xml:space="preserve">Precisa registrar o estado de um imóvel ou investigar um problema específico com método e equipamento adequados. Envolve decisão coletiva e regras internas do condomínio.</t>
  </si>
  <si>
    <t xml:space="preserve">/vistorias-e-inspecoes/vistoria-reforma-em-condominio/</t>
  </si>
  <si>
    <t xml:space="preserve">S0462</t>
  </si>
  <si>
    <t xml:space="preserve">Vistoria de obra em andamento</t>
  </si>
  <si>
    <t xml:space="preserve">/vistorias-e-inspecoes/vistoria-obra-em-andamento/</t>
  </si>
  <si>
    <t xml:space="preserve">S0463</t>
  </si>
  <si>
    <t xml:space="preserve">Vistoria pós-obra</t>
  </si>
  <si>
    <t xml:space="preserve">/vistorias-e-inspecoes/vistoria-pos-obra/</t>
  </si>
  <si>
    <t xml:space="preserve">S0464</t>
  </si>
  <si>
    <t xml:space="preserve">Vistoria de garantia</t>
  </si>
  <si>
    <t xml:space="preserve">/vistorias-e-inspecoes/vistoria-garantia/</t>
  </si>
  <si>
    <t xml:space="preserve">S0465</t>
  </si>
  <si>
    <t xml:space="preserve">Vistoria de sinistro</t>
  </si>
  <si>
    <t xml:space="preserve">Precisa registrar o estado de um imóvel ou investigar um problema específico com método e equipamento adequados. Há negociação em curso com seguradora ou terceiro.</t>
  </si>
  <si>
    <t xml:space="preserve">/vistorias-e-inspecoes/vistoria-sinistro/</t>
  </si>
  <si>
    <t xml:space="preserve">S0466</t>
  </si>
  <si>
    <t xml:space="preserve">Vistoria de telhado</t>
  </si>
  <si>
    <t xml:space="preserve">/vistorias-e-inspecoes/vistoria-telhado/</t>
  </si>
  <si>
    <t xml:space="preserve">S0467</t>
  </si>
  <si>
    <t xml:space="preserve">Vistoria de fachada</t>
  </si>
  <si>
    <t xml:space="preserve">/vistorias-e-inspecoes/vistoria-fachada/</t>
  </si>
  <si>
    <t xml:space="preserve">S0468</t>
  </si>
  <si>
    <t xml:space="preserve">Vistoria de infiltração</t>
  </si>
  <si>
    <t xml:space="preserve">/vistorias-e-inspecoes/vistoria-infiltracao/</t>
  </si>
  <si>
    <t xml:space="preserve">S0469</t>
  </si>
  <si>
    <t xml:space="preserve">Vistoria com termografia</t>
  </si>
  <si>
    <t xml:space="preserve">/vistorias-e-inspecoes/vistoria-com-termografia/</t>
  </si>
  <si>
    <t xml:space="preserve">S0470</t>
  </si>
  <si>
    <t xml:space="preserve">Vistoria com drone</t>
  </si>
  <si>
    <t xml:space="preserve">/vistorias-e-inspecoes/vistoria-com-drone/</t>
  </si>
  <si>
    <t xml:space="preserve">S0471</t>
  </si>
  <si>
    <t xml:space="preserve">Visitante que já sabe a categoria do problema, mas não o serviço exato. Síndico ou gestor que precisa de diagnóstico formal da edificação, para cumprir norma, planejar manutenção, justificar obra em assembleia ou atender seguradora.</t>
  </si>
  <si>
    <t xml:space="preserve">S0472</t>
  </si>
  <si>
    <t xml:space="preserve">Inspeção predial</t>
  </si>
  <si>
    <t xml:space="preserve">/vistorias-e-inspecoes/inspecao-predial/</t>
  </si>
  <si>
    <t xml:space="preserve">S0473</t>
  </si>
  <si>
    <t xml:space="preserve">Inspeção predial de condomínio</t>
  </si>
  <si>
    <t xml:space="preserve">Síndico ou gestor que precisa de diagnóstico formal da edificação, para cumprir norma, planejar manutenção, justificar obra em assembleia ou atender seguradora. Envolve decisão coletiva e regras internas do condomínio.</t>
  </si>
  <si>
    <t xml:space="preserve">/vistorias-e-inspecoes/inspecao-predial/#inspecao-predial-condominio</t>
  </si>
  <si>
    <t xml:space="preserve">S0474</t>
  </si>
  <si>
    <t xml:space="preserve">Inspeção predial residencial</t>
  </si>
  <si>
    <t xml:space="preserve">/vistorias-e-inspecoes/inspecao-predial/#inspecao-predial-residencial</t>
  </si>
  <si>
    <t xml:space="preserve">S0475</t>
  </si>
  <si>
    <t xml:space="preserve">Inspeção predial comercial</t>
  </si>
  <si>
    <t xml:space="preserve">/vistorias-e-inspecoes/inspecao-predial/#inspecao-predial-comercial</t>
  </si>
  <si>
    <t xml:space="preserve">S0476</t>
  </si>
  <si>
    <t xml:space="preserve">Inspeção predial periódica</t>
  </si>
  <si>
    <t xml:space="preserve">/vistorias-e-inspecoes/inspecao-predial/#inspecao-predial-periodica</t>
  </si>
  <si>
    <t xml:space="preserve">S0477</t>
  </si>
  <si>
    <t xml:space="preserve">Inspeção de fachada</t>
  </si>
  <si>
    <t xml:space="preserve">/vistorias-e-inspecoes/inspecao-fachada/</t>
  </si>
  <si>
    <t xml:space="preserve">S0478</t>
  </si>
  <si>
    <t xml:space="preserve">Inspeção de estruturas de concreto</t>
  </si>
  <si>
    <t xml:space="preserve">/vistorias-e-inspecoes/inspecao-estruturas-concreto/</t>
  </si>
  <si>
    <t xml:space="preserve">S0479</t>
  </si>
  <si>
    <t xml:space="preserve">Inspeção de estruturas metálicas</t>
  </si>
  <si>
    <t xml:space="preserve">/vistorias-e-inspecoes/inspecao-estruturas-metalicas/</t>
  </si>
  <si>
    <t xml:space="preserve">S0480</t>
  </si>
  <si>
    <t xml:space="preserve">Inspeção de instalações elétricas</t>
  </si>
  <si>
    <t xml:space="preserve">/vistorias-e-inspecoes/inspecao-instalacoes-eletricas/</t>
  </si>
  <si>
    <t xml:space="preserve">S0481</t>
  </si>
  <si>
    <t xml:space="preserve">Inspeção de instalações hidráulicas</t>
  </si>
  <si>
    <t xml:space="preserve">/vistorias-e-inspecoes/inspecao-instalacoes-hidraulicas/</t>
  </si>
  <si>
    <t xml:space="preserve">S0482</t>
  </si>
  <si>
    <t xml:space="preserve">Inspeção de impermeabilização</t>
  </si>
  <si>
    <t xml:space="preserve">/vistorias-e-inspecoes/inspecao-impermeabilizacao/</t>
  </si>
  <si>
    <t xml:space="preserve">S0483</t>
  </si>
  <si>
    <t xml:space="preserve">Inspeção de sistema de combate a incêndio</t>
  </si>
  <si>
    <t xml:space="preserve">Síndico ou gestor que precisa de diagnóstico formal da edificação, para cumprir norma, planejar manutenção, justificar obra em assembleia ou atender seguradora. Há negociação em curso com seguradora ou terceiro.</t>
  </si>
  <si>
    <t xml:space="preserve">/vistorias-e-inspecoes/inspecao-sistema-combate-a-incendio/</t>
  </si>
  <si>
    <t xml:space="preserve">S0484</t>
  </si>
  <si>
    <t xml:space="preserve">Inspeção termográfica</t>
  </si>
  <si>
    <t xml:space="preserve">/vistorias-e-inspecoes/vistoria-com-termografia/#inspecao-termografica</t>
  </si>
  <si>
    <t xml:space="preserve">S0485</t>
  </si>
  <si>
    <t xml:space="preserve">Inspeção com drone</t>
  </si>
  <si>
    <t xml:space="preserve">/vistorias-e-inspecoes/vistoria-com-drone/#inspecao-com-drone</t>
  </si>
  <si>
    <t xml:space="preserve">S0486</t>
  </si>
  <si>
    <t xml:space="preserve">Visitante que já sabe a categoria do problema, mas não o serviço exato. Precisa de dado técnico mensurável para fundamentar um laudo, uma disputa ou uma decisão de reforço estrutural.</t>
  </si>
  <si>
    <t xml:space="preserve">S0487</t>
  </si>
  <si>
    <t xml:space="preserve">Ensaio de esclerometria</t>
  </si>
  <si>
    <t xml:space="preserve">/vistorias-e-inspecoes/ensaio-esclerometria/</t>
  </si>
  <si>
    <t xml:space="preserve">S0488</t>
  </si>
  <si>
    <t xml:space="preserve">Ensaio de pacometria</t>
  </si>
  <si>
    <t xml:space="preserve">/vistorias-e-inspecoes/ensaio-pacometria/</t>
  </si>
  <si>
    <t xml:space="preserve">S0489</t>
  </si>
  <si>
    <t xml:space="preserve">Extração de testemunho de concreto</t>
  </si>
  <si>
    <t xml:space="preserve">/vistorias-e-inspecoes/extracao-testemunho-concreto/</t>
  </si>
  <si>
    <t xml:space="preserve">S0490</t>
  </si>
  <si>
    <t xml:space="preserve">Ensaio de arrancamento de revestimento</t>
  </si>
  <si>
    <t xml:space="preserve">/vistorias-e-inspecoes/ensaio-arrancamento-revestimento/</t>
  </si>
  <si>
    <t xml:space="preserve">S0491</t>
  </si>
  <si>
    <t xml:space="preserve">Ensaio de percussão em revestimento</t>
  </si>
  <si>
    <t xml:space="preserve">/vistorias-e-inspecoes/ensaio-percussao-em-revestimento/</t>
  </si>
  <si>
    <t xml:space="preserve">S0492</t>
  </si>
  <si>
    <t xml:space="preserve">Ensaio de estanqueidade</t>
  </si>
  <si>
    <t xml:space="preserve">/vistorias-e-inspecoes/ensaio-estanqueidade/</t>
  </si>
  <si>
    <t xml:space="preserve">S0493</t>
  </si>
  <si>
    <t xml:space="preserve">Prova de carga</t>
  </si>
  <si>
    <t xml:space="preserve">/vistorias-e-inspecoes/prova-carga/</t>
  </si>
  <si>
    <t xml:space="preserve">S0494</t>
  </si>
  <si>
    <t xml:space="preserve">Monitoramento de fissuras</t>
  </si>
  <si>
    <t xml:space="preserve">/vistorias-e-inspecoes/monitoramento-fissuras/</t>
  </si>
  <si>
    <t xml:space="preserve">S0495</t>
  </si>
  <si>
    <t xml:space="preserve">Monitoramento de recalques</t>
  </si>
  <si>
    <t xml:space="preserve">/vistorias-e-inspecoes/monitoramento-recalques/</t>
  </si>
  <si>
    <t xml:space="preserve">S0496</t>
  </si>
  <si>
    <t xml:space="preserve">Visitante que já sabe a categoria do problema, mas não o serviço exato. Está em conflito, ou prestes a entrar em um, e precisa de fundamentação técnica que convença juiz, árbitro ou a outra parte.</t>
  </si>
  <si>
    <t xml:space="preserve">S0497</t>
  </si>
  <si>
    <t xml:space="preserve">Perícia judicial</t>
  </si>
  <si>
    <t xml:space="preserve">/pericias-e-avaliacoes/pericia-judicial/</t>
  </si>
  <si>
    <t xml:space="preserve">S0498</t>
  </si>
  <si>
    <t xml:space="preserve">Perícia extrajudicial</t>
  </si>
  <si>
    <t xml:space="preserve">/pericias-e-avaliacoes/pericia-extrajudicial/</t>
  </si>
  <si>
    <t xml:space="preserve">S0499</t>
  </si>
  <si>
    <t xml:space="preserve">Assistência técnica em perícia judicial</t>
  </si>
  <si>
    <t xml:space="preserve">/pericias-e-avaliacoes/assistencia-tecnica-em-pericia-judicial/</t>
  </si>
  <si>
    <t xml:space="preserve">S0500</t>
  </si>
  <si>
    <t xml:space="preserve">Arbitragem técnica</t>
  </si>
  <si>
    <t xml:space="preserve">/pericias-e-avaliacoes/arbitragem-tecnica/</t>
  </si>
  <si>
    <t xml:space="preserve">S0501</t>
  </si>
  <si>
    <t xml:space="preserve">Mediação técnica de conflitos de obra</t>
  </si>
  <si>
    <t xml:space="preserve">/pericias-e-avaliacoes/mediacao-tecnica-conflitos-obra/</t>
  </si>
  <si>
    <t xml:space="preserve">S0502</t>
  </si>
  <si>
    <t xml:space="preserve">Apuração de responsabilidade técnica</t>
  </si>
  <si>
    <t xml:space="preserve">/pericias-e-avaliacoes/apuracao-responsabilidade-tecnica/</t>
  </si>
  <si>
    <t xml:space="preserve">S0503</t>
  </si>
  <si>
    <t xml:space="preserve">Quantificação de danos</t>
  </si>
  <si>
    <t xml:space="preserve">/pericias-e-avaliacoes/quantificacao-danos/</t>
  </si>
  <si>
    <t xml:space="preserve">S0504</t>
  </si>
  <si>
    <t xml:space="preserve">Visitante que já sabe a categoria do problema, mas não o serviço exato. Quer uma opinião técnica formal sobre um contrato, uma obra ou uma disputa para decidir o próximo passo ou negociar com base sólida.</t>
  </si>
  <si>
    <t xml:space="preserve">S0505</t>
  </si>
  <si>
    <t xml:space="preserve">Parecer técnico</t>
  </si>
  <si>
    <t xml:space="preserve">/pericias-e-avaliacoes/parecer-tecnico/</t>
  </si>
  <si>
    <t xml:space="preserve">S0506</t>
  </si>
  <si>
    <t xml:space="preserve">Parecer técnico para advogados</t>
  </si>
  <si>
    <t xml:space="preserve">/pericias-e-avaliacoes/parecer-tecnico-para-advogados/</t>
  </si>
  <si>
    <t xml:space="preserve">S0507</t>
  </si>
  <si>
    <t xml:space="preserve">Parecer técnico para ação contra construtora</t>
  </si>
  <si>
    <t xml:space="preserve">/pericias-e-avaliacoes/parecer-tecnico-para-acao-contra-construtora/</t>
  </si>
  <si>
    <t xml:space="preserve">S0508</t>
  </si>
  <si>
    <t xml:space="preserve">Parecer técnico para disputa condominial</t>
  </si>
  <si>
    <t xml:space="preserve">/pericias-e-avaliacoes/parecer-tecnico-para-disputa-condominial/</t>
  </si>
  <si>
    <t xml:space="preserve">S0509</t>
  </si>
  <si>
    <t xml:space="preserve">Parecer técnico para disputa entre vizinhos</t>
  </si>
  <si>
    <t xml:space="preserve">/pericias-e-avaliacoes/parecer-tecnico-para-disputa-entre-vizinhos/</t>
  </si>
  <si>
    <t xml:space="preserve">S0510</t>
  </si>
  <si>
    <t xml:space="preserve">Análise técnica de contrato de obra</t>
  </si>
  <si>
    <t xml:space="preserve">/pericias-e-avaliacoes/analise-tecnica-contrato-obra/</t>
  </si>
  <si>
    <t xml:space="preserve">S0511</t>
  </si>
  <si>
    <t xml:space="preserve">Análise técnica de aditivos contratuais</t>
  </si>
  <si>
    <t xml:space="preserve">/pericias-e-avaliacoes/analise-tecnica-aditivos-contratuais/</t>
  </si>
  <si>
    <t xml:space="preserve">S0512</t>
  </si>
  <si>
    <t xml:space="preserve">Visitante que já sabe a categoria do problema, mas não o serviço exato. Precisa saber o valor justo de um imóvel para comprar, vender, partilhar, integralizar em holding ou dar em garantia, com laudo aceito por terceiros.</t>
  </si>
  <si>
    <t xml:space="preserve">S0513</t>
  </si>
  <si>
    <t xml:space="preserve">Avaliação de imóvel</t>
  </si>
  <si>
    <t xml:space="preserve">/pericias-e-avaliacoes/avaliacao-imovel/</t>
  </si>
  <si>
    <t xml:space="preserve">S0514</t>
  </si>
  <si>
    <t xml:space="preserve">Avaliação de imóvel residencial</t>
  </si>
  <si>
    <t xml:space="preserve">/pericias-e-avaliacoes/avaliacao-imovel-residencial/</t>
  </si>
  <si>
    <t xml:space="preserve">S0515</t>
  </si>
  <si>
    <t xml:space="preserve">Avaliação de imóvel comercial</t>
  </si>
  <si>
    <t xml:space="preserve">/pericias-e-avaliacoes/avaliacao-imovel-comercial/</t>
  </si>
  <si>
    <t xml:space="preserve">S0516</t>
  </si>
  <si>
    <t xml:space="preserve">Avaliação de imóvel de alto padrão</t>
  </si>
  <si>
    <t xml:space="preserve">Precisa saber o valor justo de um imóvel para comprar, vender, partilhar, integralizar em holding ou dar em garantia, com laudo aceito por terceiros. Termo com sinal de exclusividade: filtra naturalmente o público e combina com o posicionamento premium.</t>
  </si>
  <si>
    <t xml:space="preserve">/pericias-e-avaliacoes/avaliacao-imovel-alto-padrao/</t>
  </si>
  <si>
    <t xml:space="preserve">S0517</t>
  </si>
  <si>
    <t xml:space="preserve">Avaliação de terreno</t>
  </si>
  <si>
    <t xml:space="preserve">/pericias-e-avaliacoes/avaliacao-terreno/</t>
  </si>
  <si>
    <t xml:space="preserve">S0518</t>
  </si>
  <si>
    <t xml:space="preserve">Avaliação de galpão</t>
  </si>
  <si>
    <t xml:space="preserve">/pericias-e-avaliacoes/avaliacao-galpao/</t>
  </si>
  <si>
    <t xml:space="preserve">S0519</t>
  </si>
  <si>
    <t xml:space="preserve">Avaliação para compra</t>
  </si>
  <si>
    <t xml:space="preserve">/pericias-e-avaliacoes/avaliacao-para-compra/</t>
  </si>
  <si>
    <t xml:space="preserve">S0520</t>
  </si>
  <si>
    <t xml:space="preserve">Avaliação para venda</t>
  </si>
  <si>
    <t xml:space="preserve">/pericias-e-avaliacoes/avaliacao-para-venda/</t>
  </si>
  <si>
    <t xml:space="preserve">S0521</t>
  </si>
  <si>
    <t xml:space="preserve">Avaliação para garantia bancária</t>
  </si>
  <si>
    <t xml:space="preserve">/pericias-e-avaliacoes/avaliacao-para-garantia-bancaria/</t>
  </si>
  <si>
    <t xml:space="preserve">S0522</t>
  </si>
  <si>
    <t xml:space="preserve">Avaliação para inventário</t>
  </si>
  <si>
    <t xml:space="preserve">Precisa saber o valor justo de um imóvel para comprar, vender, partilhar, integralizar em holding ou dar em garantia, com laudo aceito por terceiros. Pode haver vários herdeiros decidindo juntos; a neutralidade técnica é valorizada.</t>
  </si>
  <si>
    <t xml:space="preserve">/pericias-e-avaliacoes/avaliacao-para-inventario/</t>
  </si>
  <si>
    <t xml:space="preserve">S0523</t>
  </si>
  <si>
    <t xml:space="preserve">Avaliação para partilha</t>
  </si>
  <si>
    <t xml:space="preserve">/pericias-e-avaliacoes/avaliacao-para-partilha/</t>
  </si>
  <si>
    <t xml:space="preserve">S0524</t>
  </si>
  <si>
    <t xml:space="preserve">Avaliação para integralização de capital em holding</t>
  </si>
  <si>
    <t xml:space="preserve">/pericias-e-avaliacoes/avaliacao-para-integralizacao-capital-em-holding/</t>
  </si>
  <si>
    <t xml:space="preserve">S0525</t>
  </si>
  <si>
    <t xml:space="preserve">Avaliação de aluguel</t>
  </si>
  <si>
    <t xml:space="preserve">/pericias-e-avaliacoes/avaliacao-aluguel/</t>
  </si>
  <si>
    <t xml:space="preserve">S0526</t>
  </si>
  <si>
    <t xml:space="preserve">Avaliação de benfeitorias</t>
  </si>
  <si>
    <t xml:space="preserve">/pericias-e-avaliacoes/avaliacao-benfeitorias/</t>
  </si>
  <si>
    <t xml:space="preserve">S0527</t>
  </si>
  <si>
    <t xml:space="preserve">Estimativa de custo de reforma para compra de imóvel</t>
  </si>
  <si>
    <t xml:space="preserve">/pericias-e-avaliacoes/estimativa-custo-reforma-para-compra-imovel/</t>
  </si>
  <si>
    <t xml:space="preserve">S0528</t>
  </si>
  <si>
    <t xml:space="preserve">Visitante que já sabe a categoria do problema, mas não o serviço exato. Não quer se envolver no dia a dia da obra e procura quem assuma a responsabilidade por tudo. Compara modelos de contratação e quer entender quanto custa ter tranquilidade.</t>
  </si>
  <si>
    <t xml:space="preserve">S0529</t>
  </si>
  <si>
    <t xml:space="preserve">Gestão de obras residenciais</t>
  </si>
  <si>
    <t xml:space="preserve">/gestao-de-obras/gestao-obras-residenciais/</t>
  </si>
  <si>
    <t xml:space="preserve">S0530</t>
  </si>
  <si>
    <t xml:space="preserve">Gestão de obras comerciais</t>
  </si>
  <si>
    <t xml:space="preserve">/gestao-de-obras/gestao-obras-comerciais/</t>
  </si>
  <si>
    <t xml:space="preserve">S0531</t>
  </si>
  <si>
    <t xml:space="preserve">Gestão de reformas</t>
  </si>
  <si>
    <t xml:space="preserve">/gestao-de-obras/gestao-reformas/</t>
  </si>
  <si>
    <t xml:space="preserve">S0532</t>
  </si>
  <si>
    <t xml:space="preserve">Gestão de obra à distância</t>
  </si>
  <si>
    <t xml:space="preserve">Não quer se envolver no dia a dia da obra e procura quem assuma a responsabilidade por tudo. Compara modelos de contratação e quer entender quanto custa ter tranquilidade. Cliente fora da região: valoriza relatórios, fotos e comunicação remota.</t>
  </si>
  <si>
    <t xml:space="preserve">/gestao-de-obras/gestao-obra-a-distancia/</t>
  </si>
  <si>
    <t xml:space="preserve">S0533</t>
  </si>
  <si>
    <t xml:space="preserve">Gestão de obra para estrangeiros</t>
  </si>
  <si>
    <t xml:space="preserve">/gestao-de-obras/gestao-obra-para-estrangeiros/</t>
  </si>
  <si>
    <t xml:space="preserve">S0534</t>
  </si>
  <si>
    <t xml:space="preserve">Gestão de obra de casa de veraneio</t>
  </si>
  <si>
    <t xml:space="preserve">/gestao-de-obras/gestao-obra-casa-veraneio/</t>
  </si>
  <si>
    <t xml:space="preserve">S0535</t>
  </si>
  <si>
    <t xml:space="preserve">Gerenciamento de obras</t>
  </si>
  <si>
    <t xml:space="preserve">/gestao-de-obras/gestao-obras-residenciais/#gerenciamento-obras</t>
  </si>
  <si>
    <t xml:space="preserve">S0536</t>
  </si>
  <si>
    <t xml:space="preserve">Gerenciamento de projetos de construção</t>
  </si>
  <si>
    <t xml:space="preserve">/gestao-de-obras/gerenciamento-projetos-construcao/</t>
  </si>
  <si>
    <t xml:space="preserve">S0537</t>
  </si>
  <si>
    <t xml:space="preserve">Administração de obras</t>
  </si>
  <si>
    <t xml:space="preserve">/gestao-de-obras/administracao-obras/</t>
  </si>
  <si>
    <t xml:space="preserve">S0538</t>
  </si>
  <si>
    <t xml:space="preserve">Obra por administração</t>
  </si>
  <si>
    <t xml:space="preserve">/gestao-de-obras/administracao-obras/#obra-por-administracao</t>
  </si>
  <si>
    <t xml:space="preserve">S0539</t>
  </si>
  <si>
    <t xml:space="preserve">Obra a preço de custo</t>
  </si>
  <si>
    <t xml:space="preserve">/gestao-de-obras/administracao-obras/#obra-a-preco-custo</t>
  </si>
  <si>
    <t xml:space="preserve">S0540</t>
  </si>
  <si>
    <t xml:space="preserve">Visitante que já sabe a categoria do problema, mas não o serviço exato. Já tem alguém executando a obra e quer um olhar técnico independente para garantir que o que está sendo pago está sendo feito corretamente.</t>
  </si>
  <si>
    <t xml:space="preserve">S0541</t>
  </si>
  <si>
    <t xml:space="preserve">Fiscalização de obras</t>
  </si>
  <si>
    <t xml:space="preserve">/gestao-de-obras/fiscalizacao-obras/</t>
  </si>
  <si>
    <t xml:space="preserve">S0542</t>
  </si>
  <si>
    <t xml:space="preserve">Fiscalização de empreiteira</t>
  </si>
  <si>
    <t xml:space="preserve">/gestao-de-obras/fiscalizacao-empreiteira/</t>
  </si>
  <si>
    <t xml:space="preserve">S0543</t>
  </si>
  <si>
    <t xml:space="preserve">Fiscalização de obra para incorporador</t>
  </si>
  <si>
    <t xml:space="preserve">/gestao-de-obras/fiscalizacao-obra-para-incorporador/</t>
  </si>
  <si>
    <t xml:space="preserve">S0544</t>
  </si>
  <si>
    <t xml:space="preserve">Fiscalização de obra para investidor</t>
  </si>
  <si>
    <t xml:space="preserve">/gestao-de-obras/fiscalizacao-obra-para-investidor/</t>
  </si>
  <si>
    <t xml:space="preserve">S0545</t>
  </si>
  <si>
    <t xml:space="preserve">Fiscalização de obra para banco</t>
  </si>
  <si>
    <t xml:space="preserve">/gestao-de-obras/fiscalizacao-obra-para-banco/</t>
  </si>
  <si>
    <t xml:space="preserve">S0546</t>
  </si>
  <si>
    <t xml:space="preserve">Fiscalização de obra financiada</t>
  </si>
  <si>
    <t xml:space="preserve">/gestao-de-obras/fiscalizacao-obra-para-banco/#fiscalizacao-obra-financiada</t>
  </si>
  <si>
    <t xml:space="preserve">S0547</t>
  </si>
  <si>
    <t xml:space="preserve">Acompanhamento técnico de obra</t>
  </si>
  <si>
    <t xml:space="preserve">/gestao-de-obras/acompanhamento-tecnico-obra/</t>
  </si>
  <si>
    <t xml:space="preserve">S0548</t>
  </si>
  <si>
    <t xml:space="preserve">Acompanhamento de obra para proprietário</t>
  </si>
  <si>
    <t xml:space="preserve">/gestao-de-obras/acompanhamento-obra-para-proprietario/</t>
  </si>
  <si>
    <t xml:space="preserve">S0549</t>
  </si>
  <si>
    <t xml:space="preserve">Acompanhamento de obra para arquiteto</t>
  </si>
  <si>
    <t xml:space="preserve">/gestao-de-obras/acompanhamento-obra-para-arquiteto/</t>
  </si>
  <si>
    <t xml:space="preserve">S0550</t>
  </si>
  <si>
    <t xml:space="preserve">Relatório técnico de obra</t>
  </si>
  <si>
    <t xml:space="preserve">/gestao-de-obras/relatorio-tecnico-obra/</t>
  </si>
  <si>
    <t xml:space="preserve">S0551</t>
  </si>
  <si>
    <t xml:space="preserve">Relatório fotográfico de obra</t>
  </si>
  <si>
    <t xml:space="preserve">/gestao-de-obras/relatorio-fotografico-obra/</t>
  </si>
  <si>
    <t xml:space="preserve">S0552</t>
  </si>
  <si>
    <t xml:space="preserve">Relatório de medição para banco</t>
  </si>
  <si>
    <t xml:space="preserve">/gestao-de-obras/relatorio-medicao-para-banco/</t>
  </si>
  <si>
    <t xml:space="preserve">S0553</t>
  </si>
  <si>
    <t xml:space="preserve">Medição de obra</t>
  </si>
  <si>
    <t xml:space="preserve">/gestao-de-obras/medicao-obra/</t>
  </si>
  <si>
    <t xml:space="preserve">S0554</t>
  </si>
  <si>
    <t xml:space="preserve">Visitante que já sabe a categoria do problema, mas não o serviço exato. Desconfia que está pagando mais do que deveria ou perdeu o controle de prazo e custo. Quer diagnóstico objetivo e recuperação de controle.</t>
  </si>
  <si>
    <t xml:space="preserve">S0555</t>
  </si>
  <si>
    <t xml:space="preserve">Auditoria de medições</t>
  </si>
  <si>
    <t xml:space="preserve">/gestao-de-obras/auditoria-medicoes/</t>
  </si>
  <si>
    <t xml:space="preserve">S0556</t>
  </si>
  <si>
    <t xml:space="preserve">Auditoria de obra</t>
  </si>
  <si>
    <t xml:space="preserve">/gestao-de-obras/auditoria-obra/</t>
  </si>
  <si>
    <t xml:space="preserve">S0557</t>
  </si>
  <si>
    <t xml:space="preserve">Auditoria de custos de obra</t>
  </si>
  <si>
    <t xml:space="preserve">/gestao-de-obras/auditoria-custos-obra/</t>
  </si>
  <si>
    <t xml:space="preserve">S0558</t>
  </si>
  <si>
    <t xml:space="preserve">Controle de qualidade de obra</t>
  </si>
  <si>
    <t xml:space="preserve">/gestao-de-obras/controle-qualidade-obra/</t>
  </si>
  <si>
    <t xml:space="preserve">S0559</t>
  </si>
  <si>
    <t xml:space="preserve">Controle de cronograma</t>
  </si>
  <si>
    <t xml:space="preserve">/gestao-de-obras/controle-cronograma/</t>
  </si>
  <si>
    <t xml:space="preserve">S0560</t>
  </si>
  <si>
    <t xml:space="preserve">Controle de custos de obra</t>
  </si>
  <si>
    <t xml:space="preserve">/gestao-de-obras/controle-custos-obra/</t>
  </si>
  <si>
    <t xml:space="preserve">S0561</t>
  </si>
  <si>
    <t xml:space="preserve">Gestão de compras de obra</t>
  </si>
  <si>
    <t xml:space="preserve">/gestao-de-obras/gestao-compras-obra/</t>
  </si>
  <si>
    <t xml:space="preserve">S0562</t>
  </si>
  <si>
    <t xml:space="preserve">Gestão de suprimentos de obra</t>
  </si>
  <si>
    <t xml:space="preserve">/gestao-de-obras/gestao-suprimentos-obra/</t>
  </si>
  <si>
    <t xml:space="preserve">S0563</t>
  </si>
  <si>
    <t xml:space="preserve">Gestão de fornecedores</t>
  </si>
  <si>
    <t xml:space="preserve">/gestao-de-obras/gestao-fornecedores/</t>
  </si>
  <si>
    <t xml:space="preserve">S0564</t>
  </si>
  <si>
    <t xml:space="preserve">Gestão de empreiteiros</t>
  </si>
  <si>
    <t xml:space="preserve">/gestao-de-obras/gestao-empreiteiros/</t>
  </si>
  <si>
    <t xml:space="preserve">S0565</t>
  </si>
  <si>
    <t xml:space="preserve">Gestão de mão de obra</t>
  </si>
  <si>
    <t xml:space="preserve">/gestao-de-obras/gestao-mao-obra/</t>
  </si>
  <si>
    <t xml:space="preserve">S0566</t>
  </si>
  <si>
    <t xml:space="preserve">Visitante que já sabe a categoria do problema, mas não o serviço exato. Precisa de um engenheiro responsável formal pela obra, por exigência legal, do condomínio ou do banco, ou quer um profissional residente.</t>
  </si>
  <si>
    <t xml:space="preserve">S0567</t>
  </si>
  <si>
    <t xml:space="preserve">Responsabilidade técnica de obra</t>
  </si>
  <si>
    <t xml:space="preserve">/gestao-de-obras/responsabilidade-tecnica-obra/</t>
  </si>
  <si>
    <t xml:space="preserve">S0568</t>
  </si>
  <si>
    <t xml:space="preserve">Engenheiro residente</t>
  </si>
  <si>
    <t xml:space="preserve">/gestao-de-obras/engenheiro-residente/</t>
  </si>
  <si>
    <t xml:space="preserve">S0569</t>
  </si>
  <si>
    <t xml:space="preserve">Engenheiro responsável por obra</t>
  </si>
  <si>
    <t xml:space="preserve">/gestao-de-obras/responsabilidade-tecnica-obra/#engenheiro-responsavel-por-obra</t>
  </si>
  <si>
    <t xml:space="preserve">S0570</t>
  </si>
  <si>
    <t xml:space="preserve">Emissão de ART</t>
  </si>
  <si>
    <t xml:space="preserve">/gestao-de-obras/emissao-art/</t>
  </si>
  <si>
    <t xml:space="preserve">S0571</t>
  </si>
  <si>
    <t xml:space="preserve">Visitante que já sabe a categoria do problema, mas não o serviço exato. A obra parou ou foi abandonada por outra empresa. Está frustrado, com dinheiro investido e sem saber o estado real do que foi feito.</t>
  </si>
  <si>
    <t xml:space="preserve">S0572</t>
  </si>
  <si>
    <t xml:space="preserve">Retomada de obra paralisada</t>
  </si>
  <si>
    <t xml:space="preserve">/gestao-de-obras/retomada-obra-paralisada/</t>
  </si>
  <si>
    <t xml:space="preserve">S0573</t>
  </si>
  <si>
    <t xml:space="preserve">Assunção de obra abandonada por outra empresa</t>
  </si>
  <si>
    <t xml:space="preserve">/gestao-de-obras/assuncao-obra-abandonada-por-outra-empresa/</t>
  </si>
  <si>
    <t xml:space="preserve">S0574</t>
  </si>
  <si>
    <t xml:space="preserve">Encerramento técnico de obra</t>
  </si>
  <si>
    <t xml:space="preserve">/gestao-de-obras/encerramento-tecnico-obra/</t>
  </si>
  <si>
    <t xml:space="preserve">S0575</t>
  </si>
  <si>
    <t xml:space="preserve">Visitante que já sabe a categoria do problema, mas não o serviço exato. Quer se proteger de acidente e passivo trabalhista na obra, ou precisa cumprir exigência documental.</t>
  </si>
  <si>
    <t xml:space="preserve">S0576</t>
  </si>
  <si>
    <t xml:space="preserve">Programa de gerenciamento de riscos para obra</t>
  </si>
  <si>
    <t xml:space="preserve">/gestao-de-obras/programa-gerenciamento-riscos-para-obra/</t>
  </si>
  <si>
    <t xml:space="preserve">S0577</t>
  </si>
  <si>
    <t xml:space="preserve">Adequação de obra à NR 18</t>
  </si>
  <si>
    <t xml:space="preserve">/gestao-de-obras/adequacao-obra-a-nr-18/</t>
  </si>
  <si>
    <t xml:space="preserve">S0578</t>
  </si>
  <si>
    <t xml:space="preserve">Laudo de segurança em obra</t>
  </si>
  <si>
    <t xml:space="preserve">/gestao-de-obras/laudo-seguranca-em-obra/</t>
  </si>
  <si>
    <t xml:space="preserve">S0579</t>
  </si>
  <si>
    <t xml:space="preserve">Inspeção de segurança de canteiro</t>
  </si>
  <si>
    <t xml:space="preserve">/gestao-de-obras/inspecao-seguranca-canteiro/</t>
  </si>
  <si>
    <t xml:space="preserve">S0580</t>
  </si>
  <si>
    <t xml:space="preserve">Treinamento de segurança em obra</t>
  </si>
  <si>
    <t xml:space="preserve">/gestao-de-obras/treinamento-seguranca-em-obra/</t>
  </si>
  <si>
    <t xml:space="preserve">S0581</t>
  </si>
  <si>
    <t xml:space="preserve">Visitante que já sabe a categoria do problema, mas não o serviço exato. Terminou a obra e quer ter segurança sobre o que acontece se algo aparecer depois. Incorporadores precisam organizar a assistência técnica do empreendimento.</t>
  </si>
  <si>
    <t xml:space="preserve">S0582</t>
  </si>
  <si>
    <t xml:space="preserve">Assistência técnica pós-obra</t>
  </si>
  <si>
    <t xml:space="preserve">/gestao-de-obras/assistencia-tecnica-pos-obra/</t>
  </si>
  <si>
    <t xml:space="preserve">S0583</t>
  </si>
  <si>
    <t xml:space="preserve">Garantia de obra</t>
  </si>
  <si>
    <t xml:space="preserve">/gestao-de-obras/garantia-obra/</t>
  </si>
  <si>
    <t xml:space="preserve">S0584</t>
  </si>
  <si>
    <t xml:space="preserve">Manual do proprietário para obra residencial</t>
  </si>
  <si>
    <t xml:space="preserve">/gestao-de-obras/manual-proprietario-para-obra-residencial/</t>
  </si>
  <si>
    <t xml:space="preserve">S0585</t>
  </si>
  <si>
    <t xml:space="preserve">Plano de manutenção da casa</t>
  </si>
  <si>
    <t xml:space="preserve">/gestao-de-obras/plano-manutencao-casa/</t>
  </si>
  <si>
    <t xml:space="preserve">S0586</t>
  </si>
  <si>
    <t xml:space="preserve">Entrega técnica de obra</t>
  </si>
  <si>
    <t xml:space="preserve">/gestao-de-obras/entrega-tecnica-obra/</t>
  </si>
  <si>
    <t xml:space="preserve">S0587</t>
  </si>
  <si>
    <t xml:space="preserve">Inspeção de um ano após a entrega</t>
  </si>
  <si>
    <t xml:space="preserve">/gestao-de-obras/inspecao-um-ano-apos-a-entrega/</t>
  </si>
  <si>
    <t xml:space="preserve">S0588</t>
  </si>
  <si>
    <t xml:space="preserve">Assistência técnica pós-entrega de empreendimento</t>
  </si>
  <si>
    <t xml:space="preserve">/gestao-de-obras/assistencia-tecnica-pos-entrega-empreendimento/</t>
  </si>
  <si>
    <t xml:space="preserve">S0589</t>
  </si>
  <si>
    <t xml:space="preserve">Elaboração de manual do proprietário</t>
  </si>
  <si>
    <t xml:space="preserve">/gestao-de-obras/elaboracao-manual-proprietario/</t>
  </si>
  <si>
    <t xml:space="preserve">S0590</t>
  </si>
  <si>
    <t xml:space="preserve">Elaboração de manual das áreas comuns</t>
  </si>
  <si>
    <t xml:space="preserve">/gestao-de-obras/elaboracao-manual-areas-comuns/</t>
  </si>
  <si>
    <t xml:space="preserve">S0591</t>
  </si>
  <si>
    <t xml:space="preserve">Gestão de assistência técnica em garantia</t>
  </si>
  <si>
    <t xml:space="preserve">/gestao-de-obras/gestao-assistencia-tecnica-em-garantia/</t>
  </si>
  <si>
    <t xml:space="preserve">S0592</t>
  </si>
  <si>
    <t xml:space="preserve">Visitante que já sabe a categoria do problema, mas não o serviço exato. Quer obra organizada e dentro das exigências ambientais, sem reclamações de vizinhos nem multas.</t>
  </si>
  <si>
    <t xml:space="preserve">S0593</t>
  </si>
  <si>
    <t xml:space="preserve">Gestão de resíduos de obra</t>
  </si>
  <si>
    <t xml:space="preserve">/gestao-de-obras/gestao-residuos-obra/</t>
  </si>
  <si>
    <t xml:space="preserve">S0594</t>
  </si>
  <si>
    <t xml:space="preserve">Plano de gerenciamento de resíduos da construção civil</t>
  </si>
  <si>
    <t xml:space="preserve">/gestao-de-obras/plano-gerenciamento-residuos-construcao-civil/</t>
  </si>
  <si>
    <t xml:space="preserve">S0595</t>
  </si>
  <si>
    <t xml:space="preserve">Obra limpa</t>
  </si>
  <si>
    <t xml:space="preserve">/gestao-de-obras/obra-limpa/</t>
  </si>
  <si>
    <t xml:space="preserve">S0596</t>
  </si>
  <si>
    <t xml:space="preserve">Visitante que já sabe a categoria do problema, mas não o serviço exato. Síndico sem formação técnica que precisa decidir, justificar e fiscalizar obras. Compra proteção pessoal e autoridade perante assembleia e conselho.</t>
  </si>
  <si>
    <t xml:space="preserve">S0597</t>
  </si>
  <si>
    <t xml:space="preserve">Assessoria técnica para condomínios</t>
  </si>
  <si>
    <t xml:space="preserve">Síndico sem formação técnica que precisa decidir, justificar e fiscalizar obras. Compra proteção pessoal e autoridade perante assembleia e conselho. Envolve decisão coletiva e regras internas do condomínio.</t>
  </si>
  <si>
    <t xml:space="preserve">/condominios/assessoria-tecnica-para-condominios/</t>
  </si>
  <si>
    <t xml:space="preserve">S0598</t>
  </si>
  <si>
    <t xml:space="preserve">Assessoria técnica para síndicos</t>
  </si>
  <si>
    <t xml:space="preserve">/condominios/assessoria-tecnica-para-sindicos/</t>
  </si>
  <si>
    <t xml:space="preserve">S0599</t>
  </si>
  <si>
    <t xml:space="preserve">Assessoria técnica para síndicos profissionais</t>
  </si>
  <si>
    <t xml:space="preserve">/condominios/assessoria-tecnica-para-sindicos/#assessoria-tecnica-para-sindicos-profissionais</t>
  </si>
  <si>
    <t xml:space="preserve">S0600</t>
  </si>
  <si>
    <t xml:space="preserve">Assessoria técnica para administradoras</t>
  </si>
  <si>
    <t xml:space="preserve">/condominios/assessoria-tecnica-para-administradoras/</t>
  </si>
  <si>
    <t xml:space="preserve">S0601</t>
  </si>
  <si>
    <t xml:space="preserve">Suporte técnico recorrente para condomínios</t>
  </si>
  <si>
    <t xml:space="preserve">/condominios/suporte-tecnico-recorrente-para-condominios/</t>
  </si>
  <si>
    <t xml:space="preserve">S0602</t>
  </si>
  <si>
    <t xml:space="preserve">Participação técnica em assembleia</t>
  </si>
  <si>
    <t xml:space="preserve">/condominios/participacao-tecnica-em-assembleia/</t>
  </si>
  <si>
    <t xml:space="preserve">S0603</t>
  </si>
  <si>
    <t xml:space="preserve">Relatório técnico para prestação de contas</t>
  </si>
  <si>
    <t xml:space="preserve">/condominios/relatorio-tecnico-para-prestacao-contas/</t>
  </si>
  <si>
    <t xml:space="preserve">S0604</t>
  </si>
  <si>
    <t xml:space="preserve">Diagnóstico técnico para compra coletiva de serviços</t>
  </si>
  <si>
    <t xml:space="preserve">/condominios/diagnostico-tecnico-para-compra-coletiva-servicos/</t>
  </si>
  <si>
    <t xml:space="preserve">S0605</t>
  </si>
  <si>
    <t xml:space="preserve">Visitante que já sabe a categoria do problema, mas não o serviço exato. Assembleia aprovou uma obra e o síndico precisa garantir que a empreiteira entregue o combinado, com relatórios e base para notificar ou reter pagamento.</t>
  </si>
  <si>
    <t xml:space="preserve">S0606</t>
  </si>
  <si>
    <t xml:space="preserve">Fiscalização de obras de condomínio</t>
  </si>
  <si>
    <t xml:space="preserve">Assembleia aprovou uma obra e o síndico precisa garantir que a empreiteira entregue o combinado, com relatórios e base para notificar ou reter pagamento. Envolve decisão coletiva e regras internas do condomínio.</t>
  </si>
  <si>
    <t xml:space="preserve">/condominios/fiscalizacao-obras-condominio/</t>
  </si>
  <si>
    <t xml:space="preserve">S0607</t>
  </si>
  <si>
    <t xml:space="preserve">Fiscalização de reforma de fachada</t>
  </si>
  <si>
    <t xml:space="preserve">/condominios/fiscalizacao-reforma-fachada/</t>
  </si>
  <si>
    <t xml:space="preserve">S0608</t>
  </si>
  <si>
    <t xml:space="preserve">Notificação técnica de construtora</t>
  </si>
  <si>
    <t xml:space="preserve">/condominios/notificacao-tecnica-construtora/</t>
  </si>
  <si>
    <t xml:space="preserve">S0609</t>
  </si>
  <si>
    <t xml:space="preserve">Notificação técnica de empreiteira</t>
  </si>
  <si>
    <t xml:space="preserve">/condominios/notificacao-tecnica-empreiteira/</t>
  </si>
  <si>
    <t xml:space="preserve">S0610</t>
  </si>
  <si>
    <t xml:space="preserve">Visitante que já sabe a categoria do problema, mas não o serviço exato. Recebeu orçamentos que não dá para comparar e teme escolher errado. Precisa de escopo único para cotar e de análise para defender a escolha.</t>
  </si>
  <si>
    <t xml:space="preserve">S0611</t>
  </si>
  <si>
    <t xml:space="preserve">Elaboração de memorial descritivo para cotação</t>
  </si>
  <si>
    <t xml:space="preserve">/condominios/elaboracao-memorial-descritivo-para-cotacao/</t>
  </si>
  <si>
    <t xml:space="preserve">S0612</t>
  </si>
  <si>
    <t xml:space="preserve">Equalização de orçamentos para condomínio</t>
  </si>
  <si>
    <t xml:space="preserve">Recebeu orçamentos que não dá para comparar e teme escolher errado. Precisa de escopo único para cotar e de análise para defender a escolha. Envolve decisão coletiva e regras internas do condomínio.</t>
  </si>
  <si>
    <t xml:space="preserve">/condominios/equalizacao-orcamentos-para-condominio/</t>
  </si>
  <si>
    <t xml:space="preserve">S0613</t>
  </si>
  <si>
    <t xml:space="preserve">Visitante que já sabe a categoria do problema, mas não o serviço exato. Recebe planos de reforma dos moradores e não tem capacidade técnica para analisar. Está exposto a cada parede derrubada sem autorização.</t>
  </si>
  <si>
    <t xml:space="preserve">S0614</t>
  </si>
  <si>
    <t xml:space="preserve">Análise de planos de reforma de unidades</t>
  </si>
  <si>
    <t xml:space="preserve">Recebe planos de reforma dos moradores e não tem capacidade técnica para analisar. Está exposto a cada parede derrubada sem autorização. Envolve decisão coletiva e regras internas do condomínio.</t>
  </si>
  <si>
    <t xml:space="preserve">/condominios/analise-planos-reforma-unidades/</t>
  </si>
  <si>
    <t xml:space="preserve">S0615</t>
  </si>
  <si>
    <t xml:space="preserve">Gestão de reformas das unidades conforme NBR 16280</t>
  </si>
  <si>
    <t xml:space="preserve">/condominios/gestao-reformas-unidades-conforme-nbr-16280/</t>
  </si>
  <si>
    <t xml:space="preserve">S0616</t>
  </si>
  <si>
    <t xml:space="preserve">Elaboração de regulamento de obras do condomínio</t>
  </si>
  <si>
    <t xml:space="preserve">/condominios/elaboracao-regulamento-obras-condominio/</t>
  </si>
  <si>
    <t xml:space="preserve">S0617</t>
  </si>
  <si>
    <t xml:space="preserve">Aprovação de reforma junto ao síndico</t>
  </si>
  <si>
    <t xml:space="preserve">/condominios/aprovacao-reforma-junto-ao-sindico/</t>
  </si>
  <si>
    <t xml:space="preserve">S0618</t>
  </si>
  <si>
    <t xml:space="preserve">Visitante que já sabe a categoria do problema, mas não o serviço exato. Quer sair do modo apagar incêndio e ter um plano que proteja o prédio, o seguro e o síndico.</t>
  </si>
  <si>
    <t xml:space="preserve">S0619</t>
  </si>
  <si>
    <t xml:space="preserve">Plano de manutenção predial</t>
  </si>
  <si>
    <t xml:space="preserve">/condominios/plano-manutencao-predial/</t>
  </si>
  <si>
    <t xml:space="preserve">S0620</t>
  </si>
  <si>
    <t xml:space="preserve">Plano de manutenção preventiva</t>
  </si>
  <si>
    <t xml:space="preserve">/condominios/plano-manutencao-preventiva/</t>
  </si>
  <si>
    <t xml:space="preserve">S0621</t>
  </si>
  <si>
    <t xml:space="preserve">Elaboração de manual de uso do condomínio</t>
  </si>
  <si>
    <t xml:space="preserve">Quer sair do modo apagar incêndio e ter um plano que proteja o prédio, o seguro e o síndico. Envolve decisão coletiva e regras internas do condomínio.</t>
  </si>
  <si>
    <t xml:space="preserve">/condominios/elaboracao-manual-uso-condominio/</t>
  </si>
  <si>
    <t xml:space="preserve">S0622</t>
  </si>
  <si>
    <t xml:space="preserve">Revisão de manual do síndico</t>
  </si>
  <si>
    <t xml:space="preserve">/condominios/revisao-manual-sindico/</t>
  </si>
  <si>
    <t xml:space="preserve">S0623</t>
  </si>
  <si>
    <t xml:space="preserve">Cronograma de manutenção de condomínio</t>
  </si>
  <si>
    <t xml:space="preserve">/condominios/cronograma-manutencao-condominio/</t>
  </si>
  <si>
    <t xml:space="preserve">S0624</t>
  </si>
  <si>
    <t xml:space="preserve">Visitante que já sabe a categoria do problema, mas não o serviço exato. Quer aprender a lidar com obras e normas, ou oferecer conhecimento à sua equipe e clientes.</t>
  </si>
  <si>
    <t xml:space="preserve">S0625</t>
  </si>
  <si>
    <t xml:space="preserve">Treinamento para síndicos</t>
  </si>
  <si>
    <t xml:space="preserve">Quer aprender a lidar com obras e normas, ou oferecer conhecimento à sua equipe e clientes. Envolve decisão coletiva e regras internas do condomínio.</t>
  </si>
  <si>
    <t xml:space="preserve">/condominios/treinamento-para-sindicos/</t>
  </si>
  <si>
    <t xml:space="preserve">S0626</t>
  </si>
  <si>
    <t xml:space="preserve">Palestra técnica para condomínios</t>
  </si>
  <si>
    <t xml:space="preserve">/condominios/palestra-tecnica-para-condominios/</t>
  </si>
  <si>
    <t xml:space="preserve">S0627</t>
  </si>
  <si>
    <t xml:space="preserve">Palestra técnica para arquitetos</t>
  </si>
  <si>
    <t xml:space="preserve">/condominios/palestra-tecnica-para-arquitetos/</t>
  </si>
  <si>
    <t xml:space="preserve">S0628</t>
  </si>
  <si>
    <t xml:space="preserve">Workshop para proprietários que vão construir</t>
  </si>
  <si>
    <t xml:space="preserve">/condominios/workshop-para-proprietarios-que-vao-construir/</t>
  </si>
  <si>
    <t xml:space="preserve">S0629</t>
  </si>
  <si>
    <t xml:space="preserve">Treinamento em NBR 16280 para administradoras</t>
  </si>
  <si>
    <t xml:space="preserve">/condominios/treinamento-em-nbr-16280-para-administradoras/</t>
  </si>
  <si>
    <t xml:space="preserve">S0630</t>
  </si>
  <si>
    <t xml:space="preserve">Visitante que já sabe a categoria do problema, mas não o serviço exato. Tem uma dúvida técnica séria e quer falar com um engenheiro experiente, sem necessariamente contratar uma obra. Valoriza independência e clareza.</t>
  </si>
  <si>
    <t xml:space="preserve">S0631</t>
  </si>
  <si>
    <t xml:space="preserve">Consultoria técnica presencial</t>
  </si>
  <si>
    <t xml:space="preserve">/consultoria/consultoria-tecnica-presencial/</t>
  </si>
  <si>
    <t xml:space="preserve">S0632</t>
  </si>
  <si>
    <t xml:space="preserve">Consultoria técnica online</t>
  </si>
  <si>
    <t xml:space="preserve">Tem uma dúvida técnica séria e quer falar com um engenheiro experiente, sem necessariamente contratar uma obra. Valoriza independência e clareza. Cliente fora da região: valoriza relatórios, fotos e comunicação remota.</t>
  </si>
  <si>
    <t xml:space="preserve">/consultoria/consultoria-tecnica-online/</t>
  </si>
  <si>
    <t xml:space="preserve">S0633</t>
  </si>
  <si>
    <t xml:space="preserve">Consultoria técnica internacional</t>
  </si>
  <si>
    <t xml:space="preserve">/consultoria/consultoria-tecnica-internacional/</t>
  </si>
  <si>
    <t xml:space="preserve">S0634</t>
  </si>
  <si>
    <t xml:space="preserve">Consultoria por videochamada</t>
  </si>
  <si>
    <t xml:space="preserve">/consultoria/consultoria-tecnica-online/#consultoria-por-videochamada</t>
  </si>
  <si>
    <t xml:space="preserve">S0635</t>
  </si>
  <si>
    <t xml:space="preserve">Segunda opinião técnica sobre obra em andamento</t>
  </si>
  <si>
    <t xml:space="preserve">/consultoria/segunda-opiniao-tecnica-sobre-obra-em-andamento/</t>
  </si>
  <si>
    <t xml:space="preserve">S0636</t>
  </si>
  <si>
    <t xml:space="preserve">Visita técnica</t>
  </si>
  <si>
    <t xml:space="preserve">/consultoria/visita-tecnica/</t>
  </si>
  <si>
    <t xml:space="preserve">S0637</t>
  </si>
  <si>
    <t xml:space="preserve">Hora técnica de engenheiro</t>
  </si>
  <si>
    <t xml:space="preserve">/consultoria/visita-tecnica/#hora-tecnica-engenheiro</t>
  </si>
  <si>
    <t xml:space="preserve">S0638</t>
  </si>
  <si>
    <t xml:space="preserve">Mentoria técnica para proprietários que constroem</t>
  </si>
  <si>
    <t xml:space="preserve">/consultoria/mentoria-tecnica-para-proprietarios-que-constroem/</t>
  </si>
  <si>
    <t xml:space="preserve">S0639</t>
  </si>
  <si>
    <t xml:space="preserve">Visitante que já sabe a categoria do problema, mas não o serviço exato. Está diante de uma decisão cara, como comprar terreno, imóvel ou escolher construtora, e quer apoio técnico para não errar.</t>
  </si>
  <si>
    <t xml:space="preserve">S0640</t>
  </si>
  <si>
    <t xml:space="preserve">Consultoria para compra de imóvel</t>
  </si>
  <si>
    <t xml:space="preserve">/consultoria/consultoria-para-compra-imovel/</t>
  </si>
  <si>
    <t xml:space="preserve">S0641</t>
  </si>
  <si>
    <t xml:space="preserve">Consultoria para compra de terreno</t>
  </si>
  <si>
    <t xml:space="preserve">/consultoria/consultoria-para-compra-terreno/</t>
  </si>
  <si>
    <t xml:space="preserve">S0642</t>
  </si>
  <si>
    <t xml:space="preserve">Consultoria para construção de casa</t>
  </si>
  <si>
    <t xml:space="preserve">/consultoria/consultoria-para-construcao-casa/</t>
  </si>
  <si>
    <t xml:space="preserve">S0643</t>
  </si>
  <si>
    <t xml:space="preserve">Consultoria para reforma</t>
  </si>
  <si>
    <t xml:space="preserve">/consultoria/consultoria-para-reforma/</t>
  </si>
  <si>
    <t xml:space="preserve">S0644</t>
  </si>
  <si>
    <t xml:space="preserve">Consultoria para escolha de sistema construtivo</t>
  </si>
  <si>
    <t xml:space="preserve">/consultoria/consultoria-para-escolha-sistema-construtivo/</t>
  </si>
  <si>
    <t xml:space="preserve">S0645</t>
  </si>
  <si>
    <t xml:space="preserve">Consultoria para escolha de materiais</t>
  </si>
  <si>
    <t xml:space="preserve">/consultoria/consultoria-para-escolha-materiais/</t>
  </si>
  <si>
    <t xml:space="preserve">S0646</t>
  </si>
  <si>
    <t xml:space="preserve">Consultoria para escolha de construtora</t>
  </si>
  <si>
    <t xml:space="preserve">/consultoria/consultoria-para-escolha-construtora/</t>
  </si>
  <si>
    <t xml:space="preserve">S0647</t>
  </si>
  <si>
    <t xml:space="preserve">Consultoria para escolha de empreiteiro</t>
  </si>
  <si>
    <t xml:space="preserve">/consultoria/consultoria-para-escolha-empreiteiro/</t>
  </si>
  <si>
    <t xml:space="preserve">S0648</t>
  </si>
  <si>
    <t xml:space="preserve">Revisão técnica de proposta de construtora</t>
  </si>
  <si>
    <t xml:space="preserve">/consultoria/revisao-tecnica-proposta-construtora/</t>
  </si>
  <si>
    <t xml:space="preserve">S0649</t>
  </si>
  <si>
    <t xml:space="preserve">Consultoria para compra de imóvel na planta</t>
  </si>
  <si>
    <t xml:space="preserve">/consultoria/consultoria-para-compra-imovel-na-planta/</t>
  </si>
  <si>
    <t xml:space="preserve">S0650</t>
  </si>
  <si>
    <t xml:space="preserve">Visita técnica para corretores de imóveis</t>
  </si>
  <si>
    <t xml:space="preserve">/consultoria/visita-tecnica-para-corretores-imoveis/</t>
  </si>
  <si>
    <t xml:space="preserve">S0651</t>
  </si>
  <si>
    <t xml:space="preserve">Visitante que já sabe a categoria do problema, mas não o serviço exato. Enfrenta um problema técnico específico ou quer aplicar uma norma corretamente.</t>
  </si>
  <si>
    <t xml:space="preserve">S0652</t>
  </si>
  <si>
    <t xml:space="preserve">Consultoria em patologias construtivas</t>
  </si>
  <si>
    <t xml:space="preserve">/consultoria/consultoria-em-patologias-construtivas/</t>
  </si>
  <si>
    <t xml:space="preserve">S0653</t>
  </si>
  <si>
    <t xml:space="preserve">Consultoria em impermeabilização</t>
  </si>
  <si>
    <t xml:space="preserve">/consultoria/consultoria-em-impermeabilizacao/</t>
  </si>
  <si>
    <t xml:space="preserve">S0654</t>
  </si>
  <si>
    <t xml:space="preserve">Consultoria em construção próxima ao mar</t>
  </si>
  <si>
    <t xml:space="preserve">Enfrenta um problema técnico específico ou quer aplicar uma norma corretamente. Carrega preocupação com maresia, umidade e o calendário da temporada.</t>
  </si>
  <si>
    <t xml:space="preserve">/consultoria/consultoria-em-construcao-proxima-ao-mar/</t>
  </si>
  <si>
    <t xml:space="preserve">S0655</t>
  </si>
  <si>
    <t xml:space="preserve">Consultoria em proteção contra maresia</t>
  </si>
  <si>
    <t xml:space="preserve">/consultoria/consultoria-em-protecao-contra-maresia/</t>
  </si>
  <si>
    <t xml:space="preserve">S0656</t>
  </si>
  <si>
    <t xml:space="preserve">Consultoria em eficiência energética</t>
  </si>
  <si>
    <t xml:space="preserve">/consultoria/consultoria-em-eficiencia-energetica/</t>
  </si>
  <si>
    <t xml:space="preserve">S0657</t>
  </si>
  <si>
    <t xml:space="preserve">Consultoria em sustentabilidade</t>
  </si>
  <si>
    <t xml:space="preserve">/consultoria/consultoria-em-sustentabilidade/</t>
  </si>
  <si>
    <t xml:space="preserve">S0658</t>
  </si>
  <si>
    <t xml:space="preserve">Consultoria em construção sustentável</t>
  </si>
  <si>
    <t xml:space="preserve">/consultoria/consultoria-em-sustentabilidade/#consultoria-em-construcao-sustentavel</t>
  </si>
  <si>
    <t xml:space="preserve">S0659</t>
  </si>
  <si>
    <t xml:space="preserve">Consultoria em normas técnicas</t>
  </si>
  <si>
    <t xml:space="preserve">/consultoria/consultoria-em-normas-tecnicas/</t>
  </si>
  <si>
    <t xml:space="preserve">S0660</t>
  </si>
  <si>
    <t xml:space="preserve">Consultoria em NBR 16280</t>
  </si>
  <si>
    <t xml:space="preserve">/consultoria/consultoria-em-nbr-16280/</t>
  </si>
  <si>
    <t xml:space="preserve">S0661</t>
  </si>
  <si>
    <t xml:space="preserve">Consultoria em NBR 15575</t>
  </si>
  <si>
    <t xml:space="preserve">/consultoria/consultoria-em-nbr-15575/</t>
  </si>
  <si>
    <t xml:space="preserve">S0662</t>
  </si>
  <si>
    <t xml:space="preserve">Visitante que já sabe a categoria do problema, mas não o serviço exato. Profissional de um segmento que precisa de um parceiro técnico recorrente, não de um serviço pontual.</t>
  </si>
  <si>
    <t xml:space="preserve">S0663</t>
  </si>
  <si>
    <t xml:space="preserve">Consultoria para incorporadores</t>
  </si>
  <si>
    <t xml:space="preserve">/consultoria/consultoria-para-incorporadores/</t>
  </si>
  <si>
    <t xml:space="preserve">S0664</t>
  </si>
  <si>
    <t xml:space="preserve">Consultoria para investidores imobiliários</t>
  </si>
  <si>
    <t xml:space="preserve">/consultoria/consultoria-para-investidores-imobiliarios/</t>
  </si>
  <si>
    <t xml:space="preserve">S0665</t>
  </si>
  <si>
    <t xml:space="preserve">Consultoria para síndicos</t>
  </si>
  <si>
    <t xml:space="preserve">Profissional de um segmento que precisa de um parceiro técnico recorrente, não de um serviço pontual. Envolve decisão coletiva e regras internas do condomínio.</t>
  </si>
  <si>
    <t xml:space="preserve">/consultoria/consultoria-para-sindicos/</t>
  </si>
  <si>
    <t xml:space="preserve">S0666</t>
  </si>
  <si>
    <t xml:space="preserve">Consultoria para administradoras de condomínio</t>
  </si>
  <si>
    <t xml:space="preserve">/consultoria/consultoria-para-administradoras-condominio/</t>
  </si>
  <si>
    <t xml:space="preserve">S0667</t>
  </si>
  <si>
    <t xml:space="preserve">Consultoria para arquitetos</t>
  </si>
  <si>
    <t xml:space="preserve">/consultoria/consultoria-para-arquitetos/</t>
  </si>
  <si>
    <t xml:space="preserve">S0668</t>
  </si>
  <si>
    <t xml:space="preserve">Assessoria técnica para incorporadores</t>
  </si>
  <si>
    <t xml:space="preserve">/consultoria/consultoria-para-incorporadores/#assessoria-tecnica-para-incorporadores</t>
  </si>
  <si>
    <t xml:space="preserve">S0669</t>
  </si>
  <si>
    <t xml:space="preserve">Gestão técnica de empreendimentos</t>
  </si>
  <si>
    <t xml:space="preserve">/consultoria/gestao-tecnica-empreendimentos/</t>
  </si>
  <si>
    <t xml:space="preserve">S0670</t>
  </si>
  <si>
    <t xml:space="preserve">Visitante que já sabe a categoria do problema, mas não o serviço exato. Vai investir em terreno ou empreendimento e precisa saber se o negócio para em pé técnica e financeiramente antes de assinar.</t>
  </si>
  <si>
    <t xml:space="preserve">S0671</t>
  </si>
  <si>
    <t xml:space="preserve">Estudo de viabilidade técnica</t>
  </si>
  <si>
    <t xml:space="preserve">/consultoria/estudo-viabilidade-tecnica/</t>
  </si>
  <si>
    <t xml:space="preserve">S0672</t>
  </si>
  <si>
    <t xml:space="preserve">Estudo de viabilidade econômica</t>
  </si>
  <si>
    <t xml:space="preserve">/consultoria/estudo-viabilidade-economica/</t>
  </si>
  <si>
    <t xml:space="preserve">S0673</t>
  </si>
  <si>
    <t xml:space="preserve">Estudo de massa</t>
  </si>
  <si>
    <t xml:space="preserve">/consultoria/estudo-massa/</t>
  </si>
  <si>
    <t xml:space="preserve">S0674</t>
  </si>
  <si>
    <t xml:space="preserve">Estudo de aproveitamento de terreno</t>
  </si>
  <si>
    <t xml:space="preserve">/consultoria/estudo-aproveitamento-terreno/</t>
  </si>
  <si>
    <t xml:space="preserve">S0675</t>
  </si>
  <si>
    <t xml:space="preserve">Análise de potencial construtivo</t>
  </si>
  <si>
    <t xml:space="preserve">/consultoria/analise-potencial-construtivo/</t>
  </si>
  <si>
    <t xml:space="preserve">S0676</t>
  </si>
  <si>
    <t xml:space="preserve">Consulta de viabilidade junto à prefeitura</t>
  </si>
  <si>
    <t xml:space="preserve">/consultoria/consulta-viabilidade-junto-a-prefeitura/</t>
  </si>
  <si>
    <t xml:space="preserve">S0677</t>
  </si>
  <si>
    <t xml:space="preserve">Due diligence técnica de imóvel</t>
  </si>
  <si>
    <t xml:space="preserve">/consultoria/due-diligence-tecnica-imovel/</t>
  </si>
  <si>
    <t xml:space="preserve">S0678</t>
  </si>
  <si>
    <t xml:space="preserve">Due diligence técnica de terreno</t>
  </si>
  <si>
    <t xml:space="preserve">/consultoria/due-diligence-tecnica-terreno/</t>
  </si>
  <si>
    <t xml:space="preserve">S0679</t>
  </si>
  <si>
    <t xml:space="preserve">Estudo de viabilidade de incorporação</t>
  </si>
  <si>
    <t xml:space="preserve">/consultoria/estudo-viabilidade-incorporacao/</t>
  </si>
  <si>
    <t xml:space="preserve">S0680</t>
  </si>
  <si>
    <t xml:space="preserve">Orçamento de empreendimento</t>
  </si>
  <si>
    <t xml:space="preserve">/consultoria/orcamento-empreendimento/</t>
  </si>
  <si>
    <t xml:space="preserve">S0681</t>
  </si>
  <si>
    <t xml:space="preserve">Visitante que já sabe a categoria do problema, mas não o serviço exato. Quer reduzir custo de operação do imóvel ou agregar valor com certificação e eficiência.</t>
  </si>
  <si>
    <t xml:space="preserve">S0682</t>
  </si>
  <si>
    <t xml:space="preserve">Projeto de eficiência energética</t>
  </si>
  <si>
    <t xml:space="preserve">/consultoria/projeto-eficiencia-energetica/</t>
  </si>
  <si>
    <t xml:space="preserve">S0683</t>
  </si>
  <si>
    <t xml:space="preserve">Diagnóstico energético de edificação</t>
  </si>
  <si>
    <t xml:space="preserve">/consultoria/diagnostico-energetico-edificacao/</t>
  </si>
  <si>
    <t xml:space="preserve">S0684</t>
  </si>
  <si>
    <t xml:space="preserve">Apoio a certificação de edificação sustentável</t>
  </si>
  <si>
    <t xml:space="preserve">/consultoria/apoio-a-certificacao-edificacao-sustentavel/</t>
  </si>
  <si>
    <t xml:space="preserve">S0685</t>
  </si>
  <si>
    <t xml:space="preserve">Visitante que já sabe a categoria do problema, mas não o serviço exato. Tem um imóvel ou ampliação irregular que trava venda, financiamento, inventário ou seguro. Quer resolver com o mínimo de burocracia possível.</t>
  </si>
  <si>
    <t xml:space="preserve">S0686</t>
  </si>
  <si>
    <t xml:space="preserve">Regularização de obra</t>
  </si>
  <si>
    <t xml:space="preserve">/regularizacao/regularizacao-obra/</t>
  </si>
  <si>
    <t xml:space="preserve">S0687</t>
  </si>
  <si>
    <t xml:space="preserve">Regularização de construção sem projeto</t>
  </si>
  <si>
    <t xml:space="preserve">/regularizacao/regularizacao-construcao-sem-projeto/</t>
  </si>
  <si>
    <t xml:space="preserve">S0688</t>
  </si>
  <si>
    <t xml:space="preserve">Regularização de ampliação</t>
  </si>
  <si>
    <t xml:space="preserve">/regularizacao/regularizacao-ampliacao/</t>
  </si>
  <si>
    <t xml:space="preserve">S0689</t>
  </si>
  <si>
    <t xml:space="preserve">Levantamento cadastral de edificação</t>
  </si>
  <si>
    <t xml:space="preserve">/regularizacao/levantamento-cadastral-edificacao/</t>
  </si>
  <si>
    <t xml:space="preserve">S0690</t>
  </si>
  <si>
    <t xml:space="preserve">Levantamento as built</t>
  </si>
  <si>
    <t xml:space="preserve">/regularizacao/levantamento-as-built/</t>
  </si>
  <si>
    <t xml:space="preserve">S0691</t>
  </si>
  <si>
    <t xml:space="preserve">Visitante que já sabe a categoria do problema, mas não o serviço exato. Precisa da autorização para começar ou do documento final para ocupar e averbar. Qualquer atraso trava a obra ou a mudança.</t>
  </si>
  <si>
    <t xml:space="preserve">S0692</t>
  </si>
  <si>
    <t xml:space="preserve">Aprovação de projeto na prefeitura</t>
  </si>
  <si>
    <t xml:space="preserve">/regularizacao/aprovacao-projeto-na-prefeitura/</t>
  </si>
  <si>
    <t xml:space="preserve">S0693</t>
  </si>
  <si>
    <t xml:space="preserve">Obtenção de alvará de construção</t>
  </si>
  <si>
    <t xml:space="preserve">/regularizacao/obtencao-alvara-construcao/</t>
  </si>
  <si>
    <t xml:space="preserve">S0694</t>
  </si>
  <si>
    <t xml:space="preserve">Obtenção de alvará de reforma</t>
  </si>
  <si>
    <t xml:space="preserve">/regularizacao/obtencao-alvara-reforma/</t>
  </si>
  <si>
    <t xml:space="preserve">S0695</t>
  </si>
  <si>
    <t xml:space="preserve">Obtenção de alvará de demolição</t>
  </si>
  <si>
    <t xml:space="preserve">/regularizacao/obtencao-alvara-demolicao/</t>
  </si>
  <si>
    <t xml:space="preserve">S0696</t>
  </si>
  <si>
    <t xml:space="preserve">Obtenção de habite-se</t>
  </si>
  <si>
    <t xml:space="preserve">/regularizacao/obtencao-habite-se/</t>
  </si>
  <si>
    <t xml:space="preserve">S0697</t>
  </si>
  <si>
    <t xml:space="preserve">Aprovação de projeto em condomínio fechado</t>
  </si>
  <si>
    <t xml:space="preserve">Precisa da autorização para começar ou do documento final para ocupar e averbar. Qualquer atraso trava a obra ou a mudança. Envolve decisão coletiva e regras internas do condomínio.</t>
  </si>
  <si>
    <t xml:space="preserve">/regularizacao/aprovacao-projeto-em-condominio-fechado/</t>
  </si>
  <si>
    <t xml:space="preserve">S0698</t>
  </si>
  <si>
    <t xml:space="preserve">Visitante que já sabe a categoria do problema, mas não o serviço exato. Descobriu, geralmente no fim da obra, que precisa averbar a construção e regularizar a parte previdenciária. Quer evitar custos surpresa na Receita e no cartório.</t>
  </si>
  <si>
    <t xml:space="preserve">S0699</t>
  </si>
  <si>
    <t xml:space="preserve">Averbação de construção</t>
  </si>
  <si>
    <t xml:space="preserve">/regularizacao/averbacao-construcao/</t>
  </si>
  <si>
    <t xml:space="preserve">S0700</t>
  </si>
  <si>
    <t xml:space="preserve">Matrícula de obra no CNO</t>
  </si>
  <si>
    <t xml:space="preserve">/regularizacao/matricula-obra-no-cno/</t>
  </si>
  <si>
    <t xml:space="preserve">S0701</t>
  </si>
  <si>
    <t xml:space="preserve">Regularização previdenciária de obra</t>
  </si>
  <si>
    <t xml:space="preserve">/regularizacao/regularizacao-previdenciaria-obra/</t>
  </si>
  <si>
    <t xml:space="preserve">S0702</t>
  </si>
  <si>
    <t xml:space="preserve">Emissão de CND de obra</t>
  </si>
  <si>
    <t xml:space="preserve">/regularizacao/emissao-cnd-obra/</t>
  </si>
  <si>
    <t xml:space="preserve">S0703</t>
  </si>
  <si>
    <t xml:space="preserve">Visitante que já sabe a categoria do problema, mas não o serviço exato. Precisa do atestado para funcionar, renovar alvará ou abrir um estabelecimento de saúde. Uma reprovação significa portas fechadas.</t>
  </si>
  <si>
    <t xml:space="preserve">S0704</t>
  </si>
  <si>
    <t xml:space="preserve">Aprovação no Corpo de Bombeiros</t>
  </si>
  <si>
    <t xml:space="preserve">/regularizacao/aprovacao-no-corpo-bombeiros/</t>
  </si>
  <si>
    <t xml:space="preserve">S0705</t>
  </si>
  <si>
    <t xml:space="preserve">Obtenção de atestado de vistoria do Corpo de Bombeiros</t>
  </si>
  <si>
    <t xml:space="preserve">/regularizacao/obtencao-atestado-vistoria-corpo-bombeiros/</t>
  </si>
  <si>
    <t xml:space="preserve">S0706</t>
  </si>
  <si>
    <t xml:space="preserve">Regularização junto à Vigilância Sanitária</t>
  </si>
  <si>
    <t xml:space="preserve">/regularizacao/regularizacao-junto-a-vigilancia-sanitaria/</t>
  </si>
  <si>
    <t xml:space="preserve">S0707</t>
  </si>
  <si>
    <t xml:space="preserve">Adequação de clínica às normas da Anvisa</t>
  </si>
  <si>
    <t xml:space="preserve">Precisa do atestado para funcionar, renovar alvará ou abrir um estabelecimento de saúde. Uma reprovação significa portas fechadas. Exigências sanitárias e data de inauguração pesam na decisão.</t>
  </si>
  <si>
    <t xml:space="preserve">/regularizacao/adequacao-clinica-as-normas-anvisa/</t>
  </si>
  <si>
    <t xml:space="preserve">S0708</t>
  </si>
  <si>
    <t xml:space="preserve">Visitante que já sabe a categoria do problema, mas não o serviço exato. Tem terreno com restrição ou precisa de licença ambiental. Em Florianópolis, marinha, APP e restinga são dores frequentes e pouco compreendidas.</t>
  </si>
  <si>
    <t xml:space="preserve">S0709</t>
  </si>
  <si>
    <t xml:space="preserve">Licenciamento ambiental de obra</t>
  </si>
  <si>
    <t xml:space="preserve">/regularizacao/licenciamento-ambiental-obra/</t>
  </si>
  <si>
    <t xml:space="preserve">S0710</t>
  </si>
  <si>
    <t xml:space="preserve">Consulta sobre terreno de marinha</t>
  </si>
  <si>
    <t xml:space="preserve">Tem terreno com restrição ou precisa de licença ambiental. Em Florianópolis, marinha, APP e restinga são dores frequentes e pouco compreendidas. Carrega preocupação com maresia, umidade e o calendário da temporada.</t>
  </si>
  <si>
    <t xml:space="preserve">/regularizacao/consulta-sobre-terreno-marinha/</t>
  </si>
  <si>
    <t xml:space="preserve">S0711</t>
  </si>
  <si>
    <t xml:space="preserve">Desmembramento de terreno</t>
  </si>
  <si>
    <t xml:space="preserve">/regularizacao/desmembramento-terreno/</t>
  </si>
  <si>
    <t xml:space="preserve">S0712</t>
  </si>
  <si>
    <t xml:space="preserve">Unificação de lotes</t>
  </si>
  <si>
    <t xml:space="preserve">/regularizacao/unificacao-lotes/</t>
  </si>
  <si>
    <t xml:space="preserve">S0713</t>
  </si>
  <si>
    <t xml:space="preserve">Levantamento planialtimétrico</t>
  </si>
  <si>
    <t xml:space="preserve">/regularizacao/levantamento-planialtimetrico/</t>
  </si>
  <si>
    <t xml:space="preserve">S0714</t>
  </si>
  <si>
    <t xml:space="preserve">Visitante que já sabe a categoria do problema, mas não o serviço exato. Recebeu um diagnóstico de problema estrutural e precisa corrigir com segurança. Quer saber o que fazer, quanto custa e se o imóvel continua habitável.</t>
  </si>
  <si>
    <t xml:space="preserve">S0715</t>
  </si>
  <si>
    <t xml:space="preserve">Recuperação estrutural</t>
  </si>
  <si>
    <t xml:space="preserve">/recuperacao-e-manutencao/recuperacao-estrutural/</t>
  </si>
  <si>
    <t xml:space="preserve">S0716</t>
  </si>
  <si>
    <t xml:space="preserve">Reforço estrutural</t>
  </si>
  <si>
    <t xml:space="preserve">/recuperacao-e-manutencao/reforco-estrutural/</t>
  </si>
  <si>
    <t xml:space="preserve">S0717</t>
  </si>
  <si>
    <t xml:space="preserve">Reforço de fundação</t>
  </si>
  <si>
    <t xml:space="preserve">/recuperacao-e-manutencao/reforco-fundacao/</t>
  </si>
  <si>
    <t xml:space="preserve">S0718</t>
  </si>
  <si>
    <t xml:space="preserve">Reforço de laje</t>
  </si>
  <si>
    <t xml:space="preserve">/recuperacao-e-manutencao/reforco-laje/</t>
  </si>
  <si>
    <t xml:space="preserve">S0719</t>
  </si>
  <si>
    <t xml:space="preserve">Reforço de viga</t>
  </si>
  <si>
    <t xml:space="preserve">/recuperacao-e-manutencao/reforco-viga/</t>
  </si>
  <si>
    <t xml:space="preserve">S0720</t>
  </si>
  <si>
    <t xml:space="preserve">Reforço de pilar</t>
  </si>
  <si>
    <t xml:space="preserve">/recuperacao-e-manutencao/reforco-pilar/</t>
  </si>
  <si>
    <t xml:space="preserve">S0721</t>
  </si>
  <si>
    <t xml:space="preserve">Reforço com fibra de carbono</t>
  </si>
  <si>
    <t xml:space="preserve">/recuperacao-e-manutencao/reforco-com-fibra-carbono/</t>
  </si>
  <si>
    <t xml:space="preserve">S0722</t>
  </si>
  <si>
    <t xml:space="preserve">Reforço com estrutura metálica</t>
  </si>
  <si>
    <t xml:space="preserve">/recuperacao-e-manutencao/reforco-com-estrutura-metalica/</t>
  </si>
  <si>
    <t xml:space="preserve">S0723</t>
  </si>
  <si>
    <t xml:space="preserve">Encamisamento de pilares</t>
  </si>
  <si>
    <t xml:space="preserve">/recuperacao-e-manutencao/encamisamento-pilares/</t>
  </si>
  <si>
    <t xml:space="preserve">S0724</t>
  </si>
  <si>
    <t xml:space="preserve">Tratamento de corrosão de armadura</t>
  </si>
  <si>
    <t xml:space="preserve">/recuperacao-e-manutencao/tratamento-corrosao-armadura/</t>
  </si>
  <si>
    <t xml:space="preserve">S0725</t>
  </si>
  <si>
    <t xml:space="preserve">Recuperação de concreto</t>
  </si>
  <si>
    <t xml:space="preserve">/recuperacao-e-manutencao/recuperacao-concreto/</t>
  </si>
  <si>
    <t xml:space="preserve">S0726</t>
  </si>
  <si>
    <t xml:space="preserve">Recuperação de marquise</t>
  </si>
  <si>
    <t xml:space="preserve">Recebeu um diagnóstico de problema estrutural e precisa corrigir com segurança. Quer saber o que fazer, quanto custa e se o imóvel continua habitável. Carrega preocupação com maresia, umidade e o calendário da temporada.</t>
  </si>
  <si>
    <t xml:space="preserve">/recuperacao-e-manutencao/recuperacao-marquise/</t>
  </si>
  <si>
    <t xml:space="preserve">S0727</t>
  </si>
  <si>
    <t xml:space="preserve">Recuperação de sacada</t>
  </si>
  <si>
    <t xml:space="preserve">/recuperacao-e-manutencao/recuperacao-sacada/</t>
  </si>
  <si>
    <t xml:space="preserve">S0728</t>
  </si>
  <si>
    <t xml:space="preserve">Recuperação de piscina</t>
  </si>
  <si>
    <t xml:space="preserve">/recuperacao-e-manutencao/recuperacao-piscina/</t>
  </si>
  <si>
    <t xml:space="preserve">S0729</t>
  </si>
  <si>
    <t xml:space="preserve">Tratamento de fissuras</t>
  </si>
  <si>
    <t xml:space="preserve">/recuperacao-e-manutencao/tratamento-fissuras/</t>
  </si>
  <si>
    <t xml:space="preserve">S0730</t>
  </si>
  <si>
    <t xml:space="preserve">Tratamento de trincas</t>
  </si>
  <si>
    <t xml:space="preserve">/recuperacao-e-manutencao/tratamento-fissuras/#tratamento-trincas</t>
  </si>
  <si>
    <t xml:space="preserve">S0731</t>
  </si>
  <si>
    <t xml:space="preserve">Injeção de resina em fissuras</t>
  </si>
  <si>
    <t xml:space="preserve">/recuperacao-e-manutencao/injecao-resina-em-fissuras/</t>
  </si>
  <si>
    <t xml:space="preserve">S0732</t>
  </si>
  <si>
    <t xml:space="preserve">Estabilização de recalque</t>
  </si>
  <si>
    <t xml:space="preserve">/recuperacao-e-manutencao/estabilizacao-recalque/</t>
  </si>
  <si>
    <t xml:space="preserve">S0733</t>
  </si>
  <si>
    <t xml:space="preserve">Execução de estacas de reforço</t>
  </si>
  <si>
    <t xml:space="preserve">/recuperacao-e-manutencao/execucao-estacas-reforco/</t>
  </si>
  <si>
    <t xml:space="preserve">S0734</t>
  </si>
  <si>
    <t xml:space="preserve">Escoramento emergencial</t>
  </si>
  <si>
    <t xml:space="preserve">/recuperacao-e-manutencao/escoramento-emergencial/</t>
  </si>
  <si>
    <t xml:space="preserve">S0735</t>
  </si>
  <si>
    <t xml:space="preserve">Visitante que já sabe a categoria do problema, mas não o serviço exato. Está cansado de infiltração que volta e quer resolver de vez. Desconfia de soluções paliativas e quer entender o sistema certo para o seu caso.</t>
  </si>
  <si>
    <t xml:space="preserve">S0736</t>
  </si>
  <si>
    <t xml:space="preserve">Impermeabilização</t>
  </si>
  <si>
    <t xml:space="preserve">/recuperacao-e-manutencao/impermeabilizacao/</t>
  </si>
  <si>
    <t xml:space="preserve">S0737</t>
  </si>
  <si>
    <t xml:space="preserve">Impermeabilização de laje</t>
  </si>
  <si>
    <t xml:space="preserve">/recuperacao-e-manutencao/impermeabilizacao-laje/</t>
  </si>
  <si>
    <t xml:space="preserve">S0738</t>
  </si>
  <si>
    <t xml:space="preserve">Impermeabilização de cobertura</t>
  </si>
  <si>
    <t xml:space="preserve">/recuperacao-e-manutencao/impermeabilizacao-cobertura/</t>
  </si>
  <si>
    <t xml:space="preserve">S0739</t>
  </si>
  <si>
    <t xml:space="preserve">Impermeabilização de terraço</t>
  </si>
  <si>
    <t xml:space="preserve">/recuperacao-e-manutencao/impermeabilizacao-terraco/</t>
  </si>
  <si>
    <t xml:space="preserve">S0740</t>
  </si>
  <si>
    <t xml:space="preserve">Impermeabilização de banheiro</t>
  </si>
  <si>
    <t xml:space="preserve">/recuperacao-e-manutencao/impermeabilizacao-banheiro/</t>
  </si>
  <si>
    <t xml:space="preserve">S0741</t>
  </si>
  <si>
    <t xml:space="preserve">Impermeabilização de piscina</t>
  </si>
  <si>
    <t xml:space="preserve">/recuperacao-e-manutencao/impermeabilizacao-piscina/</t>
  </si>
  <si>
    <t xml:space="preserve">S0742</t>
  </si>
  <si>
    <t xml:space="preserve">Impermeabilização de reservatório</t>
  </si>
  <si>
    <t xml:space="preserve">/recuperacao-e-manutencao/impermeabilizacao-reservatorio/</t>
  </si>
  <si>
    <t xml:space="preserve">S0743</t>
  </si>
  <si>
    <t xml:space="preserve">Impermeabilização de fundação</t>
  </si>
  <si>
    <t xml:space="preserve">/recuperacao-e-manutencao/impermeabilizacao-fundacao/</t>
  </si>
  <si>
    <t xml:space="preserve">S0744</t>
  </si>
  <si>
    <t xml:space="preserve">Impermeabilização de subsolo</t>
  </si>
  <si>
    <t xml:space="preserve">/recuperacao-e-manutencao/impermeabilizacao-subsolo/</t>
  </si>
  <si>
    <t xml:space="preserve">S0745</t>
  </si>
  <si>
    <t xml:space="preserve">Impermeabilização de jardineira</t>
  </si>
  <si>
    <t xml:space="preserve">/recuperacao-e-manutencao/impermeabilizacao-jardineira/</t>
  </si>
  <si>
    <t xml:space="preserve">S0746</t>
  </si>
  <si>
    <t xml:space="preserve">Impermeabilização de fachada</t>
  </si>
  <si>
    <t xml:space="preserve">/recuperacao-e-manutencao/impermeabilizacao-fachada/</t>
  </si>
  <si>
    <t xml:space="preserve">S0747</t>
  </si>
  <si>
    <t xml:space="preserve">Tratamento de infiltração</t>
  </si>
  <si>
    <t xml:space="preserve">/recuperacao-e-manutencao/tratamento-infiltracao/</t>
  </si>
  <si>
    <t xml:space="preserve">S0748</t>
  </si>
  <si>
    <t xml:space="preserve">Tratamento de umidade ascendente</t>
  </si>
  <si>
    <t xml:space="preserve">/recuperacao-e-manutencao/tratamento-umidade-ascendente/</t>
  </si>
  <si>
    <t xml:space="preserve">S0749</t>
  </si>
  <si>
    <t xml:space="preserve">Tratamento de mofo</t>
  </si>
  <si>
    <t xml:space="preserve">/recuperacao-e-manutencao/tratamento-mofo/</t>
  </si>
  <si>
    <t xml:space="preserve">S0750</t>
  </si>
  <si>
    <t xml:space="preserve">Correção de vazamento</t>
  </si>
  <si>
    <t xml:space="preserve">/recuperacao-e-manutencao/correcao-vazamento/</t>
  </si>
  <si>
    <t xml:space="preserve">S0751</t>
  </si>
  <si>
    <t xml:space="preserve">Visitante que já sabe a categoria do problema, mas não o serviço exato. Condomínio com fachada deteriorada, risco de desplacamento ou obra aprovada em assembleia. Precisa de solução técnica duradoura e que aguente a maresia.</t>
  </si>
  <si>
    <t xml:space="preserve">S0752</t>
  </si>
  <si>
    <t xml:space="preserve">Reforma de fachada</t>
  </si>
  <si>
    <t xml:space="preserve">/recuperacao-e-manutencao/reforma-fachada/</t>
  </si>
  <si>
    <t xml:space="preserve">S0753</t>
  </si>
  <si>
    <t xml:space="preserve">Reforma de fachada predial</t>
  </si>
  <si>
    <t xml:space="preserve">/recuperacao-e-manutencao/reforma-fachada/#reforma-fachada-predial</t>
  </si>
  <si>
    <t xml:space="preserve">S0754</t>
  </si>
  <si>
    <t xml:space="preserve">Pintura de fachada</t>
  </si>
  <si>
    <t xml:space="preserve">/recuperacao-e-manutencao/pintura-fachada/</t>
  </si>
  <si>
    <t xml:space="preserve">S0755</t>
  </si>
  <si>
    <t xml:space="preserve">Restauração de fachada</t>
  </si>
  <si>
    <t xml:space="preserve">/recuperacao-e-manutencao/restauracao-fachada/</t>
  </si>
  <si>
    <t xml:space="preserve">S0756</t>
  </si>
  <si>
    <t xml:space="preserve">Recuperação de revestimento de fachada</t>
  </si>
  <si>
    <t xml:space="preserve">/recuperacao-e-manutencao/recuperacao-revestimento-fachada/</t>
  </si>
  <si>
    <t xml:space="preserve">S0757</t>
  </si>
  <si>
    <t xml:space="preserve">Troca de revestimento cerâmico de fachada</t>
  </si>
  <si>
    <t xml:space="preserve">/recuperacao-e-manutencao/troca-revestimento-ceramico-fachada/</t>
  </si>
  <si>
    <t xml:space="preserve">S0758</t>
  </si>
  <si>
    <t xml:space="preserve">Tratamento de juntas de dilatação</t>
  </si>
  <si>
    <t xml:space="preserve">/recuperacao-e-manutencao/tratamento-juntas-dilatacao/</t>
  </si>
  <si>
    <t xml:space="preserve">S0759</t>
  </si>
  <si>
    <t xml:space="preserve">Rejuntamento de fachada</t>
  </si>
  <si>
    <t xml:space="preserve">/recuperacao-e-manutencao/rejuntamento-fachada/</t>
  </si>
  <si>
    <t xml:space="preserve">S0760</t>
  </si>
  <si>
    <t xml:space="preserve">Limpeza de fachada</t>
  </si>
  <si>
    <t xml:space="preserve">/recuperacao-e-manutencao/limpeza-fachada/</t>
  </si>
  <si>
    <t xml:space="preserve">S0761</t>
  </si>
  <si>
    <t xml:space="preserve">Hidrofugação de fachada</t>
  </si>
  <si>
    <t xml:space="preserve">/recuperacao-e-manutencao/hidrofugacao-fachada/</t>
  </si>
  <si>
    <t xml:space="preserve">S0762</t>
  </si>
  <si>
    <t xml:space="preserve">Instalação de fachada ventilada</t>
  </si>
  <si>
    <t xml:space="preserve">/recuperacao-e-manutencao/instalacao-fachada-ventilada/</t>
  </si>
  <si>
    <t xml:space="preserve">S0763</t>
  </si>
  <si>
    <t xml:space="preserve">Instalação de pele de vidro</t>
  </si>
  <si>
    <t xml:space="preserve">/recuperacao-e-manutencao/instalacao-pele-vidro/</t>
  </si>
  <si>
    <t xml:space="preserve">S0764</t>
  </si>
  <si>
    <t xml:space="preserve">Proteção de fachada contra maresia</t>
  </si>
  <si>
    <t xml:space="preserve">Condomínio com fachada deteriorada, risco de desplacamento ou obra aprovada em assembleia. Precisa de solução técnica duradoura e que aguente a maresia. Carrega preocupação com maresia, umidade e o calendário da temporada.</t>
  </si>
  <si>
    <t xml:space="preserve">/recuperacao-e-manutencao/protecao-fachada-contra-maresia/</t>
  </si>
  <si>
    <t xml:space="preserve">S0765</t>
  </si>
  <si>
    <t xml:space="preserve">Retrofit de fachada</t>
  </si>
  <si>
    <t xml:space="preserve">/recuperacao-e-manutencao/retrofit-fachada/</t>
  </si>
  <si>
    <t xml:space="preserve">S0766</t>
  </si>
  <si>
    <t xml:space="preserve">Revitalização de fachada</t>
  </si>
  <si>
    <t xml:space="preserve">/recuperacao-e-manutencao/revitalizacao-fachada/</t>
  </si>
  <si>
    <t xml:space="preserve">S0767</t>
  </si>
  <si>
    <t xml:space="preserve">Visitante que já sabe a categoria do problema, mas não o serviço exato. Quer que alguém cuide do imóvel de forma contínua para evitar problemas maiores. Proprietários de casas de praia e condomínios são os mais sensíveis.</t>
  </si>
  <si>
    <t xml:space="preserve">S0768</t>
  </si>
  <si>
    <t xml:space="preserve">Manutenção preventiva</t>
  </si>
  <si>
    <t xml:space="preserve">/recuperacao-e-manutencao/manutencao-preventiva/</t>
  </si>
  <si>
    <t xml:space="preserve">S0769</t>
  </si>
  <si>
    <t xml:space="preserve">Manutenção corretiva</t>
  </si>
  <si>
    <t xml:space="preserve">/recuperacao-e-manutencao/manutencao-corretiva/</t>
  </si>
  <si>
    <t xml:space="preserve">S0770</t>
  </si>
  <si>
    <t xml:space="preserve">Manutenção residencial de alto padrão</t>
  </si>
  <si>
    <t xml:space="preserve">Quer que alguém cuide do imóvel de forma contínua para evitar problemas maiores. Proprietários de casas de praia e condomínios são os mais sensíveis. Termo com sinal de exclusividade: filtra naturalmente o público e combina com o posicionamento premium.</t>
  </si>
  <si>
    <t xml:space="preserve">/recuperacao-e-manutencao/manutencao-residencial-alto-padrao/</t>
  </si>
  <si>
    <t xml:space="preserve">S0771</t>
  </si>
  <si>
    <t xml:space="preserve">Manutenção de casa de praia</t>
  </si>
  <si>
    <t xml:space="preserve">Quer que alguém cuide do imóvel de forma contínua para evitar problemas maiores. Proprietários de casas de praia e condomínios são os mais sensíveis. Carrega preocupação com maresia, umidade e o calendário da temporada.</t>
  </si>
  <si>
    <t xml:space="preserve">/recuperacao-e-manutencao/manutencao-casa-praia/</t>
  </si>
  <si>
    <t xml:space="preserve">S0772</t>
  </si>
  <si>
    <t xml:space="preserve">Manutenção de imóvel à distância</t>
  </si>
  <si>
    <t xml:space="preserve">Quer que alguém cuide do imóvel de forma contínua para evitar problemas maiores. Proprietários de casas de praia e condomínios são os mais sensíveis. Cliente fora da região: valoriza relatórios, fotos e comunicação remota.</t>
  </si>
  <si>
    <t xml:space="preserve">/recuperacao-e-manutencao/manutencao-imovel-a-distancia/</t>
  </si>
  <si>
    <t xml:space="preserve">S0773</t>
  </si>
  <si>
    <t xml:space="preserve">Manutenção de fachada</t>
  </si>
  <si>
    <t xml:space="preserve">/recuperacao-e-manutencao/manutencao-fachada/</t>
  </si>
  <si>
    <t xml:space="preserve">S0774</t>
  </si>
  <si>
    <t xml:space="preserve">Manutenção de telhado</t>
  </si>
  <si>
    <t xml:space="preserve">/recuperacao-e-manutencao/manutencao-telhado/</t>
  </si>
  <si>
    <t xml:space="preserve">S0775</t>
  </si>
  <si>
    <t xml:space="preserve">Manutenção de impermeabilização</t>
  </si>
  <si>
    <t xml:space="preserve">/recuperacao-e-manutencao/manutencao-impermeabilizacao/</t>
  </si>
  <si>
    <t xml:space="preserve">S0776</t>
  </si>
  <si>
    <t xml:space="preserve">Manutenção de instalações elétricas</t>
  </si>
  <si>
    <t xml:space="preserve">/recuperacao-e-manutencao/manutencao-instalacoes-eletricas/</t>
  </si>
  <si>
    <t xml:space="preserve">S0777</t>
  </si>
  <si>
    <t xml:space="preserve">Manutenção de instalações hidráulicas</t>
  </si>
  <si>
    <t xml:space="preserve">/recuperacao-e-manutencao/manutencao-instalacoes-hidraulicas/</t>
  </si>
  <si>
    <t xml:space="preserve">S0778</t>
  </si>
  <si>
    <t xml:space="preserve">Manutenção de piscina estrutural</t>
  </si>
  <si>
    <t xml:space="preserve">/recuperacao-e-manutencao/manutencao-piscina-estrutural/</t>
  </si>
  <si>
    <t xml:space="preserve">S0779</t>
  </si>
  <si>
    <t xml:space="preserve">Contrato anual de manutenção</t>
  </si>
  <si>
    <t xml:space="preserve">/recuperacao-e-manutencao/contrato-anual-manutencao/</t>
  </si>
  <si>
    <t xml:space="preserve">S0780</t>
  </si>
  <si>
    <t xml:space="preserve">Revisão pré-temporada de imóvel</t>
  </si>
  <si>
    <t xml:space="preserve">Quer que alguém cuide do imóvel de forma contínua para evitar problemas maiores. Proprietários de casas de praia e condomínios são os mais sensíveis. Precisa terminar fora da alta temporada.</t>
  </si>
  <si>
    <t xml:space="preserve">/recuperacao-e-manutencao/revisao-pre-temporada-imovel/</t>
  </si>
  <si>
    <t xml:space="preserve">S0781</t>
  </si>
  <si>
    <t xml:space="preserve">Revisão pós-temporada de imóvel</t>
  </si>
  <si>
    <t xml:space="preserve">/recuperacao-e-manutencao/revisao-pos-temporada-imovel/</t>
  </si>
  <si>
    <t xml:space="preserve">S0782</t>
  </si>
  <si>
    <t xml:space="preserve">Plano de proteção contra maresia</t>
  </si>
  <si>
    <t xml:space="preserve">/recuperacao-e-manutencao/plano-protecao-contra-maresia/</t>
  </si>
  <si>
    <t xml:space="preserve">S0783</t>
  </si>
  <si>
    <t xml:space="preserve">Visitante que já sabe a categoria do problema, mas não o serviço exato. Tem instalação antiga, disjuntor que desarma, necessidade de mais carga ou equipamento novo. Quer segurança e evitar risco de incêndio.</t>
  </si>
  <si>
    <t xml:space="preserve">S0784</t>
  </si>
  <si>
    <t xml:space="preserve">Instalação elétrica</t>
  </si>
  <si>
    <t xml:space="preserve">/instalacoes/instalacao-eletrica/</t>
  </si>
  <si>
    <t xml:space="preserve">S0785</t>
  </si>
  <si>
    <t xml:space="preserve">Reforma de instalação elétrica</t>
  </si>
  <si>
    <t xml:space="preserve">/instalacoes/reforma-instalacao-eletrica/</t>
  </si>
  <si>
    <t xml:space="preserve">S0786</t>
  </si>
  <si>
    <t xml:space="preserve">Troca de fiação</t>
  </si>
  <si>
    <t xml:space="preserve">/instalacoes/troca-fiacao/</t>
  </si>
  <si>
    <t xml:space="preserve">S0787</t>
  </si>
  <si>
    <t xml:space="preserve">Adequação de quadro elétrico</t>
  </si>
  <si>
    <t xml:space="preserve">/instalacoes/adequacao-quadro-eletrico/</t>
  </si>
  <si>
    <t xml:space="preserve">S0788</t>
  </si>
  <si>
    <t xml:space="preserve">Aumento de carga elétrica</t>
  </si>
  <si>
    <t xml:space="preserve">/instalacoes/aumento-carga-eletrica/</t>
  </si>
  <si>
    <t xml:space="preserve">S0789</t>
  </si>
  <si>
    <t xml:space="preserve">Instalação de gerador</t>
  </si>
  <si>
    <t xml:space="preserve">/instalacoes/instalacao-gerador/</t>
  </si>
  <si>
    <t xml:space="preserve">S0790</t>
  </si>
  <si>
    <t xml:space="preserve">Instalação de carregador para veículo elétrico</t>
  </si>
  <si>
    <t xml:space="preserve">/instalacoes/instalacao-carregador-para-veiculo-eletrico/</t>
  </si>
  <si>
    <t xml:space="preserve">S0791</t>
  </si>
  <si>
    <t xml:space="preserve">Visitante que já sabe a categoria do problema, mas não o serviço exato. Quer reduzir a conta de energia e aumentar autonomia. Compara retorno do investimento e confiabilidade da instalação.</t>
  </si>
  <si>
    <t xml:space="preserve">S0792</t>
  </si>
  <si>
    <t xml:space="preserve">Instalação de sistema fotovoltaico</t>
  </si>
  <si>
    <t xml:space="preserve">/instalacoes/instalacao-sistema-fotovoltaico/</t>
  </si>
  <si>
    <t xml:space="preserve">S0793</t>
  </si>
  <si>
    <t xml:space="preserve">Instalação de aquecimento solar</t>
  </si>
  <si>
    <t xml:space="preserve">/instalacoes/instalacao-aquecimento-solar/</t>
  </si>
  <si>
    <t xml:space="preserve">S0794</t>
  </si>
  <si>
    <t xml:space="preserve">Visitante que já sabe a categoria do problema, mas não o serviço exato. Quer casa ou empresa inteligente e segura, com infraestrutura planejada e integrada.</t>
  </si>
  <si>
    <t xml:space="preserve">S0795</t>
  </si>
  <si>
    <t xml:space="preserve">Instalação de automação residencial</t>
  </si>
  <si>
    <t xml:space="preserve">/instalacoes/instalacao-automacao-residencial/</t>
  </si>
  <si>
    <t xml:space="preserve">S0796</t>
  </si>
  <si>
    <t xml:space="preserve">Instalação de CFTV</t>
  </si>
  <si>
    <t xml:space="preserve">/instalacoes/instalacao-cftv/</t>
  </si>
  <si>
    <t xml:space="preserve">S0797</t>
  </si>
  <si>
    <t xml:space="preserve">Instalação de sistema de alarme</t>
  </si>
  <si>
    <t xml:space="preserve">/instalacoes/instalacao-sistema-alarme/</t>
  </si>
  <si>
    <t xml:space="preserve">S0798</t>
  </si>
  <si>
    <t xml:space="preserve">Instalação de cabeamento estruturado</t>
  </si>
  <si>
    <t xml:space="preserve">/instalacoes/instalacao-cabeamento-estruturado/</t>
  </si>
  <si>
    <t xml:space="preserve">S0799</t>
  </si>
  <si>
    <t xml:space="preserve">Visitante que já sabe a categoria do problema, mas não o serviço exato. Tem vazamento, pressão fraca, água quente insuficiente ou precisa trocar tubulação antiga. Quer resolver sem quebrar mais do que o necessário.</t>
  </si>
  <si>
    <t xml:space="preserve">S0800</t>
  </si>
  <si>
    <t xml:space="preserve">Instalação hidráulica</t>
  </si>
  <si>
    <t xml:space="preserve">/instalacoes/instalacao-hidraulica/</t>
  </si>
  <si>
    <t xml:space="preserve">S0801</t>
  </si>
  <si>
    <t xml:space="preserve">Reforma de instalação hidráulica</t>
  </si>
  <si>
    <t xml:space="preserve">/instalacoes/reforma-instalacao-hidraulica/</t>
  </si>
  <si>
    <t xml:space="preserve">S0802</t>
  </si>
  <si>
    <t xml:space="preserve">Troca de prumada</t>
  </si>
  <si>
    <t xml:space="preserve">/instalacoes/troca-prumada/</t>
  </si>
  <si>
    <t xml:space="preserve">S0803</t>
  </si>
  <si>
    <t xml:space="preserve">Instalação de aquecedor a gás</t>
  </si>
  <si>
    <t xml:space="preserve">/instalacoes/instalacao-aquecedor-a-gas/</t>
  </si>
  <si>
    <t xml:space="preserve">S0804</t>
  </si>
  <si>
    <t xml:space="preserve">Instalação de sistema de reúso de água</t>
  </si>
  <si>
    <t xml:space="preserve">/instalacoes/instalacao-sistema-reuso-agua/</t>
  </si>
  <si>
    <t xml:space="preserve">S0805</t>
  </si>
  <si>
    <t xml:space="preserve">Instalação de cisterna</t>
  </si>
  <si>
    <t xml:space="preserve">/instalacoes/instalacao-cisterna/</t>
  </si>
  <si>
    <t xml:space="preserve">S0806</t>
  </si>
  <si>
    <t xml:space="preserve">Instalação de pressurizador</t>
  </si>
  <si>
    <t xml:space="preserve">/instalacoes/instalacao-pressurizador/</t>
  </si>
  <si>
    <t xml:space="preserve">S0807</t>
  </si>
  <si>
    <t xml:space="preserve">Instalação de gás</t>
  </si>
  <si>
    <t xml:space="preserve">/instalacoes/instalacao-gas/</t>
  </si>
  <si>
    <t xml:space="preserve">S0808</t>
  </si>
  <si>
    <t xml:space="preserve">Adequação de rede de gás</t>
  </si>
  <si>
    <t xml:space="preserve">/instalacoes/adequacao-rede-gas/</t>
  </si>
  <si>
    <t xml:space="preserve">S0809</t>
  </si>
  <si>
    <t xml:space="preserve">Visitante que já sabe a categoria do problema, mas não o serviço exato. Precisa de conforto térmico ou adequação de segurança contra incêndio com instalação correta e aprovável.</t>
  </si>
  <si>
    <t xml:space="preserve">S0810</t>
  </si>
  <si>
    <t xml:space="preserve">Instalação de sistema de combate a incêndio</t>
  </si>
  <si>
    <t xml:space="preserve">Precisa de conforto térmico ou adequação de segurança contra incêndio com instalação correta e aprovável. Há negociação em curso com seguradora ou terceiro.</t>
  </si>
  <si>
    <t xml:space="preserve">/instalacoes/instalacao-sistema-combate-a-incendio/</t>
  </si>
  <si>
    <t xml:space="preserve">S0811</t>
  </si>
  <si>
    <t xml:space="preserve">Instalação de ar-condicionado central</t>
  </si>
  <si>
    <t xml:space="preserve">/instalacoes/instalacao-ar-condicionado-central/</t>
  </si>
  <si>
    <t xml:space="preserve">S0812</t>
  </si>
  <si>
    <t xml:space="preserve">Instalação de infraestrutura de ar-condicionado</t>
  </si>
  <si>
    <t xml:space="preserve">/instalacoes/instalacao-infraestrutura-ar-condicionado/</t>
  </si>
  <si>
    <t xml:space="preserve">S0813</t>
  </si>
  <si>
    <t xml:space="preserve">Instalação de sistema de exaustão</t>
  </si>
  <si>
    <t xml:space="preserve">/instalacoes/instalacao-sistema-exaustao/</t>
  </si>
  <si>
    <t xml:space="preserve">S0814</t>
  </si>
  <si>
    <t xml:space="preserve">Visitante que já sabe a categoria do problema, mas não o serviço exato. Quer instalar elevador ou plataforma em casa existente, geralmente por acessibilidade. Teme a obra civil e a viabilidade estrutural.</t>
  </si>
  <si>
    <t xml:space="preserve">S0815</t>
  </si>
  <si>
    <t xml:space="preserve">Instalação de elevador residencial</t>
  </si>
  <si>
    <t xml:space="preserve">/instalacoes/instalacao-elevador-residencial/</t>
  </si>
  <si>
    <t xml:space="preserve">S0816</t>
  </si>
  <si>
    <t xml:space="preserve">Instalação de plataforma elevatória</t>
  </si>
  <si>
    <t xml:space="preserve">/instalacoes/instalacao-plataforma-elevatoria/</t>
  </si>
  <si>
    <t xml:space="preserve">S0817</t>
  </si>
  <si>
    <t xml:space="preserve">Conteúdo do hub</t>
  </si>
  <si>
    <t xml:space="preserve">Quanto custa construir uma casa de alto padrão</t>
  </si>
  <si>
    <t xml:space="preserve">Serviço relacionado</t>
  </si>
  <si>
    <t xml:space="preserve">Topo</t>
  </si>
  <si>
    <t xml:space="preserve">Pessoa ainda pesquisando o problema ou o custo antes de procurar uma empresa. O conteúdo responde a dúvida, gera confiança e leva para a página de serviço de construção. Termo com sinal de exclusividade: filtra naturalmente o público e combina com o posicionamento premium.</t>
  </si>
  <si>
    <t xml:space="preserve">/blog/quanto-custa-construir-uma-casa-alto-padrao/</t>
  </si>
  <si>
    <t xml:space="preserve">S0818</t>
  </si>
  <si>
    <t xml:space="preserve">Quanto custa construir uma casa em Florianópolis</t>
  </si>
  <si>
    <t xml:space="preserve">Pessoa ainda pesquisando o problema ou o custo antes de procurar uma empresa. O conteúdo responde a dúvida, gera confiança e leva para a página de serviço de construção.</t>
  </si>
  <si>
    <t xml:space="preserve">/blog/quanto-custa-construir-uma-casa-em-florianopolis/</t>
  </si>
  <si>
    <t xml:space="preserve">S0819</t>
  </si>
  <si>
    <t xml:space="preserve">Custo do metro quadrado de construção em Florianópolis</t>
  </si>
  <si>
    <t xml:space="preserve">/blog/custo-metro-quadrado-construcao-em-florianopolis/</t>
  </si>
  <si>
    <t xml:space="preserve">S0820</t>
  </si>
  <si>
    <t xml:space="preserve">CUB SC atualizado</t>
  </si>
  <si>
    <t xml:space="preserve">/blog/cub-sc-atualizado/</t>
  </si>
  <si>
    <t xml:space="preserve">S0821</t>
  </si>
  <si>
    <t xml:space="preserve">Quanto tempo leva para construir uma casa</t>
  </si>
  <si>
    <t xml:space="preserve">/blog/quanto-tempo-leva-para-construir-uma-casa/</t>
  </si>
  <si>
    <t xml:space="preserve">S0822</t>
  </si>
  <si>
    <t xml:space="preserve">Etapas da construção de uma casa</t>
  </si>
  <si>
    <t xml:space="preserve">Pessoa que quer um material prático para se organizar. Funciona como isca: troca o guia pelo contato e alimenta o relacionamento até a contratação em construção.</t>
  </si>
  <si>
    <t xml:space="preserve">/guias/etapas-construcao-uma-casa/</t>
  </si>
  <si>
    <t xml:space="preserve">S0823</t>
  </si>
  <si>
    <t xml:space="preserve">Como escolher uma construtora</t>
  </si>
  <si>
    <t xml:space="preserve">/guias/como-escolher-uma-construtora/</t>
  </si>
  <si>
    <t xml:space="preserve">S0824</t>
  </si>
  <si>
    <t xml:space="preserve">Construtora ou empreiteiro qual contratar</t>
  </si>
  <si>
    <t xml:space="preserve">/blog/construtora-ou-empreiteiro-qual-contratar/</t>
  </si>
  <si>
    <t xml:space="preserve">S0825</t>
  </si>
  <si>
    <t xml:space="preserve">Obra por administração ou empreitada global</t>
  </si>
  <si>
    <t xml:space="preserve">/blog/obra-por-administracao-ou-empreitada-global/</t>
  </si>
  <si>
    <t xml:space="preserve">S0826</t>
  </si>
  <si>
    <t xml:space="preserve">Como construir perto do mar</t>
  </si>
  <si>
    <t xml:space="preserve">Pessoa ainda pesquisando o problema ou o custo antes de procurar uma empresa. O conteúdo responde a dúvida, gera confiança e leva para a página de serviço de construção. Carrega preocupação com maresia, umidade e o calendário da temporada.</t>
  </si>
  <si>
    <t xml:space="preserve">/blog/como-construir-perto-mar/</t>
  </si>
  <si>
    <t xml:space="preserve">S0827</t>
  </si>
  <si>
    <t xml:space="preserve">Cuidados com maresia na construção</t>
  </si>
  <si>
    <t xml:space="preserve">/blog/cuidados-com-maresia-na-construcao/</t>
  </si>
  <si>
    <t xml:space="preserve">S0828</t>
  </si>
  <si>
    <t xml:space="preserve">Como construir em terreno em aclive</t>
  </si>
  <si>
    <t xml:space="preserve">/blog/como-construir-em-terreno-em-aclive/</t>
  </si>
  <si>
    <t xml:space="preserve">S0829</t>
  </si>
  <si>
    <t xml:space="preserve">Documentos para construir uma casa</t>
  </si>
  <si>
    <t xml:space="preserve">/blog/documentos-para-construir-uma-casa/</t>
  </si>
  <si>
    <t xml:space="preserve">S0830</t>
  </si>
  <si>
    <t xml:space="preserve">Calculadora de custo de construção</t>
  </si>
  <si>
    <t xml:space="preserve">Pessoa que quer uma estimativa imediata. A ferramenta entrega um número de referência, qualifica o lead pela faixa de investimento e captura o contato.</t>
  </si>
  <si>
    <t xml:space="preserve">/ferramentas/calculadora-custo-construcao/</t>
  </si>
  <si>
    <t xml:space="preserve">S0831</t>
  </si>
  <si>
    <t xml:space="preserve">Quanto custa reformar apartamento de alto padrão</t>
  </si>
  <si>
    <t xml:space="preserve">Pessoa ainda pesquisando o problema ou o custo antes de procurar uma empresa. O conteúdo responde a dúvida, gera confiança e leva para a página de serviço de reformas. Termo com sinal de exclusividade: filtra naturalmente o público e combina com o posicionamento premium.</t>
  </si>
  <si>
    <t xml:space="preserve">/blog/quanto-custa-reformar-apartamento-alto-padrao/</t>
  </si>
  <si>
    <t xml:space="preserve">S0832</t>
  </si>
  <si>
    <t xml:space="preserve">Quanto custa reformar uma casa por metro quadrado</t>
  </si>
  <si>
    <t xml:space="preserve">Pessoa ainda pesquisando o problema ou o custo antes de procurar uma empresa. O conteúdo responde a dúvida, gera confiança e leva para a página de serviço de reformas. Carrega preocupação com maresia, umidade e o calendário da temporada.</t>
  </si>
  <si>
    <t xml:space="preserve">/blog/quanto-custa-reformar-uma-casa-por-metro-quadrado/</t>
  </si>
  <si>
    <t xml:space="preserve">S0833</t>
  </si>
  <si>
    <t xml:space="preserve">Quanto custa reformar um banheiro</t>
  </si>
  <si>
    <t xml:space="preserve">/blog/quanto-custa-reformar-um-banheiro/</t>
  </si>
  <si>
    <t xml:space="preserve">S0834</t>
  </si>
  <si>
    <t xml:space="preserve">Quanto tempo dura uma reforma completa</t>
  </si>
  <si>
    <t xml:space="preserve">Pessoa ainda pesquisando o problema ou o custo antes de procurar uma empresa. O conteúdo responde a dúvida, gera confiança e leva para a página de serviço de reformas.</t>
  </si>
  <si>
    <t xml:space="preserve">/blog/quanto-tempo-dura-uma-reforma-completa/</t>
  </si>
  <si>
    <t xml:space="preserve">S0835</t>
  </si>
  <si>
    <t xml:space="preserve">Como planejar uma reforma</t>
  </si>
  <si>
    <t xml:space="preserve">Pessoa que quer um material prático para se organizar. Funciona como isca: troca o guia pelo contato e alimenta o relacionamento até a contratação em reformas.</t>
  </si>
  <si>
    <t xml:space="preserve">/guias/como-planejar-uma-reforma/</t>
  </si>
  <si>
    <t xml:space="preserve">S0836</t>
  </si>
  <si>
    <t xml:space="preserve">Reforma com arquiteto ou engenheiro</t>
  </si>
  <si>
    <t xml:space="preserve">/blog/reforma-com-arquiteto-ou-engenheiro/</t>
  </si>
  <si>
    <t xml:space="preserve">S0837</t>
  </si>
  <si>
    <t xml:space="preserve">Posso derrubar parede do apartamento</t>
  </si>
  <si>
    <t xml:space="preserve">/blog/posso-derrubar-parede-apartamento/</t>
  </si>
  <si>
    <t xml:space="preserve">S0838</t>
  </si>
  <si>
    <t xml:space="preserve">Como identificar parede estrutural</t>
  </si>
  <si>
    <t xml:space="preserve">/blog/como-identificar-parede-estrutural/</t>
  </si>
  <si>
    <t xml:space="preserve">S0839</t>
  </si>
  <si>
    <t xml:space="preserve">Regras de reforma em condomínio</t>
  </si>
  <si>
    <t xml:space="preserve">Pessoa ainda pesquisando o problema ou o custo antes de procurar uma empresa. O conteúdo responde a dúvida, gera confiança e leva para a página de serviço de reformas. Envolve decisão coletiva e regras internas do condomínio.</t>
  </si>
  <si>
    <t xml:space="preserve">/blog/regras-reforma-em-condominio/</t>
  </si>
  <si>
    <t xml:space="preserve">S0840</t>
  </si>
  <si>
    <t xml:space="preserve">Horário de obra em condomínio</t>
  </si>
  <si>
    <t xml:space="preserve">/blog/horario-obra-em-condominio/</t>
  </si>
  <si>
    <t xml:space="preserve">S0841</t>
  </si>
  <si>
    <t xml:space="preserve">Checklist de reforma de apartamento</t>
  </si>
  <si>
    <t xml:space="preserve">/guias/checklist-reforma-apartamento/</t>
  </si>
  <si>
    <t xml:space="preserve">S0842</t>
  </si>
  <si>
    <t xml:space="preserve">Como comparar orçamentos de reforma</t>
  </si>
  <si>
    <t xml:space="preserve">/guias/como-comparar-orcamentos-reforma/</t>
  </si>
  <si>
    <t xml:space="preserve">S0843</t>
  </si>
  <si>
    <t xml:space="preserve">Como reformar morando no imóvel</t>
  </si>
  <si>
    <t xml:space="preserve">/blog/como-reformar-morando-no-imovel/</t>
  </si>
  <si>
    <t xml:space="preserve">S0844</t>
  </si>
  <si>
    <t xml:space="preserve">Reforma para Airbnb o que priorizar</t>
  </si>
  <si>
    <t xml:space="preserve">/blog/reforma-para-airbnb-o-que-priorizar/</t>
  </si>
  <si>
    <t xml:space="preserve">S0845</t>
  </si>
  <si>
    <t xml:space="preserve">Calculadora de custo de reforma</t>
  </si>
  <si>
    <t xml:space="preserve">/ferramentas/calculadora-custo-reforma/</t>
  </si>
  <si>
    <t xml:space="preserve">S0846</t>
  </si>
  <si>
    <t xml:space="preserve">Quanto custa um projeto estrutural</t>
  </si>
  <si>
    <t xml:space="preserve">Pessoa ainda pesquisando o problema ou o custo antes de procurar uma empresa. O conteúdo responde a dúvida, gera confiança e leva para a página de serviço de projetos de engenharia.</t>
  </si>
  <si>
    <t xml:space="preserve">/blog/quanto-custa-um-projeto-estrutural/</t>
  </si>
  <si>
    <t xml:space="preserve">S0847</t>
  </si>
  <si>
    <t xml:space="preserve">Quanto custa um projeto elétrico</t>
  </si>
  <si>
    <t xml:space="preserve">/blog/quanto-custa-um-projeto-eletrico/</t>
  </si>
  <si>
    <t xml:space="preserve">S0848</t>
  </si>
  <si>
    <t xml:space="preserve">Quanto custa um projeto hidrossanitário</t>
  </si>
  <si>
    <t xml:space="preserve">/blog/quanto-custa-um-projeto-hidrossanitario/</t>
  </si>
  <si>
    <t xml:space="preserve">S0849</t>
  </si>
  <si>
    <t xml:space="preserve">Projetos necessários para construir uma casa</t>
  </si>
  <si>
    <t xml:space="preserve">/blog/projetos-necessarios-para-construir-uma-casa/</t>
  </si>
  <si>
    <t xml:space="preserve">S0850</t>
  </si>
  <si>
    <t xml:space="preserve">O que é compatibilização de projetos</t>
  </si>
  <si>
    <t xml:space="preserve">/blog/o-que-e-compatibilizacao-projetos/</t>
  </si>
  <si>
    <t xml:space="preserve">S0851</t>
  </si>
  <si>
    <t xml:space="preserve">O que é projeto executivo</t>
  </si>
  <si>
    <t xml:space="preserve">/blog/o-que-e-projeto-executivo/</t>
  </si>
  <si>
    <t xml:space="preserve">S0852</t>
  </si>
  <si>
    <t xml:space="preserve">Diferença entre projeto legal e projeto executivo</t>
  </si>
  <si>
    <t xml:space="preserve">/blog/diferenca-entre-projeto-legal-e-projeto-executivo/</t>
  </si>
  <si>
    <t xml:space="preserve">S0853</t>
  </si>
  <si>
    <t xml:space="preserve">O que é BIM na construção civil</t>
  </si>
  <si>
    <t xml:space="preserve">/blog/o-que-e-bim-na-construcao-civil/</t>
  </si>
  <si>
    <t xml:space="preserve">S0854</t>
  </si>
  <si>
    <t xml:space="preserve">O que é ART de engenheiro</t>
  </si>
  <si>
    <t xml:space="preserve">/blog/o-que-e-art-engenheiro/</t>
  </si>
  <si>
    <t xml:space="preserve">S0855</t>
  </si>
  <si>
    <t xml:space="preserve">Como aprovar projeto nos Bombeiros em Santa Catarina</t>
  </si>
  <si>
    <t xml:space="preserve">/blog/como-aprovar-projeto-nos-bombeiros-em-santa-catarina/</t>
  </si>
  <si>
    <t xml:space="preserve">S0856</t>
  </si>
  <si>
    <t xml:space="preserve">Rachadura na parede é perigoso</t>
  </si>
  <si>
    <t xml:space="preserve">Pessoa ainda pesquisando o problema ou o custo antes de procurar uma empresa. O conteúdo responde a dúvida, gera confiança e leva para a página de serviço de laudos técnicos.</t>
  </si>
  <si>
    <t xml:space="preserve">/blog/rachadura-na-parede-e-perigoso/</t>
  </si>
  <si>
    <t xml:space="preserve">S0857</t>
  </si>
  <si>
    <t xml:space="preserve">Tipos de rachadura em parede</t>
  </si>
  <si>
    <t xml:space="preserve">/blog/tipos-rachadura-em-parede/</t>
  </si>
  <si>
    <t xml:space="preserve">S0858</t>
  </si>
  <si>
    <t xml:space="preserve">Diferença entre fissura trinca e rachadura</t>
  </si>
  <si>
    <t xml:space="preserve">/blog/diferenca-entre-fissura-trinca-e-rachadura/</t>
  </si>
  <si>
    <t xml:space="preserve">S0859</t>
  </si>
  <si>
    <t xml:space="preserve">Quanto custa um laudo estrutural</t>
  </si>
  <si>
    <t xml:space="preserve">/blog/quanto-custa-um-laudo-estrutural/</t>
  </si>
  <si>
    <t xml:space="preserve">S0860</t>
  </si>
  <si>
    <t xml:space="preserve">Como acabar com mofo na parede definitivamente</t>
  </si>
  <si>
    <t xml:space="preserve">/blog/como-acabar-com-mofo-na-parede-definitivamente/</t>
  </si>
  <si>
    <t xml:space="preserve">S0861</t>
  </si>
  <si>
    <t xml:space="preserve">Infiltração vinda do vizinho de cima quem paga</t>
  </si>
  <si>
    <t xml:space="preserve">/blog/infiltracao-vinda-vizinho-cima-quem-paga/</t>
  </si>
  <si>
    <t xml:space="preserve">S0862</t>
  </si>
  <si>
    <t xml:space="preserve">Obra do vizinho rachou minha casa o que fazer</t>
  </si>
  <si>
    <t xml:space="preserve">/blog/obra-vizinho-rachou-minha-casa-o-que-fazer/</t>
  </si>
  <si>
    <t xml:space="preserve">S0863</t>
  </si>
  <si>
    <t xml:space="preserve">Seguradora negou sinistro o que fazer</t>
  </si>
  <si>
    <t xml:space="preserve">Pessoa ainda pesquisando o problema ou o custo antes de procurar uma empresa. O conteúdo responde a dúvida, gera confiança e leva para a página de serviço de laudos técnicos. Há negociação em curso com seguradora ou terceiro.</t>
  </si>
  <si>
    <t xml:space="preserve">/blog/seguradora-negou-sinistro-o-que-fazer/</t>
  </si>
  <si>
    <t xml:space="preserve">S0864</t>
  </si>
  <si>
    <t xml:space="preserve">Laudo técnico tem validade</t>
  </si>
  <si>
    <t xml:space="preserve">/blog/laudo-tecnico-tem-validade/</t>
  </si>
  <si>
    <t xml:space="preserve">S0865</t>
  </si>
  <si>
    <t xml:space="preserve">Rachadura quando se preocupar</t>
  </si>
  <si>
    <t xml:space="preserve">Pessoa que quer um material prático para se organizar. Funciona como isca: troca o guia pelo contato e alimenta o relacionamento até a contratação em laudos técnicos.</t>
  </si>
  <si>
    <t xml:space="preserve">/guias/rachadura-quando-se-preocupar/</t>
  </si>
  <si>
    <t xml:space="preserve">S0866</t>
  </si>
  <si>
    <t xml:space="preserve">O que verificar na entrega do apartamento</t>
  </si>
  <si>
    <t xml:space="preserve">Pessoa ainda pesquisando o problema ou o custo antes de procurar uma empresa. O conteúdo responde a dúvida, gera confiança e leva para a página de serviço de vistorias e inspeções.</t>
  </si>
  <si>
    <t xml:space="preserve">/blog/o-que-verificar-na-entrega-apartamento/</t>
  </si>
  <si>
    <t xml:space="preserve">S0867</t>
  </si>
  <si>
    <t xml:space="preserve">Checklist de vistoria de entrega de chaves</t>
  </si>
  <si>
    <t xml:space="preserve">Pessoa que quer um material prático para se organizar. Funciona como isca: troca o guia pelo contato e alimenta o relacionamento até a contratação em vistorias e inspeções.</t>
  </si>
  <si>
    <t xml:space="preserve">/guias/checklist-vistoria-entrega-chaves/</t>
  </si>
  <si>
    <t xml:space="preserve">S0868</t>
  </si>
  <si>
    <t xml:space="preserve">Prazo para reclamar defeitos de imóvel novo</t>
  </si>
  <si>
    <t xml:space="preserve">Pessoa ainda pesquisando o problema ou o custo antes de procurar uma empresa. O conteúdo responde a dúvida, gera confiança e leva para a página de serviço de vistorias e inspeções. Carrega preocupação com maresia, umidade e o calendário da temporada.</t>
  </si>
  <si>
    <t xml:space="preserve">/blog/prazo-para-reclamar-defeitos-imovel-novo/</t>
  </si>
  <si>
    <t xml:space="preserve">S0869</t>
  </si>
  <si>
    <t xml:space="preserve">Vistoria antes de comprar imóvel usado vale a pena</t>
  </si>
  <si>
    <t xml:space="preserve">/blog/vistoria-antes-comprar-imovel-usado-vale-a-pena/</t>
  </si>
  <si>
    <t xml:space="preserve">S0870</t>
  </si>
  <si>
    <t xml:space="preserve">Checklist antes de comprar imóvel usado</t>
  </si>
  <si>
    <t xml:space="preserve">/guias/checklist-antes-comprar-imovel-usado/</t>
  </si>
  <si>
    <t xml:space="preserve">S0871</t>
  </si>
  <si>
    <t xml:space="preserve">O que é inspeção predial</t>
  </si>
  <si>
    <t xml:space="preserve">/blog/o-que-e-inspecao-predial/</t>
  </si>
  <si>
    <t xml:space="preserve">S0872</t>
  </si>
  <si>
    <t xml:space="preserve">Inspeção predial é obrigatória</t>
  </si>
  <si>
    <t xml:space="preserve">/blog/inspecao-predial-e-obrigatoria/</t>
  </si>
  <si>
    <t xml:space="preserve">S0873</t>
  </si>
  <si>
    <t xml:space="preserve">NBR 16747 inspeção predial resumo</t>
  </si>
  <si>
    <t xml:space="preserve">/blog/nbr-16747-inspecao-predial-resumo/</t>
  </si>
  <si>
    <t xml:space="preserve">S0874</t>
  </si>
  <si>
    <t xml:space="preserve">O que faz um assistente técnico em perícia</t>
  </si>
  <si>
    <t xml:space="preserve">Pessoa ainda pesquisando o problema ou o custo antes de procurar uma empresa. O conteúdo responde a dúvida, gera confiança e leva para a página de serviço de perícias e avaliações.</t>
  </si>
  <si>
    <t xml:space="preserve">/blog/o-que-faz-um-assistente-tecnico-em-pericia/</t>
  </si>
  <si>
    <t xml:space="preserve">S0875</t>
  </si>
  <si>
    <t xml:space="preserve">Como provar vício construtivo</t>
  </si>
  <si>
    <t xml:space="preserve">/blog/como-provar-vicio-construtivo/</t>
  </si>
  <si>
    <t xml:space="preserve">S0876</t>
  </si>
  <si>
    <t xml:space="preserve">Garantia de cinco anos da construtora</t>
  </si>
  <si>
    <t xml:space="preserve">/blog/garantia-cinco-anos-construtora/</t>
  </si>
  <si>
    <t xml:space="preserve">S0877</t>
  </si>
  <si>
    <t xml:space="preserve">Quanto custa uma avaliação de imóvel</t>
  </si>
  <si>
    <t xml:space="preserve">/blog/quanto-custa-uma-avaliacao-imovel/</t>
  </si>
  <si>
    <t xml:space="preserve">S0878</t>
  </si>
  <si>
    <t xml:space="preserve">Avaliação de imóvel para inventário como funciona</t>
  </si>
  <si>
    <t xml:space="preserve">Pessoa ainda pesquisando o problema ou o custo antes de procurar uma empresa. O conteúdo responde a dúvida, gera confiança e leva para a página de serviço de perícias e avaliações. Pode haver vários herdeiros decidindo juntos; a neutralidade técnica é valorizada.</t>
  </si>
  <si>
    <t xml:space="preserve">/blog/avaliacao-imovel-para-inventario-como-funciona/</t>
  </si>
  <si>
    <t xml:space="preserve">S0879</t>
  </si>
  <si>
    <t xml:space="preserve">Quanto custa gerenciamento de obra</t>
  </si>
  <si>
    <t xml:space="preserve">Pessoa ainda pesquisando o problema ou o custo antes de procurar uma empresa. O conteúdo responde a dúvida, gera confiança e leva para a página de serviço de gestão e fiscalização de obras.</t>
  </si>
  <si>
    <t xml:space="preserve">/blog/quanto-custa-gerenciamento-obra/</t>
  </si>
  <si>
    <t xml:space="preserve">S0880</t>
  </si>
  <si>
    <t xml:space="preserve">Taxa de administração de obra</t>
  </si>
  <si>
    <t xml:space="preserve">/blog/taxa-administracao-obra/</t>
  </si>
  <si>
    <t xml:space="preserve">S0881</t>
  </si>
  <si>
    <t xml:space="preserve">O que faz um engenheiro de obra</t>
  </si>
  <si>
    <t xml:space="preserve">/blog/o-que-faz-um-engenheiro-obra/</t>
  </si>
  <si>
    <t xml:space="preserve">S0882</t>
  </si>
  <si>
    <t xml:space="preserve">Como acompanhar obra à distância</t>
  </si>
  <si>
    <t xml:space="preserve">Pessoa que quer um material prático para se organizar. Funciona como isca: troca o guia pelo contato e alimenta o relacionamento até a contratação em gestão e fiscalização de obras. Cliente fora da região: valoriza relatórios, fotos e comunicação remota.</t>
  </si>
  <si>
    <t xml:space="preserve">/guias/como-acompanhar-obra-a-distancia/</t>
  </si>
  <si>
    <t xml:space="preserve">S0883</t>
  </si>
  <si>
    <t xml:space="preserve">Obra atrasada o que fazer</t>
  </si>
  <si>
    <t xml:space="preserve">/blog/obra-atrasada-o-que-fazer/</t>
  </si>
  <si>
    <t xml:space="preserve">S0884</t>
  </si>
  <si>
    <t xml:space="preserve">Como fiscalizar uma obra</t>
  </si>
  <si>
    <t xml:space="preserve">/blog/como-fiscalizar-uma-obra/</t>
  </si>
  <si>
    <t xml:space="preserve">S0885</t>
  </si>
  <si>
    <t xml:space="preserve">O que é BDI na construção civil</t>
  </si>
  <si>
    <t xml:space="preserve">/blog/o-que-e-bdi-na-construcao-civil/</t>
  </si>
  <si>
    <t xml:space="preserve">S0886</t>
  </si>
  <si>
    <t xml:space="preserve">O que é cronograma físico-financeiro</t>
  </si>
  <si>
    <t xml:space="preserve">/blog/o-que-e-cronograma-fisico-financeiro/</t>
  </si>
  <si>
    <t xml:space="preserve">S0887</t>
  </si>
  <si>
    <t xml:space="preserve">10 perguntas antes de contratar uma construtora</t>
  </si>
  <si>
    <t xml:space="preserve">Pessoa que quer um material prático para se organizar. Funciona como isca: troca o guia pelo contato e alimenta o relacionamento até a contratação em gestão e fiscalização de obras.</t>
  </si>
  <si>
    <t xml:space="preserve">/guias/10-perguntas-antes-contratar-uma-construtora/</t>
  </si>
  <si>
    <t xml:space="preserve">S0888</t>
  </si>
  <si>
    <t xml:space="preserve">Modelo de relatório de obra</t>
  </si>
  <si>
    <t xml:space="preserve">/guias/modelo-relatorio-obra/</t>
  </si>
  <si>
    <t xml:space="preserve">S0889</t>
  </si>
  <si>
    <t xml:space="preserve">NBR 16280 resumo para síndicos</t>
  </si>
  <si>
    <t xml:space="preserve">Pessoa que quer um material prático para se organizar. Funciona como isca: troca o guia pelo contato e alimenta o relacionamento até a contratação em condomínios. Envolve decisão coletiva e regras internas do condomínio.</t>
  </si>
  <si>
    <t xml:space="preserve">/guias/nbr-16280-resumo-para-sindicos/</t>
  </si>
  <si>
    <t xml:space="preserve">S0890</t>
  </si>
  <si>
    <t xml:space="preserve">Síndico pode impedir reforma</t>
  </si>
  <si>
    <t xml:space="preserve">Pessoa ainda pesquisando o problema ou o custo antes de procurar uma empresa. O conteúdo responde a dúvida, gera confiança e leva para a página de serviço de condomínios. Envolve decisão coletiva e regras internas do condomínio.</t>
  </si>
  <si>
    <t xml:space="preserve">/blog/sindico-pode-impedir-reforma/</t>
  </si>
  <si>
    <t xml:space="preserve">S0891</t>
  </si>
  <si>
    <t xml:space="preserve">Responsabilidade do síndico em obras</t>
  </si>
  <si>
    <t xml:space="preserve">/blog/responsabilidade-sindico-em-obras/</t>
  </si>
  <si>
    <t xml:space="preserve">S0892</t>
  </si>
  <si>
    <t xml:space="preserve">Como fazer memorial descritivo de obra</t>
  </si>
  <si>
    <t xml:space="preserve">Pessoa ainda pesquisando o problema ou o custo antes de procurar uma empresa. O conteúdo responde a dúvida, gera confiança e leva para a página de serviço de condomínios.</t>
  </si>
  <si>
    <t xml:space="preserve">/blog/como-fazer-memorial-descritivo-obra/</t>
  </si>
  <si>
    <t xml:space="preserve">S0893</t>
  </si>
  <si>
    <t xml:space="preserve">Modelo de memorial descritivo para condomínio</t>
  </si>
  <si>
    <t xml:space="preserve">/guias/modelo-memorial-descritivo-para-condominio/</t>
  </si>
  <si>
    <t xml:space="preserve">S0894</t>
  </si>
  <si>
    <t xml:space="preserve">Quanto custa reforma de fachada de prédio</t>
  </si>
  <si>
    <t xml:space="preserve">/blog/quanto-custa-reforma-fachada-predio/</t>
  </si>
  <si>
    <t xml:space="preserve">S0895</t>
  </si>
  <si>
    <t xml:space="preserve">Plano de manutenção predial NBR 5674</t>
  </si>
  <si>
    <t xml:space="preserve">/blog/plano-manutencao-predial-nbr-5674/</t>
  </si>
  <si>
    <t xml:space="preserve">S0896</t>
  </si>
  <si>
    <t xml:space="preserve">Como comparar orçamentos de obra no condomínio</t>
  </si>
  <si>
    <t xml:space="preserve">/blog/como-comparar-orcamentos-obra-no-condominio/</t>
  </si>
  <si>
    <t xml:space="preserve">S0897</t>
  </si>
  <si>
    <t xml:space="preserve">Quanto custa consultoria de engenheiro civil</t>
  </si>
  <si>
    <t xml:space="preserve">Pessoa ainda pesquisando o problema ou o custo antes de procurar uma empresa. O conteúdo responde a dúvida, gera confiança e leva para a página de serviço de consultoria técnica.</t>
  </si>
  <si>
    <t xml:space="preserve">/blog/quanto-custa-consultoria-engenheiro-civil/</t>
  </si>
  <si>
    <t xml:space="preserve">S0898</t>
  </si>
  <si>
    <t xml:space="preserve">Como funciona consultoria com engenheiro online</t>
  </si>
  <si>
    <t xml:space="preserve">Pessoa ainda pesquisando o problema ou o custo antes de procurar uma empresa. O conteúdo responde a dúvida, gera confiança e leva para a página de serviço de consultoria técnica. Cliente fora da região: valoriza relatórios, fotos e comunicação remota.</t>
  </si>
  <si>
    <t xml:space="preserve">/blog/como-funciona-consultoria-com-engenheiro-online/</t>
  </si>
  <si>
    <t xml:space="preserve">S0899</t>
  </si>
  <si>
    <t xml:space="preserve">Como escolher o sistema construtivo da casa</t>
  </si>
  <si>
    <t xml:space="preserve">/blog/como-escolher-o-sistema-construtivo-casa/</t>
  </si>
  <si>
    <t xml:space="preserve">S0900</t>
  </si>
  <si>
    <t xml:space="preserve">Quando pedir segunda opinião de engenheiro</t>
  </si>
  <si>
    <t xml:space="preserve">/blog/quando-pedir-segunda-opiniao-engenheiro/</t>
  </si>
  <si>
    <t xml:space="preserve">S0901</t>
  </si>
  <si>
    <t xml:space="preserve">Guia para construir em Florianópolis</t>
  </si>
  <si>
    <t xml:space="preserve">Pessoa que quer um material prático para se organizar. Funciona como isca: troca o guia pelo contato e alimenta o relacionamento até a contratação em consultoria técnica.</t>
  </si>
  <si>
    <t xml:space="preserve">/guias/guia-para-construir-em-florianopolis/</t>
  </si>
  <si>
    <t xml:space="preserve">S0902</t>
  </si>
  <si>
    <t xml:space="preserve">Como regularizar obra sem alvará</t>
  </si>
  <si>
    <t xml:space="preserve">Pessoa ainda pesquisando o problema ou o custo antes de procurar uma empresa. O conteúdo responde a dúvida, gera confiança e leva para a página de serviço de regularização e aprovações.</t>
  </si>
  <si>
    <t xml:space="preserve">/blog/como-regularizar-obra-sem-alvara/</t>
  </si>
  <si>
    <t xml:space="preserve">S0903</t>
  </si>
  <si>
    <t xml:space="preserve">Como tirar habite-se em Florianópolis</t>
  </si>
  <si>
    <t xml:space="preserve">/blog/como-tirar-habite-se-em-florianopolis/</t>
  </si>
  <si>
    <t xml:space="preserve">S0904</t>
  </si>
  <si>
    <t xml:space="preserve">Como fazer averbação de construção</t>
  </si>
  <si>
    <t xml:space="preserve">/blog/como-fazer-averbacao-construcao/</t>
  </si>
  <si>
    <t xml:space="preserve">S0905</t>
  </si>
  <si>
    <t xml:space="preserve">O que é CNO de obra</t>
  </si>
  <si>
    <t xml:space="preserve">/blog/o-que-e-cno-obra/</t>
  </si>
  <si>
    <t xml:space="preserve">S0906</t>
  </si>
  <si>
    <t xml:space="preserve">INSS de obra de pessoa física</t>
  </si>
  <si>
    <t xml:space="preserve">/blog/inss-obra-pessoa-fisica/</t>
  </si>
  <si>
    <t xml:space="preserve">S0907</t>
  </si>
  <si>
    <t xml:space="preserve">Terreno de marinha como regularizar</t>
  </si>
  <si>
    <t xml:space="preserve">Pessoa ainda pesquisando o problema ou o custo antes de procurar uma empresa. O conteúdo responde a dúvida, gera confiança e leva para a página de serviço de regularização e aprovações. Carrega preocupação com maresia, umidade e o calendário da temporada.</t>
  </si>
  <si>
    <t xml:space="preserve">/blog/terreno-marinha-como-regularizar/</t>
  </si>
  <si>
    <t xml:space="preserve">S0908</t>
  </si>
  <si>
    <t xml:space="preserve">Como resolver infiltração em laje</t>
  </si>
  <si>
    <t xml:space="preserve">Pessoa ainda pesquisando o problema ou o custo antes de procurar uma empresa. O conteúdo responde a dúvida, gera confiança e leva para a página de serviço de recuperação e manutenção.</t>
  </si>
  <si>
    <t xml:space="preserve">/blog/como-resolver-infiltracao-em-laje/</t>
  </si>
  <si>
    <t xml:space="preserve">S0909</t>
  </si>
  <si>
    <t xml:space="preserve">Quanto custa impermeabilização</t>
  </si>
  <si>
    <t xml:space="preserve">/blog/quanto-custa-impermeabilizacao/</t>
  </si>
  <si>
    <t xml:space="preserve">S0910</t>
  </si>
  <si>
    <t xml:space="preserve">Ferro aparecendo no concreto o que fazer</t>
  </si>
  <si>
    <t xml:space="preserve">/blog/ferro-aparecendo-no-concreto-o-que-fazer/</t>
  </si>
  <si>
    <t xml:space="preserve">S0911</t>
  </si>
  <si>
    <t xml:space="preserve">Quando fazer reforço estrutural</t>
  </si>
  <si>
    <t xml:space="preserve">/blog/quando-fazer-reforco-estrutural/</t>
  </si>
  <si>
    <t xml:space="preserve">S0912</t>
  </si>
  <si>
    <t xml:space="preserve">Checklist de manutenção preventiva da casa</t>
  </si>
  <si>
    <t xml:space="preserve">Pessoa que quer um material prático para se organizar. Funciona como isca: troca o guia pelo contato e alimenta o relacionamento até a contratação em recuperação e manutenção.</t>
  </si>
  <si>
    <t xml:space="preserve">/guias/checklist-manutencao-preventiva-casa/</t>
  </si>
  <si>
    <t xml:space="preserve">S0913</t>
  </si>
  <si>
    <t xml:space="preserve">Manutenção de casa de praia contra maresia</t>
  </si>
  <si>
    <t xml:space="preserve">Pessoa ainda pesquisando o problema ou o custo antes de procurar uma empresa. O conteúdo responde a dúvida, gera confiança e leva para a página de serviço de recuperação e manutenção. Carrega preocupação com maresia, umidade e o calendário da temporada.</t>
  </si>
  <si>
    <t xml:space="preserve">/blog/manutencao-casa-praia-contra-maresia/</t>
  </si>
  <si>
    <t xml:space="preserve">S0914</t>
  </si>
  <si>
    <t xml:space="preserve">Quanto custa energia solar residencial</t>
  </si>
  <si>
    <t xml:space="preserve">Pessoa ainda pesquisando o problema ou o custo antes de procurar uma empresa. O conteúdo responde a dúvida, gera confiança e leva para a página de serviço de instalações e sistemas.</t>
  </si>
  <si>
    <t xml:space="preserve">/blog/quanto-custa-energia-solar-residencial/</t>
  </si>
  <si>
    <t xml:space="preserve">S0915</t>
  </si>
  <si>
    <t xml:space="preserve">Quanto custa elevador residencial</t>
  </si>
  <si>
    <t xml:space="preserve">/blog/quanto-custa-elevador-residencial/</t>
  </si>
  <si>
    <t xml:space="preserve">S0916</t>
  </si>
  <si>
    <t xml:space="preserve">Automação residencial vale a pena</t>
  </si>
  <si>
    <t xml:space="preserve">/blog/automacao-residencial-vale-a-pena/</t>
  </si>
  <si>
    <t xml:space="preserve">S0917</t>
  </si>
  <si>
    <t xml:space="preserve">Como pedir aumento de carga na Celesc</t>
  </si>
  <si>
    <t xml:space="preserve">/blog/como-pedir-aumento-carga-na-celesc/</t>
  </si>
  <si>
    <t xml:space="preserve">S0918</t>
  </si>
  <si>
    <t xml:space="preserve">Carregador de carro elétrico em condomínio</t>
  </si>
  <si>
    <t xml:space="preserve">Pessoa ainda pesquisando o problema ou o custo antes de procurar uma empresa. O conteúdo responde a dúvida, gera confiança e leva para a página de serviço de instalações e sistemas. Envolve decisão coletiva e regras internas do condomínio.</t>
  </si>
  <si>
    <t xml:space="preserve">/blog/carregador-carro-eletrico-em-condominio/</t>
  </si>
  <si>
    <t xml:space="preserve">S0919</t>
  </si>
  <si>
    <t xml:space="preserve">Termos de seguradora</t>
  </si>
  <si>
    <t xml:space="preserve">Laudo para seguro condominial</t>
  </si>
  <si>
    <t xml:space="preserve">Seguradora</t>
  </si>
  <si>
    <t xml:space="preserve">Busca genérica por tipo de apólice: o cliente sabe que tem seguro e precisa de um documento técnico para acionar a cobertura.</t>
  </si>
  <si>
    <t xml:space="preserve">/laudos-tecnicos/laudo-para-seguro-condominial/</t>
  </si>
  <si>
    <t xml:space="preserve">S0920</t>
  </si>
  <si>
    <t xml:space="preserve">Laudo para seguro residencial</t>
  </si>
  <si>
    <t xml:space="preserve">/laudos-tecnicos/laudo-para-seguro-residencial/</t>
  </si>
  <si>
    <t xml:space="preserve">S0921</t>
  </si>
  <si>
    <t xml:space="preserve">Laudo para seguro empresarial</t>
  </si>
  <si>
    <t xml:space="preserve">/laudos-tecnicos/laudo-para-seguro-empresarial/</t>
  </si>
  <si>
    <t xml:space="preserve">S0922</t>
  </si>
  <si>
    <t xml:space="preserve">Laudo para seguro de riscos de engenharia</t>
  </si>
  <si>
    <t xml:space="preserve">Obra com dano coberto por apólice de engenharia; precisa de laudo que caracterize o evento e o custo de reparo.</t>
  </si>
  <si>
    <t xml:space="preserve">/laudos-tecnicos/laudo-sinistro/#seguro-riscos-engenharia</t>
  </si>
  <si>
    <t xml:space="preserve">S0923</t>
  </si>
  <si>
    <t xml:space="preserve">Laudo para seguro garantia de obra</t>
  </si>
  <si>
    <t xml:space="preserve">/laudos-tecnicos/laudo-sinistro/#seguro-garantia-obra</t>
  </si>
  <si>
    <t xml:space="preserve">S0924</t>
  </si>
  <si>
    <t xml:space="preserve">Laudo para seguro de responsabilidade civil de obra</t>
  </si>
  <si>
    <t xml:space="preserve">/laudos-tecnicos/laudo-sinistro/#seguro-responsabilidade-civil-obra</t>
  </si>
  <si>
    <t xml:space="preserve">S0925</t>
  </si>
  <si>
    <t xml:space="preserve">Termos de banco</t>
  </si>
  <si>
    <t xml:space="preserve">Avaliação de imóvel para home equity</t>
  </si>
  <si>
    <t xml:space="preserve">Banco</t>
  </si>
  <si>
    <t xml:space="preserve">Termo genérico de operação financeira: o cliente precisa de laudo aceito para crédito com garantia de imóvel ou financiamento de obra.</t>
  </si>
  <si>
    <t xml:space="preserve">/pericias-e-avaliacoes/avaliacao-para-garantia-bancaria/#home-equity</t>
  </si>
  <si>
    <t xml:space="preserve">S0926</t>
  </si>
  <si>
    <t xml:space="preserve">Avaliação de imóvel para financiamento imobiliário</t>
  </si>
  <si>
    <t xml:space="preserve">/pericias-e-avaliacoes/avaliacao-para-garantia-bancaria/#financiamento-imobiliario</t>
  </si>
  <si>
    <t xml:space="preserve">S0927</t>
  </si>
  <si>
    <t xml:space="preserve">Avaliação de imóvel para financiamento de construção</t>
  </si>
  <si>
    <t xml:space="preserve">/pericias-e-avaliacoes/avaliacao-para-garantia-bancaria/#financiamento-construcao</t>
  </si>
  <si>
    <t xml:space="preserve">S0928</t>
  </si>
  <si>
    <t xml:space="preserve">Avaliação de imóvel para plano empresário</t>
  </si>
  <si>
    <t xml:space="preserve">/pericias-e-avaliacoes/avaliacao-para-garantia-bancaria/#plano-empresario</t>
  </si>
  <si>
    <t xml:space="preserve">S0929</t>
  </si>
  <si>
    <t xml:space="preserve">Termos de norma técnica</t>
  </si>
  <si>
    <t xml:space="preserve">NBR 16280 reforma em condomínio</t>
  </si>
  <si>
    <t xml:space="preserve">Norma técnica</t>
  </si>
  <si>
    <t xml:space="preserve">Síndico ou morador que precisa entender o que a NBR 16280 exige antes, durante e depois de uma reforma.</t>
  </si>
  <si>
    <t xml:space="preserve">Síndico Profissional, Administradora, Patrimonialista Ocupado</t>
  </si>
  <si>
    <t xml:space="preserve">/guias/nbr-16280-reforma-em-condominio/</t>
  </si>
  <si>
    <t xml:space="preserve">S0930</t>
  </si>
  <si>
    <t xml:space="preserve">NBR 15575 norma de desempenho</t>
  </si>
  <si>
    <t xml:space="preserve">Quer entender prazos de garantia e requisitos da NBR 15575 para cobrar construtora ou projetar corretamente.</t>
  </si>
  <si>
    <t xml:space="preserve">Recebedor de Chaves, Advogado, Incorporador Enxuto</t>
  </si>
  <si>
    <t xml:space="preserve">/blog/nbr-15575-norma-desempenho/</t>
  </si>
  <si>
    <t xml:space="preserve">S0931</t>
  </si>
  <si>
    <t xml:space="preserve">NBR 16747 inspeção predial</t>
  </si>
  <si>
    <t xml:space="preserve">Síndico ou gestor pesquisando como a NBR 16747 define níveis e conteúdo da inspeção predial.</t>
  </si>
  <si>
    <t xml:space="preserve">/blog/nbr-16747-inspecao-predial/</t>
  </si>
  <si>
    <t xml:space="preserve">S0932</t>
  </si>
  <si>
    <t xml:space="preserve">NBR 5674 manutenção predial</t>
  </si>
  <si>
    <t xml:space="preserve">Quer montar ou cobrar um plano de manutenção conforme a NBR 5674, muitas vezes por exigência de seguradora.</t>
  </si>
  <si>
    <t xml:space="preserve">/blog/nbr-5674-manutencao-predial/</t>
  </si>
  <si>
    <t xml:space="preserve">S0933</t>
  </si>
  <si>
    <t xml:space="preserve">NBR 9050 acessibilidade</t>
  </si>
  <si>
    <t xml:space="preserve">Precisa adequar o espaço à NBR 9050 e quer entender exigências antes de contratar.</t>
  </si>
  <si>
    <t xml:space="preserve">Família que Adapta a Casa, Dono que Não Pode Parar</t>
  </si>
  <si>
    <t xml:space="preserve">/blog/nbr-9050-acessibilidade/</t>
  </si>
  <si>
    <t xml:space="preserve">S0934</t>
  </si>
  <si>
    <t xml:space="preserve">NBR 14653 avaliação de imóveis</t>
  </si>
  <si>
    <t xml:space="preserve">Quer saber se um laudo de avaliação segue a NBR 14653 e será aceito por banco, juiz ou cartório.</t>
  </si>
  <si>
    <t xml:space="preserve">Advogado, Herdeiros</t>
  </si>
  <si>
    <t xml:space="preserve">/blog/nbr-14653-avaliacao-imoveis/</t>
  </si>
  <si>
    <t xml:space="preserve">Marca / Operadora</t>
  </si>
  <si>
    <t xml:space="preserve">Categoria</t>
  </si>
  <si>
    <t xml:space="preserve">M0001</t>
  </si>
  <si>
    <t xml:space="preserve">Todas as marcas</t>
  </si>
  <si>
    <t xml:space="preserve">Visitante que chega pelo nome de um fabricante, equipamento ou sistema construtivo. A página pilar organiza as marcas por categoria e mostra, para cada uma, o que a Vaff projeta, executa, instala ou avalia.</t>
  </si>
  <si>
    <t xml:space="preserve">Não sugerir parceria, credenciamento ou vínculo; não usar logotipo. Validar texto com jurídico.</t>
  </si>
  <si>
    <t xml:space="preserve">M0002</t>
  </si>
  <si>
    <t xml:space="preserve">Todas da categoria</t>
  </si>
  <si>
    <t xml:space="preserve">Categoria de marca</t>
  </si>
  <si>
    <t xml:space="preserve">Quem busca por tubos e conexões está escolhendo ou já escolheu um produto e quer saber quem projeta, executa ou avalia com ele. A página lista as marcas da categoria e os serviços ligados a cada uma.</t>
  </si>
  <si>
    <t xml:space="preserve">M0003</t>
  </si>
  <si>
    <t xml:space="preserve">Tigre</t>
  </si>
  <si>
    <t xml:space="preserve">Tubos e conexões Tigre</t>
  </si>
  <si>
    <t xml:space="preserve">Marca de material</t>
  </si>
  <si>
    <t xml:space="preserve">Pessoa que tem, comprou ou está avaliando produtos Tigre e procura quem projete, execute, instale ou avalie com essa marca. Busca segurança técnica e preservação da garantia do fabricante.</t>
  </si>
  <si>
    <t xml:space="preserve">/marcas-e-sistemas/tubos-e-conexoes/tigre/</t>
  </si>
  <si>
    <t xml:space="preserve">M0004</t>
  </si>
  <si>
    <t xml:space="preserve">Projeto hidrossanitário com Tigre</t>
  </si>
  <si>
    <t xml:space="preserve">Quer um projeto de água e esgoto especificado com o sistema Tigre, geralmente por indicação do arquiteto ou por padronização da obra.</t>
  </si>
  <si>
    <t xml:space="preserve">/marcas-e-sistemas/tubos-e-conexoes/tigre/projeto-hidrossanitario/</t>
  </si>
  <si>
    <t xml:space="preserve">Linkar para o serviço Projeto hidrossanitário em /projetos/projeto-hidrossanitario/. Não sugerir parceria, credenciamento ou vínculo; não usar logotipo. Validar texto com jurídico.</t>
  </si>
  <si>
    <t xml:space="preserve">M0005</t>
  </si>
  <si>
    <t xml:space="preserve">Instalação hidráulica com Tigre</t>
  </si>
  <si>
    <t xml:space="preserve">Vai executar ou refazer a rede hidráulica com Tigre e quer instalação que preserve a garantia do fabricante.</t>
  </si>
  <si>
    <t xml:space="preserve">/marcas-e-sistemas/tubos-e-conexoes/tigre/#instalacao-hidraulica</t>
  </si>
  <si>
    <t xml:space="preserve">Linkar para o serviço Instalação hidráulica em /instalacoes/instalacao-hidraulica/. Não sugerir parceria, credenciamento ou vínculo; não usar logotipo. Validar texto com jurídico.</t>
  </si>
  <si>
    <t xml:space="preserve">M0006</t>
  </si>
  <si>
    <t xml:space="preserve">Troca de prumada com Tigre</t>
  </si>
  <si>
    <t xml:space="preserve">Condomínio ou proprietário com prumada antiga que quer substituir por tubulação Tigre com o mínimo de quebra.</t>
  </si>
  <si>
    <t xml:space="preserve">/marcas-e-sistemas/tubos-e-conexoes/tigre/#troca-prumada</t>
  </si>
  <si>
    <t xml:space="preserve">Linkar para o serviço Troca de prumada em /instalacoes/troca-prumada/. Não sugerir parceria, credenciamento ou vínculo; não usar logotipo. Validar texto com jurídico.</t>
  </si>
  <si>
    <t xml:space="preserve">M0007</t>
  </si>
  <si>
    <t xml:space="preserve">Laudo de vazamento em tubulação Tigre</t>
  </si>
  <si>
    <t xml:space="preserve">Tem vazamento em tubulação Tigre e precisa saber se é defeito do produto ou da instalação para acionar garantia ou cobrar o executor.</t>
  </si>
  <si>
    <t xml:space="preserve">/marcas-e-sistemas/tubos-e-conexoes/tigre/#laudo-vazamento-em-tubulacao</t>
  </si>
  <si>
    <t xml:space="preserve">Linkar para o serviço Laudo de instalações hidráulicas em /laudos-tecnicos/laudo-instalacoes-hidraulicas/. Não sugerir parceria, credenciamento ou vínculo; não usar logotipo. Validar texto com jurídico.</t>
  </si>
  <si>
    <t xml:space="preserve">M0008</t>
  </si>
  <si>
    <t xml:space="preserve">Amanco</t>
  </si>
  <si>
    <t xml:space="preserve">Tubos e conexões Amanco</t>
  </si>
  <si>
    <t xml:space="preserve">Pessoa que tem, comprou ou está avaliando produtos Amanco e procura quem projete, execute, instale ou avalie com essa marca. Busca segurança técnica e preservação da garantia do fabricante.</t>
  </si>
  <si>
    <t xml:space="preserve">/marcas-e-sistemas/tubos-e-conexoes/amanco/</t>
  </si>
  <si>
    <t xml:space="preserve">M0009</t>
  </si>
  <si>
    <t xml:space="preserve">Projeto hidrossanitário com Amanco</t>
  </si>
  <si>
    <t xml:space="preserve">Quer um projeto de água e esgoto especificado com o sistema Amanco, geralmente por indicação do arquiteto ou por padronização da obra.</t>
  </si>
  <si>
    <t xml:space="preserve">/marcas-e-sistemas/tubos-e-conexoes/amanco/projeto-hidrossanitario/</t>
  </si>
  <si>
    <t xml:space="preserve">M0010</t>
  </si>
  <si>
    <t xml:space="preserve">Instalação hidráulica com Amanco</t>
  </si>
  <si>
    <t xml:space="preserve">Vai executar ou refazer a rede hidráulica com Amanco e quer instalação que preserve a garantia do fabricante.</t>
  </si>
  <si>
    <t xml:space="preserve">/marcas-e-sistemas/tubos-e-conexoes/amanco/#instalacao-hidraulica</t>
  </si>
  <si>
    <t xml:space="preserve">M0011</t>
  </si>
  <si>
    <t xml:space="preserve">Troca de prumada com Amanco</t>
  </si>
  <si>
    <t xml:space="preserve">Condomínio ou proprietário com prumada antiga que quer substituir por tubulação Amanco com o mínimo de quebra.</t>
  </si>
  <si>
    <t xml:space="preserve">/marcas-e-sistemas/tubos-e-conexoes/amanco/#troca-prumada</t>
  </si>
  <si>
    <t xml:space="preserve">M0012</t>
  </si>
  <si>
    <t xml:space="preserve">Laudo de vazamento em tubulação Amanco</t>
  </si>
  <si>
    <t xml:space="preserve">Tem vazamento em tubulação Amanco e precisa saber se é defeito do produto ou da instalação para acionar garantia ou cobrar o executor.</t>
  </si>
  <si>
    <t xml:space="preserve">/marcas-e-sistemas/tubos-e-conexoes/amanco/#laudo-vazamento-em-tubulacao</t>
  </si>
  <si>
    <t xml:space="preserve">M0013</t>
  </si>
  <si>
    <t xml:space="preserve">Krona</t>
  </si>
  <si>
    <t xml:space="preserve">Tubos e conexões Krona</t>
  </si>
  <si>
    <t xml:space="preserve">Pessoa que tem, comprou ou está avaliando produtos Krona e procura quem projete, execute, instale ou avalie com essa marca. Busca segurança técnica e preservação da garantia do fabricante.</t>
  </si>
  <si>
    <t xml:space="preserve">/marcas-e-sistemas/tubos-e-conexoes/krona/</t>
  </si>
  <si>
    <t xml:space="preserve">M0014</t>
  </si>
  <si>
    <t xml:space="preserve">Projeto hidrossanitário com Krona</t>
  </si>
  <si>
    <t xml:space="preserve">Quer um projeto de água e esgoto especificado com o sistema Krona, geralmente por indicação do arquiteto ou por padronização da obra.</t>
  </si>
  <si>
    <t xml:space="preserve">/marcas-e-sistemas/tubos-e-conexoes/krona/projeto-hidrossanitario/</t>
  </si>
  <si>
    <t xml:space="preserve">M0015</t>
  </si>
  <si>
    <t xml:space="preserve">Instalação hidráulica com Krona</t>
  </si>
  <si>
    <t xml:space="preserve">Vai executar ou refazer a rede hidráulica com Krona e quer instalação que preserve a garantia do fabricante.</t>
  </si>
  <si>
    <t xml:space="preserve">/marcas-e-sistemas/tubos-e-conexoes/krona/#instalacao-hidraulica</t>
  </si>
  <si>
    <t xml:space="preserve">M0016</t>
  </si>
  <si>
    <t xml:space="preserve">Troca de prumada com Krona</t>
  </si>
  <si>
    <t xml:space="preserve">Condomínio ou proprietário com prumada antiga que quer substituir por tubulação Krona com o mínimo de quebra.</t>
  </si>
  <si>
    <t xml:space="preserve">/marcas-e-sistemas/tubos-e-conexoes/krona/#troca-prumada</t>
  </si>
  <si>
    <t xml:space="preserve">M0017</t>
  </si>
  <si>
    <t xml:space="preserve">Laudo de vazamento em tubulação Krona</t>
  </si>
  <si>
    <t xml:space="preserve">Tem vazamento em tubulação Krona e precisa saber se é defeito do produto ou da instalação para acionar garantia ou cobrar o executor.</t>
  </si>
  <si>
    <t xml:space="preserve">/marcas-e-sistemas/tubos-e-conexoes/krona/#laudo-vazamento-em-tubulacao</t>
  </si>
  <si>
    <t xml:space="preserve">M0018</t>
  </si>
  <si>
    <t xml:space="preserve">Quem busca por cimento e concreto está escolhendo ou já escolheu um produto e quer saber quem projeta, executa ou avalia com ele. A página lista as marcas da categoria e os serviços ligados a cada uma.</t>
  </si>
  <si>
    <t xml:space="preserve">M0019</t>
  </si>
  <si>
    <t xml:space="preserve">Votorantim</t>
  </si>
  <si>
    <t xml:space="preserve">Cimento Votorantim</t>
  </si>
  <si>
    <t xml:space="preserve">Pessoa que tem, comprou ou está avaliando produtos Votorantim e procura quem projete, execute, instale ou avalie com essa marca. Busca segurança técnica e preservação da garantia do fabricante.</t>
  </si>
  <si>
    <t xml:space="preserve">/marcas-e-sistemas/cimento-e-concreto/votorantim/</t>
  </si>
  <si>
    <t xml:space="preserve">M0020</t>
  </si>
  <si>
    <t xml:space="preserve">Estrutura de concreto com cimento Votorantim</t>
  </si>
  <si>
    <t xml:space="preserve">Quer entender se o cimento Votorantim atende à especificação do projeto estrutural e como garantir a qualidade do concreto na obra.</t>
  </si>
  <si>
    <t xml:space="preserve">/marcas-e-sistemas/cimento-e-concreto/votorantim/#estrutura-concreto</t>
  </si>
  <si>
    <t xml:space="preserve">Linkar para o serviço Projeto estrutural em concreto armado em /projetos/projeto-estrutural-em-concreto-armado/. Não sugerir parceria, credenciamento ou vínculo; não usar logotipo. Validar texto com jurídico.</t>
  </si>
  <si>
    <t xml:space="preserve">M0021</t>
  </si>
  <si>
    <t xml:space="preserve">Laudo de resistência do concreto Votorantim</t>
  </si>
  <si>
    <t xml:space="preserve">Desconfia da resistência do concreto executado com cimento Votorantim e precisa de ensaio e laudo para comprovar.</t>
  </si>
  <si>
    <t xml:space="preserve">/marcas-e-sistemas/cimento-e-concreto/votorantim/laudo-resistencia-concreto/</t>
  </si>
  <si>
    <t xml:space="preserve">Linkar para o serviço Extração de testemunho de concreto em /vistorias-e-inspecoes/extracao-testemunho-concreto/. Não sugerir parceria, credenciamento ou vínculo; não usar logotipo. Validar texto com jurídico.</t>
  </si>
  <si>
    <t xml:space="preserve">M0022</t>
  </si>
  <si>
    <t xml:space="preserve">Recuperação de concreto com Votorantim</t>
  </si>
  <si>
    <t xml:space="preserve">Estrutura com patologia que precisa ser recuperada com produtos Votorantim especificados tecnicamente.</t>
  </si>
  <si>
    <t xml:space="preserve">/marcas-e-sistemas/cimento-e-concreto/votorantim/#recuperacao-concreto</t>
  </si>
  <si>
    <t xml:space="preserve">Linkar para o serviço Recuperação de concreto em /recuperacao-e-manutencao/recuperacao-concreto/. Não sugerir parceria, credenciamento ou vínculo; não usar logotipo. Validar texto com jurídico.</t>
  </si>
  <si>
    <t xml:space="preserve">M0023</t>
  </si>
  <si>
    <t xml:space="preserve">Itambé</t>
  </si>
  <si>
    <t xml:space="preserve">Cimento Itambé</t>
  </si>
  <si>
    <t xml:space="preserve">Pessoa que tem, comprou ou está avaliando produtos Itambé e procura quem projete, execute, instale ou avalie com essa marca. Busca segurança técnica e preservação da garantia do fabricante.</t>
  </si>
  <si>
    <t xml:space="preserve">/marcas-e-sistemas/cimento-e-concreto/itambe/</t>
  </si>
  <si>
    <t xml:space="preserve">M0024</t>
  </si>
  <si>
    <t xml:space="preserve">Estrutura de concreto com cimento Itambé</t>
  </si>
  <si>
    <t xml:space="preserve">Quer entender se o cimento Itambé atende à especificação do projeto estrutural e como garantir a qualidade do concreto na obra.</t>
  </si>
  <si>
    <t xml:space="preserve">/marcas-e-sistemas/cimento-e-concreto/itambe/#estrutura-concreto</t>
  </si>
  <si>
    <t xml:space="preserve">M0025</t>
  </si>
  <si>
    <t xml:space="preserve">Laudo de resistência do concreto Itambé</t>
  </si>
  <si>
    <t xml:space="preserve">Desconfia da resistência do concreto executado com cimento Itambé e precisa de ensaio e laudo para comprovar.</t>
  </si>
  <si>
    <t xml:space="preserve">/marcas-e-sistemas/cimento-e-concreto/itambe/laudo-resistencia-concreto/</t>
  </si>
  <si>
    <t xml:space="preserve">M0026</t>
  </si>
  <si>
    <t xml:space="preserve">Recuperação de concreto com Itambé</t>
  </si>
  <si>
    <t xml:space="preserve">Estrutura com patologia que precisa ser recuperada com produtos Itambé especificados tecnicamente.</t>
  </si>
  <si>
    <t xml:space="preserve">/marcas-e-sistemas/cimento-e-concreto/itambe/#recuperacao-concreto</t>
  </si>
  <si>
    <t xml:space="preserve">M0027</t>
  </si>
  <si>
    <t xml:space="preserve">InterCement</t>
  </si>
  <si>
    <t xml:space="preserve">Cimento InterCement</t>
  </si>
  <si>
    <t xml:space="preserve">Pessoa que tem, comprou ou está avaliando produtos InterCement e procura quem projete, execute, instale ou avalie com essa marca. Busca segurança técnica e preservação da garantia do fabricante.</t>
  </si>
  <si>
    <t xml:space="preserve">/marcas-e-sistemas/cimento-e-concreto/intercement/</t>
  </si>
  <si>
    <t xml:space="preserve">M0028</t>
  </si>
  <si>
    <t xml:space="preserve">Estrutura de concreto com cimento InterCement</t>
  </si>
  <si>
    <t xml:space="preserve">Quer entender se o cimento InterCement atende à especificação do projeto estrutural e como garantir a qualidade do concreto na obra.</t>
  </si>
  <si>
    <t xml:space="preserve">/marcas-e-sistemas/cimento-e-concreto/intercement/#estrutura-concreto</t>
  </si>
  <si>
    <t xml:space="preserve">M0029</t>
  </si>
  <si>
    <t xml:space="preserve">Laudo de resistência do concreto InterCement</t>
  </si>
  <si>
    <t xml:space="preserve">Desconfia da resistência do concreto executado com cimento InterCement e precisa de ensaio e laudo para comprovar.</t>
  </si>
  <si>
    <t xml:space="preserve">/marcas-e-sistemas/cimento-e-concreto/intercement/laudo-resistencia-concreto/</t>
  </si>
  <si>
    <t xml:space="preserve">M0030</t>
  </si>
  <si>
    <t xml:space="preserve">Recuperação de concreto com InterCement</t>
  </si>
  <si>
    <t xml:space="preserve">Estrutura com patologia que precisa ser recuperada com produtos InterCement especificados tecnicamente.</t>
  </si>
  <si>
    <t xml:space="preserve">/marcas-e-sistemas/cimento-e-concreto/intercement/#recuperacao-concreto</t>
  </si>
  <si>
    <t xml:space="preserve">M0031</t>
  </si>
  <si>
    <t xml:space="preserve">CSN Cimentos</t>
  </si>
  <si>
    <t xml:space="preserve">Cimento CSN Cimentos</t>
  </si>
  <si>
    <t xml:space="preserve">Pessoa que tem, comprou ou está avaliando produtos CSN Cimentos e procura quem projete, execute, instale ou avalie com essa marca. Busca segurança técnica e preservação da garantia do fabricante.</t>
  </si>
  <si>
    <t xml:space="preserve">/marcas-e-sistemas/cimento-e-concreto/csn-cimentos/</t>
  </si>
  <si>
    <t xml:space="preserve">M0032</t>
  </si>
  <si>
    <t xml:space="preserve">Estrutura de concreto com cimento CSN Cimentos</t>
  </si>
  <si>
    <t xml:space="preserve">Quer entender se o cimento CSN Cimentos atende à especificação do projeto estrutural e como garantir a qualidade do concreto na obra.</t>
  </si>
  <si>
    <t xml:space="preserve">/marcas-e-sistemas/cimento-e-concreto/csn-cimentos/#estrutura-concreto</t>
  </si>
  <si>
    <t xml:space="preserve">M0033</t>
  </si>
  <si>
    <t xml:space="preserve">Laudo de resistência do concreto CSN Cimentos</t>
  </si>
  <si>
    <t xml:space="preserve">Desconfia da resistência do concreto executado com cimento CSN Cimentos e precisa de ensaio e laudo para comprovar.</t>
  </si>
  <si>
    <t xml:space="preserve">/marcas-e-sistemas/cimento-e-concreto/csn-cimentos/laudo-resistencia-concreto/</t>
  </si>
  <si>
    <t xml:space="preserve">M0034</t>
  </si>
  <si>
    <t xml:space="preserve">Recuperação de concreto com CSN Cimentos</t>
  </si>
  <si>
    <t xml:space="preserve">Estrutura com patologia que precisa ser recuperada com produtos CSN Cimentos especificados tecnicamente.</t>
  </si>
  <si>
    <t xml:space="preserve">/marcas-e-sistemas/cimento-e-concreto/csn-cimentos/#recuperacao-concreto</t>
  </si>
  <si>
    <t xml:space="preserve">M0035</t>
  </si>
  <si>
    <t xml:space="preserve">Quem busca por aço para construção está escolhendo ou já escolheu um produto e quer saber quem projeta, executa ou avalia com ele. A página lista as marcas da categoria e os serviços ligados a cada uma.</t>
  </si>
  <si>
    <t xml:space="preserve">M0036</t>
  </si>
  <si>
    <t xml:space="preserve">Gerdau</t>
  </si>
  <si>
    <t xml:space="preserve">Aço Gerdau</t>
  </si>
  <si>
    <t xml:space="preserve">Pessoa que tem, comprou ou está avaliando produtos Gerdau e procura quem projete, execute, instale ou avalie com essa marca. Busca segurança técnica e preservação da garantia do fabricante.</t>
  </si>
  <si>
    <t xml:space="preserve">/marcas-e-sistemas/aco-para-construcao/gerdau/</t>
  </si>
  <si>
    <t xml:space="preserve">M0037</t>
  </si>
  <si>
    <t xml:space="preserve">Projeto estrutural com aço Gerdau</t>
  </si>
  <si>
    <t xml:space="preserve">Quer projeto estrutural especificado com aço Gerdau, com otimização de consumo sem perder segurança.</t>
  </si>
  <si>
    <t xml:space="preserve">/marcas-e-sistemas/aco-para-construcao/gerdau/#projeto-estrutural</t>
  </si>
  <si>
    <t xml:space="preserve">Linkar para o serviço Projeto estrutural em /projetos/projeto-estrutural/. Não sugerir parceria, credenciamento ou vínculo; não usar logotipo. Validar texto com jurídico.</t>
  </si>
  <si>
    <t xml:space="preserve">M0038</t>
  </si>
  <si>
    <t xml:space="preserve">Estrutura metálica com aço Gerdau</t>
  </si>
  <si>
    <t xml:space="preserve">Avalia construir em estrutura metálica com perfis e aço Gerdau e procura quem projete e execute.</t>
  </si>
  <si>
    <t xml:space="preserve">/marcas-e-sistemas/aco-para-construcao/gerdau/estrutura-metalica/</t>
  </si>
  <si>
    <t xml:space="preserve">Linkar para o serviço Construção de galpão em estrutura metálica em /construcao/construcao-galpao-em-estrutura-metalica/. Não sugerir parceria, credenciamento ou vínculo; não usar logotipo. Validar texto com jurídico.</t>
  </si>
  <si>
    <t xml:space="preserve">M0039</t>
  </si>
  <si>
    <t xml:space="preserve">Laudo de corrosão em armadura Gerdau</t>
  </si>
  <si>
    <t xml:space="preserve">Encontrou ferragem exposta ou corroída e quer diagnóstico e solução técnica.</t>
  </si>
  <si>
    <t xml:space="preserve">/marcas-e-sistemas/aco-para-construcao/gerdau/#laudo-corrosao-em-armadura</t>
  </si>
  <si>
    <t xml:space="preserve">Linkar para o serviço Laudo de corrosão de armadura em /laudos-tecnicos/laudo-corrosao-armadura/. Não sugerir parceria, credenciamento ou vínculo; não usar logotipo. Validar texto com jurídico.</t>
  </si>
  <si>
    <t xml:space="preserve">M0040</t>
  </si>
  <si>
    <t xml:space="preserve">Reforço estrutural com aço Gerdau</t>
  </si>
  <si>
    <t xml:space="preserve">Precisa reforçar viga, pilar ou laje com estrutura metálica em aço Gerdau.</t>
  </si>
  <si>
    <t xml:space="preserve">/marcas-e-sistemas/aco-para-construcao/gerdau/#reforco-estrutural</t>
  </si>
  <si>
    <t xml:space="preserve">Linkar para o serviço Reforço com estrutura metálica em /recuperacao-e-manutencao/reforco-com-estrutura-metalica/. Não sugerir parceria, credenciamento ou vínculo; não usar logotipo. Validar texto com jurídico.</t>
  </si>
  <si>
    <t xml:space="preserve">M0041</t>
  </si>
  <si>
    <t xml:space="preserve">ArcelorMittal</t>
  </si>
  <si>
    <t xml:space="preserve">Aço ArcelorMittal</t>
  </si>
  <si>
    <t xml:space="preserve">Pessoa que tem, comprou ou está avaliando produtos ArcelorMittal e procura quem projete, execute, instale ou avalie com essa marca. Busca segurança técnica e preservação da garantia do fabricante.</t>
  </si>
  <si>
    <t xml:space="preserve">/marcas-e-sistemas/aco-para-construcao/arcelormittal/</t>
  </si>
  <si>
    <t xml:space="preserve">M0042</t>
  </si>
  <si>
    <t xml:space="preserve">Projeto estrutural com aço ArcelorMittal</t>
  </si>
  <si>
    <t xml:space="preserve">Quer projeto estrutural especificado com aço ArcelorMittal, com otimização de consumo sem perder segurança.</t>
  </si>
  <si>
    <t xml:space="preserve">/marcas-e-sistemas/aco-para-construcao/arcelormittal/#projeto-estrutural</t>
  </si>
  <si>
    <t xml:space="preserve">M0043</t>
  </si>
  <si>
    <t xml:space="preserve">Estrutura metálica com aço ArcelorMittal</t>
  </si>
  <si>
    <t xml:space="preserve">Avalia construir em estrutura metálica com perfis e aço ArcelorMittal e procura quem projete e execute.</t>
  </si>
  <si>
    <t xml:space="preserve">/marcas-e-sistemas/aco-para-construcao/arcelormittal/estrutura-metalica/</t>
  </si>
  <si>
    <t xml:space="preserve">M0044</t>
  </si>
  <si>
    <t xml:space="preserve">Laudo de corrosão em armadura ArcelorMittal</t>
  </si>
  <si>
    <t xml:space="preserve">/marcas-e-sistemas/aco-para-construcao/arcelormittal/#laudo-corrosao-em-armadura</t>
  </si>
  <si>
    <t xml:space="preserve">M0045</t>
  </si>
  <si>
    <t xml:space="preserve">Reforço estrutural com aço ArcelorMittal</t>
  </si>
  <si>
    <t xml:space="preserve">Precisa reforçar viga, pilar ou laje com estrutura metálica em aço ArcelorMittal.</t>
  </si>
  <si>
    <t xml:space="preserve">/marcas-e-sistemas/aco-para-construcao/arcelormittal/#reforco-estrutural</t>
  </si>
  <si>
    <t xml:space="preserve">M0046</t>
  </si>
  <si>
    <t xml:space="preserve">CSN</t>
  </si>
  <si>
    <t xml:space="preserve">Aço CSN</t>
  </si>
  <si>
    <t xml:space="preserve">Pessoa que tem, comprou ou está avaliando produtos CSN e procura quem projete, execute, instale ou avalie com essa marca. Busca segurança técnica e preservação da garantia do fabricante.</t>
  </si>
  <si>
    <t xml:space="preserve">/marcas-e-sistemas/aco-para-construcao/csn/</t>
  </si>
  <si>
    <t xml:space="preserve">M0047</t>
  </si>
  <si>
    <t xml:space="preserve">Projeto estrutural com aço CSN</t>
  </si>
  <si>
    <t xml:space="preserve">Quer projeto estrutural especificado com aço CSN, com otimização de consumo sem perder segurança.</t>
  </si>
  <si>
    <t xml:space="preserve">/marcas-e-sistemas/aco-para-construcao/csn/#projeto-estrutural</t>
  </si>
  <si>
    <t xml:space="preserve">M0048</t>
  </si>
  <si>
    <t xml:space="preserve">Estrutura metálica com aço CSN</t>
  </si>
  <si>
    <t xml:space="preserve">Avalia construir em estrutura metálica com perfis e aço CSN e procura quem projete e execute.</t>
  </si>
  <si>
    <t xml:space="preserve">/marcas-e-sistemas/aco-para-construcao/csn/estrutura-metalica/</t>
  </si>
  <si>
    <t xml:space="preserve">M0049</t>
  </si>
  <si>
    <t xml:space="preserve">Laudo de corrosão em armadura CSN</t>
  </si>
  <si>
    <t xml:space="preserve">/marcas-e-sistemas/aco-para-construcao/csn/#laudo-corrosao-em-armadura</t>
  </si>
  <si>
    <t xml:space="preserve">M0050</t>
  </si>
  <si>
    <t xml:space="preserve">Reforço estrutural com aço CSN</t>
  </si>
  <si>
    <t xml:space="preserve">Precisa reforçar viga, pilar ou laje com estrutura metálica em aço CSN.</t>
  </si>
  <si>
    <t xml:space="preserve">/marcas-e-sistemas/aco-para-construcao/csn/#reforco-estrutural</t>
  </si>
  <si>
    <t xml:space="preserve">M0051</t>
  </si>
  <si>
    <t xml:space="preserve">Quem busca por revestimentos cerâmicos está escolhendo ou já escolheu um produto e quer saber quem projeta, executa ou avalia com ele. A página lista as marcas da categoria e os serviços ligados a cada uma.</t>
  </si>
  <si>
    <t xml:space="preserve">M0052</t>
  </si>
  <si>
    <t xml:space="preserve">Portobello</t>
  </si>
  <si>
    <t xml:space="preserve">Porcelanato Portobello</t>
  </si>
  <si>
    <t xml:space="preserve">Pessoa que tem, comprou ou está avaliando produtos Portobello e procura quem projete, execute, instale ou avalie com essa marca. Busca segurança técnica e preservação da garantia do fabricante.</t>
  </si>
  <si>
    <t xml:space="preserve">/marcas-e-sistemas/revestimentos-ceramicos/portobello/</t>
  </si>
  <si>
    <t xml:space="preserve">M0053</t>
  </si>
  <si>
    <t xml:space="preserve">Assentamento de porcelanato Portobello</t>
  </si>
  <si>
    <t xml:space="preserve">Comprou porcelanato Portobello, muitas vezes de grande formato, e quer assentamento perfeito que não comprometa a garantia.</t>
  </si>
  <si>
    <t xml:space="preserve">/marcas-e-sistemas/revestimentos-ceramicos/portobello/assentamento-porcelanato/</t>
  </si>
  <si>
    <t xml:space="preserve">Linkar para o serviço Assentamento de porcelanato em /reformas/assentamento-porcelanato/. Não sugerir parceria, credenciamento ou vínculo; não usar logotipo. Validar texto com jurídico.</t>
  </si>
  <si>
    <t xml:space="preserve">M0054</t>
  </si>
  <si>
    <t xml:space="preserve">Laudo de descolamento de porcelanato Portobello</t>
  </si>
  <si>
    <t xml:space="preserve">Peças Portobello soltando, trincando ou com som oco; quer saber se é defeito do produto ou do assentamento para acionar a garantia ou cobrar o executor. A janela de férias escolares define o prazo.</t>
  </si>
  <si>
    <t xml:space="preserve">/marcas-e-sistemas/revestimentos-ceramicos/portobello/laudo-descolamento-porcelanato/</t>
  </si>
  <si>
    <t xml:space="preserve">Linkar para o serviço Laudo de desplacamento cerâmico em /laudos-tecnicos/laudo-desplacamento-ceramico/. Não sugerir parceria, credenciamento ou vínculo; não usar logotipo. Validar texto com jurídico.</t>
  </si>
  <si>
    <t xml:space="preserve">M0055</t>
  </si>
  <si>
    <t xml:space="preserve">Reforma com porcelanato Portobello</t>
  </si>
  <si>
    <t xml:space="preserve">Está planejando reforma de alto padrão com revestimentos Portobello e busca quem execute com acabamento à altura.</t>
  </si>
  <si>
    <t xml:space="preserve">/marcas-e-sistemas/revestimentos-ceramicos/portobello/#reforma-com-porcelanato</t>
  </si>
  <si>
    <t xml:space="preserve">Linkar para o serviço Reforma de apartamento de alto padrão em /reformas/reforma-apartamento-alto-padrao/. Não sugerir parceria, credenciamento ou vínculo; não usar logotipo. Validar texto com jurídico.</t>
  </si>
  <si>
    <t xml:space="preserve">M0056</t>
  </si>
  <si>
    <t xml:space="preserve">Revestimento de fachada Portobello</t>
  </si>
  <si>
    <t xml:space="preserve">Condomínio ou proprietário avaliando revestir ou trocar a fachada com cerâmica Portobello.</t>
  </si>
  <si>
    <t xml:space="preserve">/marcas-e-sistemas/revestimentos-ceramicos/portobello/#revestimento-fachada</t>
  </si>
  <si>
    <t xml:space="preserve">Linkar para o serviço Troca de revestimento cerâmico de fachada em /recuperacao-e-manutencao/troca-revestimento-ceramico-fachada/. Não sugerir parceria, credenciamento ou vínculo; não usar logotipo. Validar texto com jurídico.</t>
  </si>
  <si>
    <t xml:space="preserve">M0057</t>
  </si>
  <si>
    <t xml:space="preserve">Eliane</t>
  </si>
  <si>
    <t xml:space="preserve">Porcelanato Eliane</t>
  </si>
  <si>
    <t xml:space="preserve">Pessoa que tem, comprou ou está avaliando produtos Eliane e procura quem projete, execute, instale ou avalie com essa marca. Busca segurança técnica e preservação da garantia do fabricante.</t>
  </si>
  <si>
    <t xml:space="preserve">/marcas-e-sistemas/revestimentos-ceramicos/eliane/</t>
  </si>
  <si>
    <t xml:space="preserve">M0058</t>
  </si>
  <si>
    <t xml:space="preserve">Assentamento de porcelanato Eliane</t>
  </si>
  <si>
    <t xml:space="preserve">Comprou porcelanato Eliane, muitas vezes de grande formato, e quer assentamento perfeito que não comprometa a garantia.</t>
  </si>
  <si>
    <t xml:space="preserve">/marcas-e-sistemas/revestimentos-ceramicos/eliane/assentamento-porcelanato/</t>
  </si>
  <si>
    <t xml:space="preserve">M0059</t>
  </si>
  <si>
    <t xml:space="preserve">Laudo de descolamento de porcelanato Eliane</t>
  </si>
  <si>
    <t xml:space="preserve">Peças Eliane soltando, trincando ou com som oco; quer saber se é defeito do produto ou do assentamento para acionar a garantia ou cobrar o executor. A janela de férias escolares define o prazo.</t>
  </si>
  <si>
    <t xml:space="preserve">/marcas-e-sistemas/revestimentos-ceramicos/eliane/laudo-descolamento-porcelanato/</t>
  </si>
  <si>
    <t xml:space="preserve">M0060</t>
  </si>
  <si>
    <t xml:space="preserve">Reforma com porcelanato Eliane</t>
  </si>
  <si>
    <t xml:space="preserve">Está planejando reforma de alto padrão com revestimentos Eliane e busca quem execute com acabamento à altura.</t>
  </si>
  <si>
    <t xml:space="preserve">/marcas-e-sistemas/revestimentos-ceramicos/eliane/#reforma-com-porcelanato</t>
  </si>
  <si>
    <t xml:space="preserve">M0061</t>
  </si>
  <si>
    <t xml:space="preserve">Revestimento de fachada Eliane</t>
  </si>
  <si>
    <t xml:space="preserve">Condomínio ou proprietário avaliando revestir ou trocar a fachada com cerâmica Eliane.</t>
  </si>
  <si>
    <t xml:space="preserve">/marcas-e-sistemas/revestimentos-ceramicos/eliane/#revestimento-fachada</t>
  </si>
  <si>
    <t xml:space="preserve">M0062</t>
  </si>
  <si>
    <t xml:space="preserve">Portinari</t>
  </si>
  <si>
    <t xml:space="preserve">Porcelanato Portinari</t>
  </si>
  <si>
    <t xml:space="preserve">Pessoa que tem, comprou ou está avaliando produtos Portinari e procura quem projete, execute, instale ou avalie com essa marca. Busca segurança técnica e preservação da garantia do fabricante.</t>
  </si>
  <si>
    <t xml:space="preserve">/marcas-e-sistemas/revestimentos-ceramicos/portinari/</t>
  </si>
  <si>
    <t xml:space="preserve">M0063</t>
  </si>
  <si>
    <t xml:space="preserve">Assentamento de porcelanato Portinari</t>
  </si>
  <si>
    <t xml:space="preserve">Comprou porcelanato Portinari, muitas vezes de grande formato, e quer assentamento perfeito que não comprometa a garantia.</t>
  </si>
  <si>
    <t xml:space="preserve">/marcas-e-sistemas/revestimentos-ceramicos/portinari/assentamento-porcelanato/</t>
  </si>
  <si>
    <t xml:space="preserve">M0064</t>
  </si>
  <si>
    <t xml:space="preserve">Laudo de descolamento de porcelanato Portinari</t>
  </si>
  <si>
    <t xml:space="preserve">Peças Portinari soltando, trincando ou com som oco; quer saber se é defeito do produto ou do assentamento para acionar a garantia ou cobrar o executor. A janela de férias escolares define o prazo.</t>
  </si>
  <si>
    <t xml:space="preserve">/marcas-e-sistemas/revestimentos-ceramicos/portinari/laudo-descolamento-porcelanato/</t>
  </si>
  <si>
    <t xml:space="preserve">M0065</t>
  </si>
  <si>
    <t xml:space="preserve">Reforma com porcelanato Portinari</t>
  </si>
  <si>
    <t xml:space="preserve">Está planejando reforma de alto padrão com revestimentos Portinari e busca quem execute com acabamento à altura.</t>
  </si>
  <si>
    <t xml:space="preserve">/marcas-e-sistemas/revestimentos-ceramicos/portinari/#reforma-com-porcelanato</t>
  </si>
  <si>
    <t xml:space="preserve">M0066</t>
  </si>
  <si>
    <t xml:space="preserve">Revestimento de fachada Portinari</t>
  </si>
  <si>
    <t xml:space="preserve">Condomínio ou proprietário avaliando revestir ou trocar a fachada com cerâmica Portinari.</t>
  </si>
  <si>
    <t xml:space="preserve">/marcas-e-sistemas/revestimentos-ceramicos/portinari/#revestimento-fachada</t>
  </si>
  <si>
    <t xml:space="preserve">M0067</t>
  </si>
  <si>
    <t xml:space="preserve">Decortiles</t>
  </si>
  <si>
    <t xml:space="preserve">Porcelanato Decortiles</t>
  </si>
  <si>
    <t xml:space="preserve">Pessoa que tem, comprou ou está avaliando produtos Decortiles e procura quem projete, execute, instale ou avalie com essa marca. Busca segurança técnica e preservação da garantia do fabricante.</t>
  </si>
  <si>
    <t xml:space="preserve">/marcas-e-sistemas/revestimentos-ceramicos/decortiles/</t>
  </si>
  <si>
    <t xml:space="preserve">M0068</t>
  </si>
  <si>
    <t xml:space="preserve">Assentamento de porcelanato Decortiles</t>
  </si>
  <si>
    <t xml:space="preserve">Comprou porcelanato Decortiles, muitas vezes de grande formato, e quer assentamento perfeito que não comprometa a garantia.</t>
  </si>
  <si>
    <t xml:space="preserve">/marcas-e-sistemas/revestimentos-ceramicos/decortiles/assentamento-porcelanato/</t>
  </si>
  <si>
    <t xml:space="preserve">M0069</t>
  </si>
  <si>
    <t xml:space="preserve">Laudo de descolamento de porcelanato Decortiles</t>
  </si>
  <si>
    <t xml:space="preserve">Peças Decortiles soltando, trincando ou com som oco; quer saber se é defeito do produto ou do assentamento para acionar a garantia ou cobrar o executor. A janela de férias escolares define o prazo.</t>
  </si>
  <si>
    <t xml:space="preserve">/marcas-e-sistemas/revestimentos-ceramicos/decortiles/laudo-descolamento-porcelanato/</t>
  </si>
  <si>
    <t xml:space="preserve">M0070</t>
  </si>
  <si>
    <t xml:space="preserve">Reforma com porcelanato Decortiles</t>
  </si>
  <si>
    <t xml:space="preserve">Está planejando reforma de alto padrão com revestimentos Decortiles e busca quem execute com acabamento à altura.</t>
  </si>
  <si>
    <t xml:space="preserve">/marcas-e-sistemas/revestimentos-ceramicos/decortiles/#reforma-com-porcelanato</t>
  </si>
  <si>
    <t xml:space="preserve">M0071</t>
  </si>
  <si>
    <t xml:space="preserve">Revestimento de fachada Decortiles</t>
  </si>
  <si>
    <t xml:space="preserve">Condomínio ou proprietário avaliando revestir ou trocar a fachada com cerâmica Decortiles.</t>
  </si>
  <si>
    <t xml:space="preserve">/marcas-e-sistemas/revestimentos-ceramicos/decortiles/#revestimento-fachada</t>
  </si>
  <si>
    <t xml:space="preserve">M0072</t>
  </si>
  <si>
    <t xml:space="preserve">Incepa</t>
  </si>
  <si>
    <t xml:space="preserve">Porcelanato Incepa</t>
  </si>
  <si>
    <t xml:space="preserve">Pessoa que tem, comprou ou está avaliando produtos Incepa e procura quem projete, execute, instale ou avalie com essa marca. Busca segurança técnica e preservação da garantia do fabricante.</t>
  </si>
  <si>
    <t xml:space="preserve">/marcas-e-sistemas/revestimentos-ceramicos/incepa/</t>
  </si>
  <si>
    <t xml:space="preserve">M0073</t>
  </si>
  <si>
    <t xml:space="preserve">Assentamento de porcelanato Incepa</t>
  </si>
  <si>
    <t xml:space="preserve">Comprou porcelanato Incepa, muitas vezes de grande formato, e quer assentamento perfeito que não comprometa a garantia.</t>
  </si>
  <si>
    <t xml:space="preserve">/marcas-e-sistemas/revestimentos-ceramicos/incepa/assentamento-porcelanato/</t>
  </si>
  <si>
    <t xml:space="preserve">M0074</t>
  </si>
  <si>
    <t xml:space="preserve">Laudo de descolamento de porcelanato Incepa</t>
  </si>
  <si>
    <t xml:space="preserve">Peças Incepa soltando, trincando ou com som oco; quer saber se é defeito do produto ou do assentamento para acionar a garantia ou cobrar o executor. A janela de férias escolares define o prazo.</t>
  </si>
  <si>
    <t xml:space="preserve">/marcas-e-sistemas/revestimentos-ceramicos/incepa/laudo-descolamento-porcelanato/</t>
  </si>
  <si>
    <t xml:space="preserve">M0075</t>
  </si>
  <si>
    <t xml:space="preserve">Reforma com porcelanato Incepa</t>
  </si>
  <si>
    <t xml:space="preserve">Está planejando reforma de alto padrão com revestimentos Incepa e busca quem execute com acabamento à altura.</t>
  </si>
  <si>
    <t xml:space="preserve">/marcas-e-sistemas/revestimentos-ceramicos/incepa/#reforma-com-porcelanato</t>
  </si>
  <si>
    <t xml:space="preserve">M0076</t>
  </si>
  <si>
    <t xml:space="preserve">Revestimento de fachada Incepa</t>
  </si>
  <si>
    <t xml:space="preserve">Condomínio ou proprietário avaliando revestir ou trocar a fachada com cerâmica Incepa.</t>
  </si>
  <si>
    <t xml:space="preserve">/marcas-e-sistemas/revestimentos-ceramicos/incepa/#revestimento-fachada</t>
  </si>
  <si>
    <t xml:space="preserve">M0077</t>
  </si>
  <si>
    <t xml:space="preserve">Roca Cerâmica</t>
  </si>
  <si>
    <t xml:space="preserve">Porcelanato Roca Cerâmica</t>
  </si>
  <si>
    <t xml:space="preserve">Pessoa que tem, comprou ou está avaliando produtos Roca Cerâmica e procura quem projete, execute, instale ou avalie com essa marca. Busca segurança técnica e preservação da garantia do fabricante.</t>
  </si>
  <si>
    <t xml:space="preserve">/marcas-e-sistemas/revestimentos-ceramicos/roca-ceramica/</t>
  </si>
  <si>
    <t xml:space="preserve">M0078</t>
  </si>
  <si>
    <t xml:space="preserve">Assentamento de porcelanato Roca Cerâmica</t>
  </si>
  <si>
    <t xml:space="preserve">Comprou porcelanato Roca Cerâmica, muitas vezes de grande formato, e quer assentamento perfeito que não comprometa a garantia.</t>
  </si>
  <si>
    <t xml:space="preserve">/marcas-e-sistemas/revestimentos-ceramicos/roca-ceramica/assentamento-porcelanato/</t>
  </si>
  <si>
    <t xml:space="preserve">M0079</t>
  </si>
  <si>
    <t xml:space="preserve">Laudo de descolamento de porcelanato Roca Cerâmica</t>
  </si>
  <si>
    <t xml:space="preserve">Peças Roca Cerâmica soltando, trincando ou com som oco; quer saber se é defeito do produto ou do assentamento para acionar a garantia ou cobrar o executor. A janela de férias escolares define o prazo.</t>
  </si>
  <si>
    <t xml:space="preserve">/marcas-e-sistemas/revestimentos-ceramicos/roca-ceramica/laudo-descolamento-porcelanato/</t>
  </si>
  <si>
    <t xml:space="preserve">M0080</t>
  </si>
  <si>
    <t xml:space="preserve">Reforma com porcelanato Roca Cerâmica</t>
  </si>
  <si>
    <t xml:space="preserve">Está planejando reforma de alto padrão com revestimentos Roca Cerâmica e busca quem execute com acabamento à altura.</t>
  </si>
  <si>
    <t xml:space="preserve">/marcas-e-sistemas/revestimentos-ceramicos/roca-ceramica/#reforma-com-porcelanato</t>
  </si>
  <si>
    <t xml:space="preserve">M0081</t>
  </si>
  <si>
    <t xml:space="preserve">Revestimento de fachada Roca Cerâmica</t>
  </si>
  <si>
    <t xml:space="preserve">Condomínio ou proprietário avaliando revestir ou trocar a fachada com cerâmica Roca Cerâmica.</t>
  </si>
  <si>
    <t xml:space="preserve">/marcas-e-sistemas/revestimentos-ceramicos/roca-ceramica/#revestimento-fachada</t>
  </si>
  <si>
    <t xml:space="preserve">M0082</t>
  </si>
  <si>
    <t xml:space="preserve">Quem busca por metais e louças está escolhendo ou já escolheu um produto e quer saber quem projeta, executa ou avalia com ele. A página lista as marcas da categoria e os serviços ligados a cada uma.</t>
  </si>
  <si>
    <t xml:space="preserve">M0083</t>
  </si>
  <si>
    <t xml:space="preserve">Deca</t>
  </si>
  <si>
    <t xml:space="preserve">Metais Deca</t>
  </si>
  <si>
    <t xml:space="preserve">Pessoa que tem, comprou ou está avaliando produtos Deca e procura quem projete, execute, instale ou avalie com essa marca. Busca segurança técnica e preservação da garantia do fabricante.</t>
  </si>
  <si>
    <t xml:space="preserve">/marcas-e-sistemas/metais-e-loucas/deca/</t>
  </si>
  <si>
    <t xml:space="preserve">M0084</t>
  </si>
  <si>
    <t xml:space="preserve">Instalação de metais Deca</t>
  </si>
  <si>
    <t xml:space="preserve">Comprou metais e louças Deca e quer instalação correta, sem vazamento e preservando a garantia.</t>
  </si>
  <si>
    <t xml:space="preserve">/marcas-e-sistemas/metais-e-loucas/deca/#instalacao-metais</t>
  </si>
  <si>
    <t xml:space="preserve">Linkar para o serviço Instalação de louças e metais em /reformas/instalacao-loucas-e-metais/. Não sugerir parceria, credenciamento ou vínculo; não usar logotipo. Validar texto com jurídico.</t>
  </si>
  <si>
    <t xml:space="preserve">M0085</t>
  </si>
  <si>
    <t xml:space="preserve">Reforma de banheiro com Deca</t>
  </si>
  <si>
    <t xml:space="preserve">Quer reformar o banheiro com produtos Deca e procura quem entregue o padrão da marca na execução.</t>
  </si>
  <si>
    <t xml:space="preserve">/marcas-e-sistemas/metais-e-loucas/deca/reforma-banheiro/</t>
  </si>
  <si>
    <t xml:space="preserve">Linkar para o serviço Reforma de banheiro de alto padrão em /reformas/reforma-banheiro-alto-padrao/. Não sugerir parceria, credenciamento ou vínculo; não usar logotipo. Validar texto com jurídico.</t>
  </si>
  <si>
    <t xml:space="preserve">M0086</t>
  </si>
  <si>
    <t xml:space="preserve">Laudo de vazamento em metais Deca</t>
  </si>
  <si>
    <t xml:space="preserve">Tem vazamento ou falha em metal Deca e precisa comprovar a causa para acionar a garantia.</t>
  </si>
  <si>
    <t xml:space="preserve">/marcas-e-sistemas/metais-e-loucas/deca/#laudo-vazamento-em-metais</t>
  </si>
  <si>
    <t xml:space="preserve">M0087</t>
  </si>
  <si>
    <t xml:space="preserve">Docol</t>
  </si>
  <si>
    <t xml:space="preserve">Metais Docol</t>
  </si>
  <si>
    <t xml:space="preserve">Pessoa que tem, comprou ou está avaliando produtos Docol e procura quem projete, execute, instale ou avalie com essa marca. Busca segurança técnica e preservação da garantia do fabricante.</t>
  </si>
  <si>
    <t xml:space="preserve">/marcas-e-sistemas/metais-e-loucas/docol/</t>
  </si>
  <si>
    <t xml:space="preserve">M0088</t>
  </si>
  <si>
    <t xml:space="preserve">Instalação de metais Docol</t>
  </si>
  <si>
    <t xml:space="preserve">Comprou metais e louças Docol e quer instalação correta, sem vazamento e preservando a garantia.</t>
  </si>
  <si>
    <t xml:space="preserve">/marcas-e-sistemas/metais-e-loucas/docol/#instalacao-metais</t>
  </si>
  <si>
    <t xml:space="preserve">M0089</t>
  </si>
  <si>
    <t xml:space="preserve">Reforma de banheiro com Docol</t>
  </si>
  <si>
    <t xml:space="preserve">Quer reformar o banheiro com produtos Docol e procura quem entregue o padrão da marca na execução.</t>
  </si>
  <si>
    <t xml:space="preserve">/marcas-e-sistemas/metais-e-loucas/docol/reforma-banheiro/</t>
  </si>
  <si>
    <t xml:space="preserve">M0090</t>
  </si>
  <si>
    <t xml:space="preserve">Laudo de vazamento em metais Docol</t>
  </si>
  <si>
    <t xml:space="preserve">Tem vazamento ou falha em metal Docol e precisa comprovar a causa para acionar a garantia.</t>
  </si>
  <si>
    <t xml:space="preserve">/marcas-e-sistemas/metais-e-loucas/docol/#laudo-vazamento-em-metais</t>
  </si>
  <si>
    <t xml:space="preserve">M0091</t>
  </si>
  <si>
    <t xml:space="preserve">Lorenzetti</t>
  </si>
  <si>
    <t xml:space="preserve">Metais Lorenzetti</t>
  </si>
  <si>
    <t xml:space="preserve">Pessoa que tem, comprou ou está avaliando produtos Lorenzetti e procura quem projete, execute, instale ou avalie com essa marca. Busca segurança técnica e preservação da garantia do fabricante.</t>
  </si>
  <si>
    <t xml:space="preserve">/marcas-e-sistemas/metais-e-loucas/lorenzetti/</t>
  </si>
  <si>
    <t xml:space="preserve">M0092</t>
  </si>
  <si>
    <t xml:space="preserve">Instalação de metais Lorenzetti</t>
  </si>
  <si>
    <t xml:space="preserve">Comprou metais e louças Lorenzetti e quer instalação correta, sem vazamento e preservando a garantia.</t>
  </si>
  <si>
    <t xml:space="preserve">/marcas-e-sistemas/metais-e-loucas/lorenzetti/#instalacao-metais</t>
  </si>
  <si>
    <t xml:space="preserve">M0093</t>
  </si>
  <si>
    <t xml:space="preserve">Reforma de banheiro com Lorenzetti</t>
  </si>
  <si>
    <t xml:space="preserve">Quer reformar o banheiro com produtos Lorenzetti e procura quem entregue o padrão da marca na execução.</t>
  </si>
  <si>
    <t xml:space="preserve">/marcas-e-sistemas/metais-e-loucas/lorenzetti/reforma-banheiro/</t>
  </si>
  <si>
    <t xml:space="preserve">M0094</t>
  </si>
  <si>
    <t xml:space="preserve">Laudo de vazamento em metais Lorenzetti</t>
  </si>
  <si>
    <t xml:space="preserve">Tem vazamento ou falha em metal Lorenzetti e precisa comprovar a causa para acionar a garantia.</t>
  </si>
  <si>
    <t xml:space="preserve">/marcas-e-sistemas/metais-e-loucas/lorenzetti/#laudo-vazamento-em-metais</t>
  </si>
  <si>
    <t xml:space="preserve">M0095</t>
  </si>
  <si>
    <t xml:space="preserve">Tramontina</t>
  </si>
  <si>
    <t xml:space="preserve">Metais Tramontina</t>
  </si>
  <si>
    <t xml:space="preserve">Pessoa que tem, comprou ou está avaliando produtos Tramontina e procura quem projete, execute, instale ou avalie com essa marca. Busca segurança técnica e preservação da garantia do fabricante.</t>
  </si>
  <si>
    <t xml:space="preserve">/marcas-e-sistemas/metais-e-loucas/tramontina/</t>
  </si>
  <si>
    <t xml:space="preserve">M0096</t>
  </si>
  <si>
    <t xml:space="preserve">Instalação de metais Tramontina</t>
  </si>
  <si>
    <t xml:space="preserve">Comprou metais e louças Tramontina e quer instalação correta, sem vazamento e preservando a garantia.</t>
  </si>
  <si>
    <t xml:space="preserve">/marcas-e-sistemas/metais-e-loucas/tramontina/#instalacao-metais</t>
  </si>
  <si>
    <t xml:space="preserve">M0097</t>
  </si>
  <si>
    <t xml:space="preserve">Reforma de banheiro com Tramontina</t>
  </si>
  <si>
    <t xml:space="preserve">Quer reformar o banheiro com produtos Tramontina e procura quem entregue o padrão da marca na execução.</t>
  </si>
  <si>
    <t xml:space="preserve">/marcas-e-sistemas/metais-e-loucas/tramontina/reforma-banheiro/</t>
  </si>
  <si>
    <t xml:space="preserve">M0098</t>
  </si>
  <si>
    <t xml:space="preserve">Laudo de vazamento em metais Tramontina</t>
  </si>
  <si>
    <t xml:space="preserve">Tem vazamento ou falha em metal Tramontina e precisa comprovar a causa para acionar a garantia.</t>
  </si>
  <si>
    <t xml:space="preserve">/marcas-e-sistemas/metais-e-loucas/tramontina/#laudo-vazamento-em-metais</t>
  </si>
  <si>
    <t xml:space="preserve">M0099</t>
  </si>
  <si>
    <t xml:space="preserve">Celite</t>
  </si>
  <si>
    <t xml:space="preserve">Metais Celite</t>
  </si>
  <si>
    <t xml:space="preserve">Pessoa que tem, comprou ou está avaliando produtos Celite e procura quem projete, execute, instale ou avalie com essa marca. Busca segurança técnica e preservação da garantia do fabricante.</t>
  </si>
  <si>
    <t xml:space="preserve">/marcas-e-sistemas/metais-e-loucas/celite/</t>
  </si>
  <si>
    <t xml:space="preserve">M0100</t>
  </si>
  <si>
    <t xml:space="preserve">Instalação de metais Celite</t>
  </si>
  <si>
    <t xml:space="preserve">Comprou metais e louças Celite e quer instalação correta, sem vazamento e preservando a garantia.</t>
  </si>
  <si>
    <t xml:space="preserve">/marcas-e-sistemas/metais-e-loucas/celite/#instalacao-metais</t>
  </si>
  <si>
    <t xml:space="preserve">M0101</t>
  </si>
  <si>
    <t xml:space="preserve">Reforma de banheiro com Celite</t>
  </si>
  <si>
    <t xml:space="preserve">Quer reformar o banheiro com produtos Celite e procura quem entregue o padrão da marca na execução.</t>
  </si>
  <si>
    <t xml:space="preserve">/marcas-e-sistemas/metais-e-loucas/celite/reforma-banheiro/</t>
  </si>
  <si>
    <t xml:space="preserve">M0102</t>
  </si>
  <si>
    <t xml:space="preserve">Laudo de vazamento em metais Celite</t>
  </si>
  <si>
    <t xml:space="preserve">Tem vazamento ou falha em metal Celite e precisa comprovar a causa para acionar a garantia.</t>
  </si>
  <si>
    <t xml:space="preserve">/marcas-e-sistemas/metais-e-loucas/celite/#laudo-vazamento-em-metais</t>
  </si>
  <si>
    <t xml:space="preserve">M0103</t>
  </si>
  <si>
    <t xml:space="preserve">Roca</t>
  </si>
  <si>
    <t xml:space="preserve">Metais Roca</t>
  </si>
  <si>
    <t xml:space="preserve">Pessoa que tem, comprou ou está avaliando produtos Roca e procura quem projete, execute, instale ou avalie com essa marca. Busca segurança técnica e preservação da garantia do fabricante.</t>
  </si>
  <si>
    <t xml:space="preserve">/marcas-e-sistemas/metais-e-loucas/roca/</t>
  </si>
  <si>
    <t xml:space="preserve">M0104</t>
  </si>
  <si>
    <t xml:space="preserve">Instalação de metais Roca</t>
  </si>
  <si>
    <t xml:space="preserve">Comprou metais e louças Roca e quer instalação correta, sem vazamento e preservando a garantia.</t>
  </si>
  <si>
    <t xml:space="preserve">/marcas-e-sistemas/metais-e-loucas/roca/#instalacao-metais</t>
  </si>
  <si>
    <t xml:space="preserve">M0105</t>
  </si>
  <si>
    <t xml:space="preserve">Reforma de banheiro com Roca</t>
  </si>
  <si>
    <t xml:space="preserve">Quer reformar o banheiro com produtos Roca e procura quem entregue o padrão da marca na execução.</t>
  </si>
  <si>
    <t xml:space="preserve">/marcas-e-sistemas/metais-e-loucas/roca/reforma-banheiro/</t>
  </si>
  <si>
    <t xml:space="preserve">M0106</t>
  </si>
  <si>
    <t xml:space="preserve">Laudo de vazamento em metais Roca</t>
  </si>
  <si>
    <t xml:space="preserve">Tem vazamento ou falha em metal Roca e precisa comprovar a causa para acionar a garantia.</t>
  </si>
  <si>
    <t xml:space="preserve">/marcas-e-sistemas/metais-e-loucas/roca/#laudo-vazamento-em-metais</t>
  </si>
  <si>
    <t xml:space="preserve">M0107</t>
  </si>
  <si>
    <t xml:space="preserve">Grohe</t>
  </si>
  <si>
    <t xml:space="preserve">Metais Grohe</t>
  </si>
  <si>
    <t xml:space="preserve">Pessoa que tem, comprou ou está avaliando produtos Grohe e procura quem projete, execute, instale ou avalie com essa marca. Busca segurança técnica e preservação da garantia do fabricante.</t>
  </si>
  <si>
    <t xml:space="preserve">/marcas-e-sistemas/metais-e-loucas/grohe/</t>
  </si>
  <si>
    <t xml:space="preserve">M0108</t>
  </si>
  <si>
    <t xml:space="preserve">Instalação de metais Grohe</t>
  </si>
  <si>
    <t xml:space="preserve">Comprou metais e louças Grohe e quer instalação correta, sem vazamento e preservando a garantia.</t>
  </si>
  <si>
    <t xml:space="preserve">/marcas-e-sistemas/metais-e-loucas/grohe/#instalacao-metais</t>
  </si>
  <si>
    <t xml:space="preserve">M0109</t>
  </si>
  <si>
    <t xml:space="preserve">Reforma de banheiro com Grohe</t>
  </si>
  <si>
    <t xml:space="preserve">Quer reformar o banheiro com produtos Grohe e procura quem entregue o padrão da marca na execução.</t>
  </si>
  <si>
    <t xml:space="preserve">/marcas-e-sistemas/metais-e-loucas/grohe/reforma-banheiro/</t>
  </si>
  <si>
    <t xml:space="preserve">M0110</t>
  </si>
  <si>
    <t xml:space="preserve">Laudo de vazamento em metais Grohe</t>
  </si>
  <si>
    <t xml:space="preserve">Tem vazamento ou falha em metal Grohe e precisa comprovar a causa para acionar a garantia.</t>
  </si>
  <si>
    <t xml:space="preserve">/marcas-e-sistemas/metais-e-loucas/grohe/#laudo-vazamento-em-metais</t>
  </si>
  <si>
    <t xml:space="preserve">M0111</t>
  </si>
  <si>
    <t xml:space="preserve">Hansgrohe</t>
  </si>
  <si>
    <t xml:space="preserve">Metais Hansgrohe</t>
  </si>
  <si>
    <t xml:space="preserve">Pessoa que tem, comprou ou está avaliando produtos Hansgrohe e procura quem projete, execute, instale ou avalie com essa marca. Busca segurança técnica e preservação da garantia do fabricante.</t>
  </si>
  <si>
    <t xml:space="preserve">/marcas-e-sistemas/metais-e-loucas/hansgrohe/</t>
  </si>
  <si>
    <t xml:space="preserve">M0112</t>
  </si>
  <si>
    <t xml:space="preserve">Instalação de metais Hansgrohe</t>
  </si>
  <si>
    <t xml:space="preserve">Comprou metais e louças Hansgrohe e quer instalação correta, sem vazamento e preservando a garantia.</t>
  </si>
  <si>
    <t xml:space="preserve">/marcas-e-sistemas/metais-e-loucas/hansgrohe/#instalacao-metais</t>
  </si>
  <si>
    <t xml:space="preserve">M0113</t>
  </si>
  <si>
    <t xml:space="preserve">Reforma de banheiro com Hansgrohe</t>
  </si>
  <si>
    <t xml:space="preserve">Quer reformar o banheiro com produtos Hansgrohe e procura quem entregue o padrão da marca na execução.</t>
  </si>
  <si>
    <t xml:space="preserve">/marcas-e-sistemas/metais-e-loucas/hansgrohe/reforma-banheiro/</t>
  </si>
  <si>
    <t xml:space="preserve">M0114</t>
  </si>
  <si>
    <t xml:space="preserve">Laudo de vazamento em metais Hansgrohe</t>
  </si>
  <si>
    <t xml:space="preserve">Tem vazamento ou falha em metal Hansgrohe e precisa comprovar a causa para acionar a garantia.</t>
  </si>
  <si>
    <t xml:space="preserve">/marcas-e-sistemas/metais-e-loucas/hansgrohe/#laudo-vazamento-em-metais</t>
  </si>
  <si>
    <t xml:space="preserve">M0115</t>
  </si>
  <si>
    <t xml:space="preserve">Kohler</t>
  </si>
  <si>
    <t xml:space="preserve">Metais Kohler</t>
  </si>
  <si>
    <t xml:space="preserve">Pessoa que tem, comprou ou está avaliando produtos Kohler e procura quem projete, execute, instale ou avalie com essa marca. Busca segurança técnica e preservação da garantia do fabricante.</t>
  </si>
  <si>
    <t xml:space="preserve">/marcas-e-sistemas/metais-e-loucas/kohler/</t>
  </si>
  <si>
    <t xml:space="preserve">M0116</t>
  </si>
  <si>
    <t xml:space="preserve">Instalação de metais Kohler</t>
  </si>
  <si>
    <t xml:space="preserve">Comprou metais e louças Kohler e quer instalação correta, sem vazamento e preservando a garantia.</t>
  </si>
  <si>
    <t xml:space="preserve">/marcas-e-sistemas/metais-e-loucas/kohler/#instalacao-metais</t>
  </si>
  <si>
    <t xml:space="preserve">M0117</t>
  </si>
  <si>
    <t xml:space="preserve">Reforma de banheiro com Kohler</t>
  </si>
  <si>
    <t xml:space="preserve">Quer reformar o banheiro com produtos Kohler e procura quem entregue o padrão da marca na execução.</t>
  </si>
  <si>
    <t xml:space="preserve">/marcas-e-sistemas/metais-e-loucas/kohler/reforma-banheiro/</t>
  </si>
  <si>
    <t xml:space="preserve">M0118</t>
  </si>
  <si>
    <t xml:space="preserve">Laudo de vazamento em metais Kohler</t>
  </si>
  <si>
    <t xml:space="preserve">Tem vazamento ou falha em metal Kohler e precisa comprovar a causa para acionar a garantia.</t>
  </si>
  <si>
    <t xml:space="preserve">/marcas-e-sistemas/metais-e-loucas/kohler/#laudo-vazamento-em-metais</t>
  </si>
  <si>
    <t xml:space="preserve">M0119</t>
  </si>
  <si>
    <t xml:space="preserve">Quem busca por argamassas e rejuntes está escolhendo ou já escolheu um produto e quer saber quem projeta, executa ou avalia com ele. A página lista as marcas da categoria e os serviços ligados a cada uma.</t>
  </si>
  <si>
    <t xml:space="preserve">M0120</t>
  </si>
  <si>
    <t xml:space="preserve">Quartzolit</t>
  </si>
  <si>
    <t xml:space="preserve">Argamassa Quartzolit</t>
  </si>
  <si>
    <t xml:space="preserve">Pessoa que tem, comprou ou está avaliando produtos Quartzolit e procura quem projete, execute, instale ou avalie com essa marca. Busca segurança técnica e preservação da garantia do fabricante.</t>
  </si>
  <si>
    <t xml:space="preserve">/marcas-e-sistemas/argamassas-e-rejuntes/quartzolit/</t>
  </si>
  <si>
    <t xml:space="preserve">M0121</t>
  </si>
  <si>
    <t xml:space="preserve">Assentamento com argamassa Quartzolit</t>
  </si>
  <si>
    <t xml:space="preserve">Quer assentamento com a argamassa Quartzolit indicada para o formato e o ambiente, evitando descolamento.</t>
  </si>
  <si>
    <t xml:space="preserve">/marcas-e-sistemas/argamassas-e-rejuntes/quartzolit/#assentamento-com-argamassa</t>
  </si>
  <si>
    <t xml:space="preserve">M0122</t>
  </si>
  <si>
    <t xml:space="preserve">Laudo de descolamento com argamassa Quartzolit</t>
  </si>
  <si>
    <t xml:space="preserve">Revestimento soltando com argamassa Quartzolit; quer identificar se a falha é do produto, da especificação ou da aplicação. A janela de férias escolares define o prazo.</t>
  </si>
  <si>
    <t xml:space="preserve">/marcas-e-sistemas/argamassas-e-rejuntes/quartzolit/#laudo-descolamento-com-argamassa</t>
  </si>
  <si>
    <t xml:space="preserve">M0123</t>
  </si>
  <si>
    <t xml:space="preserve">Votomassa</t>
  </si>
  <si>
    <t xml:space="preserve">Argamassa Votomassa</t>
  </si>
  <si>
    <t xml:space="preserve">Pessoa que tem, comprou ou está avaliando produtos Votomassa e procura quem projete, execute, instale ou avalie com essa marca. Busca segurança técnica e preservação da garantia do fabricante.</t>
  </si>
  <si>
    <t xml:space="preserve">/marcas-e-sistemas/argamassas-e-rejuntes/votomassa/</t>
  </si>
  <si>
    <t xml:space="preserve">M0124</t>
  </si>
  <si>
    <t xml:space="preserve">Assentamento com argamassa Votomassa</t>
  </si>
  <si>
    <t xml:space="preserve">Quer assentamento com a argamassa Votomassa indicada para o formato e o ambiente, evitando descolamento.</t>
  </si>
  <si>
    <t xml:space="preserve">/marcas-e-sistemas/argamassas-e-rejuntes/votomassa/#assentamento-com-argamassa</t>
  </si>
  <si>
    <t xml:space="preserve">M0125</t>
  </si>
  <si>
    <t xml:space="preserve">Laudo de descolamento com argamassa Votomassa</t>
  </si>
  <si>
    <t xml:space="preserve">Revestimento soltando com argamassa Votomassa; quer identificar se a falha é do produto, da especificação ou da aplicação. A janela de férias escolares define o prazo.</t>
  </si>
  <si>
    <t xml:space="preserve">/marcas-e-sistemas/argamassas-e-rejuntes/votomassa/#laudo-descolamento-com-argamassa</t>
  </si>
  <si>
    <t xml:space="preserve">M0126</t>
  </si>
  <si>
    <t xml:space="preserve">Quem busca por impermeabilizantes está escolhendo ou já escolheu um produto e quer saber quem projeta, executa ou avalia com ele. A página lista as marcas da categoria e os serviços ligados a cada uma.</t>
  </si>
  <si>
    <t xml:space="preserve">M0127</t>
  </si>
  <si>
    <t xml:space="preserve">Viapol</t>
  </si>
  <si>
    <t xml:space="preserve">Impermeabilizante Viapol</t>
  </si>
  <si>
    <t xml:space="preserve">Pessoa que tem, comprou ou está avaliando produtos Viapol e procura quem projete, execute, instale ou avalie com essa marca. Busca segurança técnica e preservação da garantia do fabricante.</t>
  </si>
  <si>
    <t xml:space="preserve">/marcas-e-sistemas/impermeabilizantes/viapol/</t>
  </si>
  <si>
    <t xml:space="preserve">M0128</t>
  </si>
  <si>
    <t xml:space="preserve">Impermeabilização com Viapol</t>
  </si>
  <si>
    <t xml:space="preserve">Pesquisou o sistema Viapol e quer aplicação tecnicamente correta, com garantia e sem voltar a infiltrar.</t>
  </si>
  <si>
    <t xml:space="preserve">/marcas-e-sistemas/impermeabilizantes/viapol/impermeabilizacao/</t>
  </si>
  <si>
    <t xml:space="preserve">Linkar para o serviço Impermeabilização em /recuperacao-e-manutencao/impermeabilizacao/. Não sugerir parceria, credenciamento ou vínculo; não usar logotipo. Validar texto com jurídico.</t>
  </si>
  <si>
    <t xml:space="preserve">M0129</t>
  </si>
  <si>
    <t xml:space="preserve">Impermeabilização de laje com Viapol</t>
  </si>
  <si>
    <t xml:space="preserve">Laje ou cobertura com infiltração que precisa de sistema Viapol bem especificado e aplicado.</t>
  </si>
  <si>
    <t xml:space="preserve">/marcas-e-sistemas/impermeabilizantes/viapol/#impermeabilizacao-laje</t>
  </si>
  <si>
    <t xml:space="preserve">Linkar para o serviço Impermeabilização de laje em /recuperacao-e-manutencao/impermeabilizacao-laje/. Não sugerir parceria, credenciamento ou vínculo; não usar logotipo. Validar texto com jurídico.</t>
  </si>
  <si>
    <t xml:space="preserve">M0130</t>
  </si>
  <si>
    <t xml:space="preserve">Projeto de impermeabilização com Viapol</t>
  </si>
  <si>
    <t xml:space="preserve">Quer projeto que especifique os produtos Viapol por área, evitando improviso na obra.</t>
  </si>
  <si>
    <t xml:space="preserve">/marcas-e-sistemas/impermeabilizantes/viapol/#projeto-impermeabilizacao</t>
  </si>
  <si>
    <t xml:space="preserve">Linkar para o serviço Projeto de impermeabilização em /projetos/projeto-impermeabilizacao/. Não sugerir parceria, credenciamento ou vínculo; não usar logotipo. Validar texto com jurídico.</t>
  </si>
  <si>
    <t xml:space="preserve">M0131</t>
  </si>
  <si>
    <t xml:space="preserve">Laudo de falha de impermeabilização Viapol</t>
  </si>
  <si>
    <t xml:space="preserve">A impermeabilização com Viapol falhou e é preciso saber se foi o produto ou a aplicação para cobrar o responsável.</t>
  </si>
  <si>
    <t xml:space="preserve">/marcas-e-sistemas/impermeabilizantes/viapol/laudo-falha-impermeabilizacao/</t>
  </si>
  <si>
    <t xml:space="preserve">Linkar para o serviço Laudo de impermeabilização em /laudos-tecnicos/laudo-impermeabilizacao/. Não sugerir parceria, credenciamento ou vínculo; não usar logotipo. Validar texto com jurídico.</t>
  </si>
  <si>
    <t xml:space="preserve">M0132</t>
  </si>
  <si>
    <t xml:space="preserve">Vedacit</t>
  </si>
  <si>
    <t xml:space="preserve">Impermeabilizante Vedacit</t>
  </si>
  <si>
    <t xml:space="preserve">Pessoa que tem, comprou ou está avaliando produtos Vedacit e procura quem projete, execute, instale ou avalie com essa marca. Busca segurança técnica e preservação da garantia do fabricante.</t>
  </si>
  <si>
    <t xml:space="preserve">/marcas-e-sistemas/impermeabilizantes/vedacit/</t>
  </si>
  <si>
    <t xml:space="preserve">M0133</t>
  </si>
  <si>
    <t xml:space="preserve">Impermeabilização com Vedacit</t>
  </si>
  <si>
    <t xml:space="preserve">Pesquisou o sistema Vedacit e quer aplicação tecnicamente correta, com garantia e sem voltar a infiltrar.</t>
  </si>
  <si>
    <t xml:space="preserve">/marcas-e-sistemas/impermeabilizantes/vedacit/impermeabilizacao/</t>
  </si>
  <si>
    <t xml:space="preserve">M0134</t>
  </si>
  <si>
    <t xml:space="preserve">Impermeabilização de laje com Vedacit</t>
  </si>
  <si>
    <t xml:space="preserve">Laje ou cobertura com infiltração que precisa de sistema Vedacit bem especificado e aplicado.</t>
  </si>
  <si>
    <t xml:space="preserve">/marcas-e-sistemas/impermeabilizantes/vedacit/#impermeabilizacao-laje</t>
  </si>
  <si>
    <t xml:space="preserve">M0135</t>
  </si>
  <si>
    <t xml:space="preserve">Projeto de impermeabilização com Vedacit</t>
  </si>
  <si>
    <t xml:space="preserve">Quer projeto que especifique os produtos Vedacit por área, evitando improviso na obra.</t>
  </si>
  <si>
    <t xml:space="preserve">/marcas-e-sistemas/impermeabilizantes/vedacit/#projeto-impermeabilizacao</t>
  </si>
  <si>
    <t xml:space="preserve">M0136</t>
  </si>
  <si>
    <t xml:space="preserve">Laudo de falha de impermeabilização Vedacit</t>
  </si>
  <si>
    <t xml:space="preserve">A impermeabilização com Vedacit falhou e é preciso saber se foi o produto ou a aplicação para cobrar o responsável.</t>
  </si>
  <si>
    <t xml:space="preserve">/marcas-e-sistemas/impermeabilizantes/vedacit/laudo-falha-impermeabilizacao/</t>
  </si>
  <si>
    <t xml:space="preserve">M0137</t>
  </si>
  <si>
    <t xml:space="preserve">Sika</t>
  </si>
  <si>
    <t xml:space="preserve">Impermeabilizante Sika</t>
  </si>
  <si>
    <t xml:space="preserve">Pessoa que tem, comprou ou está avaliando produtos Sika e procura quem projete, execute, instale ou avalie com essa marca. Busca segurança técnica e preservação da garantia do fabricante.</t>
  </si>
  <si>
    <t xml:space="preserve">/marcas-e-sistemas/impermeabilizantes/sika/</t>
  </si>
  <si>
    <t xml:space="preserve">M0138</t>
  </si>
  <si>
    <t xml:space="preserve">Impermeabilização com Sika</t>
  </si>
  <si>
    <t xml:space="preserve">Pesquisou o sistema Sika e quer aplicação tecnicamente correta, com garantia e sem voltar a infiltrar.</t>
  </si>
  <si>
    <t xml:space="preserve">/marcas-e-sistemas/impermeabilizantes/sika/impermeabilizacao/</t>
  </si>
  <si>
    <t xml:space="preserve">M0139</t>
  </si>
  <si>
    <t xml:space="preserve">Impermeabilização de laje com Sika</t>
  </si>
  <si>
    <t xml:space="preserve">Laje ou cobertura com infiltração que precisa de sistema Sika bem especificado e aplicado.</t>
  </si>
  <si>
    <t xml:space="preserve">/marcas-e-sistemas/impermeabilizantes/sika/#impermeabilizacao-laje</t>
  </si>
  <si>
    <t xml:space="preserve">M0140</t>
  </si>
  <si>
    <t xml:space="preserve">Projeto de impermeabilização com Sika</t>
  </si>
  <si>
    <t xml:space="preserve">Quer projeto que especifique os produtos Sika por área, evitando improviso na obra.</t>
  </si>
  <si>
    <t xml:space="preserve">/marcas-e-sistemas/impermeabilizantes/sika/#projeto-impermeabilizacao</t>
  </si>
  <si>
    <t xml:space="preserve">M0141</t>
  </si>
  <si>
    <t xml:space="preserve">Laudo de falha de impermeabilização Sika</t>
  </si>
  <si>
    <t xml:space="preserve">A impermeabilização com Sika falhou e é preciso saber se foi o produto ou a aplicação para cobrar o responsável.</t>
  </si>
  <si>
    <t xml:space="preserve">/marcas-e-sistemas/impermeabilizantes/sika/laudo-falha-impermeabilizacao/</t>
  </si>
  <si>
    <t xml:space="preserve">M0142</t>
  </si>
  <si>
    <t xml:space="preserve">Impermeabilizante Quartzolit</t>
  </si>
  <si>
    <t xml:space="preserve">/marcas-e-sistemas/impermeabilizantes/quartzolit/</t>
  </si>
  <si>
    <t xml:space="preserve">M0143</t>
  </si>
  <si>
    <t xml:space="preserve">Impermeabilização com Quartzolit</t>
  </si>
  <si>
    <t xml:space="preserve">Pesquisou o sistema Quartzolit e quer aplicação tecnicamente correta, com garantia e sem voltar a infiltrar.</t>
  </si>
  <si>
    <t xml:space="preserve">/marcas-e-sistemas/impermeabilizantes/quartzolit/impermeabilizacao/</t>
  </si>
  <si>
    <t xml:space="preserve">M0144</t>
  </si>
  <si>
    <t xml:space="preserve">Impermeabilização de laje com Quartzolit</t>
  </si>
  <si>
    <t xml:space="preserve">Laje ou cobertura com infiltração que precisa de sistema Quartzolit bem especificado e aplicado.</t>
  </si>
  <si>
    <t xml:space="preserve">/marcas-e-sistemas/impermeabilizantes/quartzolit/#impermeabilizacao-laje</t>
  </si>
  <si>
    <t xml:space="preserve">M0145</t>
  </si>
  <si>
    <t xml:space="preserve">Projeto de impermeabilização com Quartzolit</t>
  </si>
  <si>
    <t xml:space="preserve">Quer projeto que especifique os produtos Quartzolit por área, evitando improviso na obra.</t>
  </si>
  <si>
    <t xml:space="preserve">/marcas-e-sistemas/impermeabilizantes/quartzolit/#projeto-impermeabilizacao</t>
  </si>
  <si>
    <t xml:space="preserve">M0146</t>
  </si>
  <si>
    <t xml:space="preserve">Laudo de falha de impermeabilização Quartzolit</t>
  </si>
  <si>
    <t xml:space="preserve">A impermeabilização com Quartzolit falhou e é preciso saber se foi o produto ou a aplicação para cobrar o responsável.</t>
  </si>
  <si>
    <t xml:space="preserve">/marcas-e-sistemas/impermeabilizantes/quartzolit/laudo-falha-impermeabilizacao/</t>
  </si>
  <si>
    <t xml:space="preserve">M0147</t>
  </si>
  <si>
    <t xml:space="preserve">Denver Impermeabilizantes</t>
  </si>
  <si>
    <t xml:space="preserve">Impermeabilizante Denver Impermeabilizantes</t>
  </si>
  <si>
    <t xml:space="preserve">Pessoa que tem, comprou ou está avaliando produtos Denver Impermeabilizantes e procura quem projete, execute, instale ou avalie com essa marca. Busca segurança técnica e preservação da garantia do fabricante.</t>
  </si>
  <si>
    <t xml:space="preserve">/marcas-e-sistemas/impermeabilizantes/denver-impermeabilizantes/</t>
  </si>
  <si>
    <t xml:space="preserve">M0148</t>
  </si>
  <si>
    <t xml:space="preserve">Impermeabilização com Denver Impermeabilizantes</t>
  </si>
  <si>
    <t xml:space="preserve">Pesquisou o sistema Denver Impermeabilizantes e quer aplicação tecnicamente correta, com garantia e sem voltar a infiltrar.</t>
  </si>
  <si>
    <t xml:space="preserve">/marcas-e-sistemas/impermeabilizantes/denver-impermeabilizantes/impermeabilizacao/</t>
  </si>
  <si>
    <t xml:space="preserve">M0149</t>
  </si>
  <si>
    <t xml:space="preserve">Impermeabilização de laje com Denver Impermeabilizantes</t>
  </si>
  <si>
    <t xml:space="preserve">Laje ou cobertura com infiltração que precisa de sistema Denver Impermeabilizantes bem especificado e aplicado.</t>
  </si>
  <si>
    <t xml:space="preserve">/marcas-e-sistemas/impermeabilizantes/denver-impermeabilizantes/#impermeabilizacao-laje</t>
  </si>
  <si>
    <t xml:space="preserve">M0150</t>
  </si>
  <si>
    <t xml:space="preserve">Projeto de impermeabilização com Denver Impermeabilizantes</t>
  </si>
  <si>
    <t xml:space="preserve">Quer projeto que especifique os produtos Denver Impermeabilizantes por área, evitando improviso na obra.</t>
  </si>
  <si>
    <t xml:space="preserve">/marcas-e-sistemas/impermeabilizantes/denver-impermeabilizantes/#projeto-impermeabilizacao</t>
  </si>
  <si>
    <t xml:space="preserve">M0151</t>
  </si>
  <si>
    <t xml:space="preserve">Laudo de falha de impermeabilização Denver Impermeabilizantes</t>
  </si>
  <si>
    <t xml:space="preserve">A impermeabilização com Denver Impermeabilizantes falhou e é preciso saber se foi o produto ou a aplicação para cobrar o responsável.</t>
  </si>
  <si>
    <t xml:space="preserve">/marcas-e-sistemas/impermeabilizantes/denver-impermeabilizantes/laudo-falha-impermeabilizacao/</t>
  </si>
  <si>
    <t xml:space="preserve">M0152</t>
  </si>
  <si>
    <t xml:space="preserve">MC-Bauchemie</t>
  </si>
  <si>
    <t xml:space="preserve">Impermeabilizante MC-Bauchemie</t>
  </si>
  <si>
    <t xml:space="preserve">Pessoa que tem, comprou ou está avaliando produtos MC-Bauchemie e procura quem projete, execute, instale ou avalie com essa marca. Busca segurança técnica e preservação da garantia do fabricante.</t>
  </si>
  <si>
    <t xml:space="preserve">/marcas-e-sistemas/impermeabilizantes/mc-bauchemie/</t>
  </si>
  <si>
    <t xml:space="preserve">M0153</t>
  </si>
  <si>
    <t xml:space="preserve">Impermeabilização com MC-Bauchemie</t>
  </si>
  <si>
    <t xml:space="preserve">Pesquisou o sistema MC-Bauchemie e quer aplicação tecnicamente correta, com garantia e sem voltar a infiltrar.</t>
  </si>
  <si>
    <t xml:space="preserve">/marcas-e-sistemas/impermeabilizantes/mc-bauchemie/impermeabilizacao/</t>
  </si>
  <si>
    <t xml:space="preserve">M0154</t>
  </si>
  <si>
    <t xml:space="preserve">Impermeabilização de laje com MC-Bauchemie</t>
  </si>
  <si>
    <t xml:space="preserve">Laje ou cobertura com infiltração que precisa de sistema MC-Bauchemie bem especificado e aplicado.</t>
  </si>
  <si>
    <t xml:space="preserve">/marcas-e-sistemas/impermeabilizantes/mc-bauchemie/#impermeabilizacao-laje</t>
  </si>
  <si>
    <t xml:space="preserve">M0155</t>
  </si>
  <si>
    <t xml:space="preserve">Projeto de impermeabilização com MC-Bauchemie</t>
  </si>
  <si>
    <t xml:space="preserve">Quer projeto que especifique os produtos MC-Bauchemie por área, evitando improviso na obra.</t>
  </si>
  <si>
    <t xml:space="preserve">/marcas-e-sistemas/impermeabilizantes/mc-bauchemie/#projeto-impermeabilizacao</t>
  </si>
  <si>
    <t xml:space="preserve">M0156</t>
  </si>
  <si>
    <t xml:space="preserve">Laudo de falha de impermeabilização MC-Bauchemie</t>
  </si>
  <si>
    <t xml:space="preserve">A impermeabilização com MC-Bauchemie falhou e é preciso saber se foi o produto ou a aplicação para cobrar o responsável.</t>
  </si>
  <si>
    <t xml:space="preserve">/marcas-e-sistemas/impermeabilizantes/mc-bauchemie/laudo-falha-impermeabilizacao/</t>
  </si>
  <si>
    <t xml:space="preserve">M0157</t>
  </si>
  <si>
    <t xml:space="preserve">Quem busca por tintas está escolhendo ou já escolheu um produto e quer saber quem projeta, executa ou avalia com ele. A página lista as marcas da categoria e os serviços ligados a cada uma.</t>
  </si>
  <si>
    <t xml:space="preserve">M0158</t>
  </si>
  <si>
    <t xml:space="preserve">Suvinil</t>
  </si>
  <si>
    <t xml:space="preserve">Tinta Suvinil</t>
  </si>
  <si>
    <t xml:space="preserve">Pessoa que tem, comprou ou está avaliando produtos Suvinil e procura quem projete, execute, instale ou avalie com essa marca. Busca segurança técnica e preservação da garantia do fabricante.</t>
  </si>
  <si>
    <t xml:space="preserve">/marcas-e-sistemas/tintas/suvinil/</t>
  </si>
  <si>
    <t xml:space="preserve">M0159</t>
  </si>
  <si>
    <t xml:space="preserve">Pintura de fachada Suvinil</t>
  </si>
  <si>
    <t xml:space="preserve">Condomínio avaliando sistema de pintura Suvinil para a fachada e querendo especificação e fiscalização corretas.</t>
  </si>
  <si>
    <t xml:space="preserve">/marcas-e-sistemas/tintas/suvinil/#pintura-fachada</t>
  </si>
  <si>
    <t xml:space="preserve">Linkar para o serviço Pintura de fachada em /recuperacao-e-manutencao/pintura-fachada/. Não sugerir parceria, credenciamento ou vínculo; não usar logotipo. Validar texto com jurídico.</t>
  </si>
  <si>
    <t xml:space="preserve">M0160</t>
  </si>
  <si>
    <t xml:space="preserve">Pintura de alto padrão Suvinil</t>
  </si>
  <si>
    <t xml:space="preserve">Quer pintura interna impecável com produtos Suvinil e preparo de superfície correto. Termo com sinal de exclusividade: filtra naturalmente o público e combina com o posicionamento premium.</t>
  </si>
  <si>
    <t xml:space="preserve">/marcas-e-sistemas/tintas/suvinil/#pintura-alto-padrao</t>
  </si>
  <si>
    <t xml:space="preserve">Linkar para o serviço Pintura de alto padrão em /reformas/pintura-alto-padrao/. Não sugerir parceria, credenciamento ou vínculo; não usar logotipo. Validar texto com jurídico.</t>
  </si>
  <si>
    <t xml:space="preserve">M0161</t>
  </si>
  <si>
    <t xml:space="preserve">Laudo de pintura descascando Suvinil</t>
  </si>
  <si>
    <t xml:space="preserve">Pintura com Suvinil descascando ou manchando; quer saber a causa antes de repintar.</t>
  </si>
  <si>
    <t xml:space="preserve">/marcas-e-sistemas/tintas/suvinil/#laudo-pintura-descascando</t>
  </si>
  <si>
    <t xml:space="preserve">Linkar para o serviço Laudo de fachada em /laudos-tecnicos/laudo-fachada/. Não sugerir parceria, credenciamento ou vínculo; não usar logotipo. Validar texto com jurídico.</t>
  </si>
  <si>
    <t xml:space="preserve">M0162</t>
  </si>
  <si>
    <t xml:space="preserve">Coral</t>
  </si>
  <si>
    <t xml:space="preserve">Tinta Coral</t>
  </si>
  <si>
    <t xml:space="preserve">Pessoa que tem, comprou ou está avaliando produtos Coral e procura quem projete, execute, instale ou avalie com essa marca. Busca segurança técnica e preservação da garantia do fabricante.</t>
  </si>
  <si>
    <t xml:space="preserve">/marcas-e-sistemas/tintas/coral/</t>
  </si>
  <si>
    <t xml:space="preserve">M0163</t>
  </si>
  <si>
    <t xml:space="preserve">Pintura de fachada Coral</t>
  </si>
  <si>
    <t xml:space="preserve">Condomínio avaliando sistema de pintura Coral para a fachada e querendo especificação e fiscalização corretas.</t>
  </si>
  <si>
    <t xml:space="preserve">/marcas-e-sistemas/tintas/coral/#pintura-fachada</t>
  </si>
  <si>
    <t xml:space="preserve">M0164</t>
  </si>
  <si>
    <t xml:space="preserve">Pintura de alto padrão Coral</t>
  </si>
  <si>
    <t xml:space="preserve">Quer pintura interna impecável com produtos Coral e preparo de superfície correto. Termo com sinal de exclusividade: filtra naturalmente o público e combina com o posicionamento premium.</t>
  </si>
  <si>
    <t xml:space="preserve">/marcas-e-sistemas/tintas/coral/#pintura-alto-padrao</t>
  </si>
  <si>
    <t xml:space="preserve">M0165</t>
  </si>
  <si>
    <t xml:space="preserve">Laudo de pintura descascando Coral</t>
  </si>
  <si>
    <t xml:space="preserve">Pintura com Coral descascando ou manchando; quer saber a causa antes de repintar.</t>
  </si>
  <si>
    <t xml:space="preserve">/marcas-e-sistemas/tintas/coral/#laudo-pintura-descascando</t>
  </si>
  <si>
    <t xml:space="preserve">M0166</t>
  </si>
  <si>
    <t xml:space="preserve">Sherwin-Williams</t>
  </si>
  <si>
    <t xml:space="preserve">Tinta Sherwin-Williams</t>
  </si>
  <si>
    <t xml:space="preserve">Pessoa que tem, comprou ou está avaliando produtos Sherwin-Williams e procura quem projete, execute, instale ou avalie com essa marca. Busca segurança técnica e preservação da garantia do fabricante.</t>
  </si>
  <si>
    <t xml:space="preserve">/marcas-e-sistemas/tintas/sherwin-williams/</t>
  </si>
  <si>
    <t xml:space="preserve">M0167</t>
  </si>
  <si>
    <t xml:space="preserve">Pintura de fachada Sherwin-Williams</t>
  </si>
  <si>
    <t xml:space="preserve">Condomínio avaliando sistema de pintura Sherwin-Williams para a fachada e querendo especificação e fiscalização corretas.</t>
  </si>
  <si>
    <t xml:space="preserve">/marcas-e-sistemas/tintas/sherwin-williams/#pintura-fachada</t>
  </si>
  <si>
    <t xml:space="preserve">M0168</t>
  </si>
  <si>
    <t xml:space="preserve">Pintura de alto padrão Sherwin-Williams</t>
  </si>
  <si>
    <t xml:space="preserve">Quer pintura interna impecável com produtos Sherwin-Williams e preparo de superfície correto. Termo com sinal de exclusividade: filtra naturalmente o público e combina com o posicionamento premium.</t>
  </si>
  <si>
    <t xml:space="preserve">/marcas-e-sistemas/tintas/sherwin-williams/#pintura-alto-padrao</t>
  </si>
  <si>
    <t xml:space="preserve">M0169</t>
  </si>
  <si>
    <t xml:space="preserve">Laudo de pintura descascando Sherwin-Williams</t>
  </si>
  <si>
    <t xml:space="preserve">Pintura com Sherwin-Williams descascando ou manchando; quer saber a causa antes de repintar.</t>
  </si>
  <si>
    <t xml:space="preserve">/marcas-e-sistemas/tintas/sherwin-williams/#laudo-pintura-descascando</t>
  </si>
  <si>
    <t xml:space="preserve">M0170</t>
  </si>
  <si>
    <t xml:space="preserve">Lukscolor</t>
  </si>
  <si>
    <t xml:space="preserve">Tinta Lukscolor</t>
  </si>
  <si>
    <t xml:space="preserve">Pessoa que tem, comprou ou está avaliando produtos Lukscolor e procura quem projete, execute, instale ou avalie com essa marca. Busca segurança técnica e preservação da garantia do fabricante.</t>
  </si>
  <si>
    <t xml:space="preserve">/marcas-e-sistemas/tintas/lukscolor/</t>
  </si>
  <si>
    <t xml:space="preserve">M0171</t>
  </si>
  <si>
    <t xml:space="preserve">Pintura de fachada Lukscolor</t>
  </si>
  <si>
    <t xml:space="preserve">Condomínio avaliando sistema de pintura Lukscolor para a fachada e querendo especificação e fiscalização corretas.</t>
  </si>
  <si>
    <t xml:space="preserve">/marcas-e-sistemas/tintas/lukscolor/#pintura-fachada</t>
  </si>
  <si>
    <t xml:space="preserve">M0172</t>
  </si>
  <si>
    <t xml:space="preserve">Pintura de alto padrão Lukscolor</t>
  </si>
  <si>
    <t xml:space="preserve">Quer pintura interna impecável com produtos Lukscolor e preparo de superfície correto. Termo com sinal de exclusividade: filtra naturalmente o público e combina com o posicionamento premium.</t>
  </si>
  <si>
    <t xml:space="preserve">/marcas-e-sistemas/tintas/lukscolor/#pintura-alto-padrao</t>
  </si>
  <si>
    <t xml:space="preserve">M0173</t>
  </si>
  <si>
    <t xml:space="preserve">Laudo de pintura descascando Lukscolor</t>
  </si>
  <si>
    <t xml:space="preserve">Pintura com Lukscolor descascando ou manchando; quer saber a causa antes de repintar.</t>
  </si>
  <si>
    <t xml:space="preserve">/marcas-e-sistemas/tintas/lukscolor/#laudo-pintura-descascando</t>
  </si>
  <si>
    <t xml:space="preserve">M0174</t>
  </si>
  <si>
    <t xml:space="preserve">Quem busca por drywall e forros está escolhendo ou já escolheu um produto e quer saber quem projeta, executa ou avalia com ele. A página lista as marcas da categoria e os serviços ligados a cada uma.</t>
  </si>
  <si>
    <t xml:space="preserve">M0175</t>
  </si>
  <si>
    <t xml:space="preserve">Placo</t>
  </si>
  <si>
    <t xml:space="preserve">Drywall Placo</t>
  </si>
  <si>
    <t xml:space="preserve">Pessoa que tem, comprou ou está avaliando produtos Placo e procura quem projete, execute, instale ou avalie com essa marca. Busca segurança técnica e preservação da garantia do fabricante.</t>
  </si>
  <si>
    <t xml:space="preserve">/marcas-e-sistemas/drywall-e-forros/placo/</t>
  </si>
  <si>
    <t xml:space="preserve">M0176</t>
  </si>
  <si>
    <t xml:space="preserve">Execução de drywall Placo</t>
  </si>
  <si>
    <t xml:space="preserve">Quer paredes com o sistema Placo executadas conforme o manual do fabricante.</t>
  </si>
  <si>
    <t xml:space="preserve">/marcas-e-sistemas/drywall-e-forros/placo/#execucao-drywall</t>
  </si>
  <si>
    <t xml:space="preserve">Linkar para o serviço Execução de drywall em /reformas/execucao-drywall/. Não sugerir parceria, credenciamento ou vínculo; não usar logotipo. Validar texto com jurídico.</t>
  </si>
  <si>
    <t xml:space="preserve">M0177</t>
  </si>
  <si>
    <t xml:space="preserve">Forro de gesso Placo</t>
  </si>
  <si>
    <t xml:space="preserve">Busca forro Placo com acabamento liso e integração com iluminação e ar-condicionado.</t>
  </si>
  <si>
    <t xml:space="preserve">/marcas-e-sistemas/drywall-e-forros/placo/#forro-gesso</t>
  </si>
  <si>
    <t xml:space="preserve">Linkar para o serviço Execução de forro de gesso em /reformas/execucao-forro-gesso/. Não sugerir parceria, credenciamento ou vínculo; não usar logotipo. Validar texto com jurídico.</t>
  </si>
  <si>
    <t xml:space="preserve">M0178</t>
  </si>
  <si>
    <t xml:space="preserve">Isolamento acústico com Placo</t>
  </si>
  <si>
    <t xml:space="preserve">Quer desempenho acústico real entre ambientes usando o sistema Placo.</t>
  </si>
  <si>
    <t xml:space="preserve">/marcas-e-sistemas/drywall-e-forros/placo/#isolamento-acustico</t>
  </si>
  <si>
    <t xml:space="preserve">Linkar para o serviço Execução de isolamento acústico em /reformas/execucao-isolamento-acustico/. Não sugerir parceria, credenciamento ou vínculo; não usar logotipo. Validar texto com jurídico.</t>
  </si>
  <si>
    <t xml:space="preserve">M0179</t>
  </si>
  <si>
    <t xml:space="preserve">Knauf</t>
  </si>
  <si>
    <t xml:space="preserve">Drywall Knauf</t>
  </si>
  <si>
    <t xml:space="preserve">Pessoa que tem, comprou ou está avaliando produtos Knauf e procura quem projete, execute, instale ou avalie com essa marca. Busca segurança técnica e preservação da garantia do fabricante.</t>
  </si>
  <si>
    <t xml:space="preserve">/marcas-e-sistemas/drywall-e-forros/knauf/</t>
  </si>
  <si>
    <t xml:space="preserve">M0180</t>
  </si>
  <si>
    <t xml:space="preserve">Execução de drywall Knauf</t>
  </si>
  <si>
    <t xml:space="preserve">Quer paredes com o sistema Knauf executadas conforme o manual do fabricante.</t>
  </si>
  <si>
    <t xml:space="preserve">/marcas-e-sistemas/drywall-e-forros/knauf/#execucao-drywall</t>
  </si>
  <si>
    <t xml:space="preserve">M0181</t>
  </si>
  <si>
    <t xml:space="preserve">Forro de gesso Knauf</t>
  </si>
  <si>
    <t xml:space="preserve">Busca forro Knauf com acabamento liso e integração com iluminação e ar-condicionado.</t>
  </si>
  <si>
    <t xml:space="preserve">/marcas-e-sistemas/drywall-e-forros/knauf/#forro-gesso</t>
  </si>
  <si>
    <t xml:space="preserve">M0182</t>
  </si>
  <si>
    <t xml:space="preserve">Isolamento acústico com Knauf</t>
  </si>
  <si>
    <t xml:space="preserve">Quer desempenho acústico real entre ambientes usando o sistema Knauf.</t>
  </si>
  <si>
    <t xml:space="preserve">/marcas-e-sistemas/drywall-e-forros/knauf/#isolamento-acustico</t>
  </si>
  <si>
    <t xml:space="preserve">M0183</t>
  </si>
  <si>
    <t xml:space="preserve">Quem busca por telhas e coberturas está escolhendo ou já escolheu um produto e quer saber quem projeta, executa ou avalia com ele. A página lista as marcas da categoria e os serviços ligados a cada uma.</t>
  </si>
  <si>
    <t xml:space="preserve">M0184</t>
  </si>
  <si>
    <t xml:space="preserve">Brasilit</t>
  </si>
  <si>
    <t xml:space="preserve">Telhas Brasilit</t>
  </si>
  <si>
    <t xml:space="preserve">Pessoa que tem, comprou ou está avaliando produtos Brasilit e procura quem projete, execute, instale ou avalie com essa marca. Busca segurança técnica e preservação da garantia do fabricante.</t>
  </si>
  <si>
    <t xml:space="preserve">/marcas-e-sistemas/telhas-e-coberturas/brasilit/</t>
  </si>
  <si>
    <t xml:space="preserve">M0185</t>
  </si>
  <si>
    <t xml:space="preserve">Reforma de telhado com Brasilit</t>
  </si>
  <si>
    <t xml:space="preserve">Quer trocar ou reformar o telhado com telhas Brasilit e estrutura adequada.</t>
  </si>
  <si>
    <t xml:space="preserve">/marcas-e-sistemas/telhas-e-coberturas/brasilit/#reforma-telhado</t>
  </si>
  <si>
    <t xml:space="preserve">Linkar para o serviço Reforma de telhado em /reformas/reforma-telhado/. Não sugerir parceria, credenciamento ou vínculo; não usar logotipo. Validar texto com jurídico.</t>
  </si>
  <si>
    <t xml:space="preserve">M0186</t>
  </si>
  <si>
    <t xml:space="preserve">Laudo de telhado Brasilit</t>
  </si>
  <si>
    <t xml:space="preserve">Telhado Brasilit com vazamento, telhas quebradas ou dano de vendaval; precisa de diagnóstico e, às vezes, de laudo para seguradora.</t>
  </si>
  <si>
    <t xml:space="preserve">/marcas-e-sistemas/telhas-e-coberturas/brasilit/#laudo-telhado</t>
  </si>
  <si>
    <t xml:space="preserve">Linkar para o serviço Laudo de telhado em /laudos-tecnicos/laudo-telhado/. Não sugerir parceria, credenciamento ou vínculo; não usar logotipo. Validar texto com jurídico.</t>
  </si>
  <si>
    <t xml:space="preserve">M0187</t>
  </si>
  <si>
    <t xml:space="preserve">Manutenção de telhado Brasilit</t>
  </si>
  <si>
    <t xml:space="preserve">Quer manutenção preventiva do telhado Brasilit, sobretudo antes do verão e da temporada de chuvas.</t>
  </si>
  <si>
    <t xml:space="preserve">/marcas-e-sistemas/telhas-e-coberturas/brasilit/#manutencao-telhado</t>
  </si>
  <si>
    <t xml:space="preserve">Linkar para o serviço Manutenção de telhado em /recuperacao-e-manutencao/manutencao-telhado/. Não sugerir parceria, credenciamento ou vínculo; não usar logotipo. Validar texto com jurídico.</t>
  </si>
  <si>
    <t xml:space="preserve">M0188</t>
  </si>
  <si>
    <t xml:space="preserve">Eternit</t>
  </si>
  <si>
    <t xml:space="preserve">Telhas Eternit</t>
  </si>
  <si>
    <t xml:space="preserve">Pessoa que tem, comprou ou está avaliando produtos Eternit e procura quem projete, execute, instale ou avalie com essa marca. Busca segurança técnica e preservação da garantia do fabricante.</t>
  </si>
  <si>
    <t xml:space="preserve">/marcas-e-sistemas/telhas-e-coberturas/eternit/</t>
  </si>
  <si>
    <t xml:space="preserve">M0189</t>
  </si>
  <si>
    <t xml:space="preserve">Reforma de telhado com Eternit</t>
  </si>
  <si>
    <t xml:space="preserve">Quer trocar ou reformar o telhado com telhas Eternit e estrutura adequada.</t>
  </si>
  <si>
    <t xml:space="preserve">/marcas-e-sistemas/telhas-e-coberturas/eternit/#reforma-telhado</t>
  </si>
  <si>
    <t xml:space="preserve">M0190</t>
  </si>
  <si>
    <t xml:space="preserve">Laudo de telhado Eternit</t>
  </si>
  <si>
    <t xml:space="preserve">Telhado Eternit com vazamento, telhas quebradas ou dano de vendaval; precisa de diagnóstico e, às vezes, de laudo para seguradora.</t>
  </si>
  <si>
    <t xml:space="preserve">/marcas-e-sistemas/telhas-e-coberturas/eternit/#laudo-telhado</t>
  </si>
  <si>
    <t xml:space="preserve">M0191</t>
  </si>
  <si>
    <t xml:space="preserve">Manutenção de telhado Eternit</t>
  </si>
  <si>
    <t xml:space="preserve">Quer manutenção preventiva do telhado Eternit, sobretudo antes do verão e da temporada de chuvas.</t>
  </si>
  <si>
    <t xml:space="preserve">/marcas-e-sistemas/telhas-e-coberturas/eternit/#manutencao-telhado</t>
  </si>
  <si>
    <t xml:space="preserve">M0192</t>
  </si>
  <si>
    <t xml:space="preserve">Tégula</t>
  </si>
  <si>
    <t xml:space="preserve">Telhas Tégula</t>
  </si>
  <si>
    <t xml:space="preserve">Pessoa que tem, comprou ou está avaliando produtos Tégula e procura quem projete, execute, instale ou avalie com essa marca. Busca segurança técnica e preservação da garantia do fabricante.</t>
  </si>
  <si>
    <t xml:space="preserve">/marcas-e-sistemas/telhas-e-coberturas/tegula/</t>
  </si>
  <si>
    <t xml:space="preserve">M0193</t>
  </si>
  <si>
    <t xml:space="preserve">Reforma de telhado com Tégula</t>
  </si>
  <si>
    <t xml:space="preserve">Quer trocar ou reformar o telhado com telhas Tégula e estrutura adequada.</t>
  </si>
  <si>
    <t xml:space="preserve">/marcas-e-sistemas/telhas-e-coberturas/tegula/#reforma-telhado</t>
  </si>
  <si>
    <t xml:space="preserve">M0194</t>
  </si>
  <si>
    <t xml:space="preserve">Laudo de telhado Tégula</t>
  </si>
  <si>
    <t xml:space="preserve">Telhado Tégula com vazamento, telhas quebradas ou dano de vendaval; precisa de diagnóstico e, às vezes, de laudo para seguradora.</t>
  </si>
  <si>
    <t xml:space="preserve">/marcas-e-sistemas/telhas-e-coberturas/tegula/#laudo-telhado</t>
  </si>
  <si>
    <t xml:space="preserve">M0195</t>
  </si>
  <si>
    <t xml:space="preserve">Manutenção de telhado Tégula</t>
  </si>
  <si>
    <t xml:space="preserve">Quer manutenção preventiva do telhado Tégula, sobretudo antes do verão e da temporada de chuvas.</t>
  </si>
  <si>
    <t xml:space="preserve">/marcas-e-sistemas/telhas-e-coberturas/tegula/#manutencao-telhado</t>
  </si>
  <si>
    <t xml:space="preserve">M0196</t>
  </si>
  <si>
    <t xml:space="preserve">Owens Corning</t>
  </si>
  <si>
    <t xml:space="preserve">Telhas Owens Corning</t>
  </si>
  <si>
    <t xml:space="preserve">Pessoa que tem, comprou ou está avaliando produtos Owens Corning e procura quem projete, execute, instale ou avalie com essa marca. Busca segurança técnica e preservação da garantia do fabricante.</t>
  </si>
  <si>
    <t xml:space="preserve">/marcas-e-sistemas/telhas-e-coberturas/owens-corning/</t>
  </si>
  <si>
    <t xml:space="preserve">M0197</t>
  </si>
  <si>
    <t xml:space="preserve">Reforma de telhado com Owens Corning</t>
  </si>
  <si>
    <t xml:space="preserve">Quer trocar ou reformar o telhado com telhas Owens Corning e estrutura adequada.</t>
  </si>
  <si>
    <t xml:space="preserve">/marcas-e-sistemas/telhas-e-coberturas/owens-corning/#reforma-telhado</t>
  </si>
  <si>
    <t xml:space="preserve">M0198</t>
  </si>
  <si>
    <t xml:space="preserve">Laudo de telhado Owens Corning</t>
  </si>
  <si>
    <t xml:space="preserve">Telhado Owens Corning com vazamento, telhas quebradas ou dano de vendaval; precisa de diagnóstico e, às vezes, de laudo para seguradora.</t>
  </si>
  <si>
    <t xml:space="preserve">/marcas-e-sistemas/telhas-e-coberturas/owens-corning/#laudo-telhado</t>
  </si>
  <si>
    <t xml:space="preserve">M0199</t>
  </si>
  <si>
    <t xml:space="preserve">Manutenção de telhado Owens Corning</t>
  </si>
  <si>
    <t xml:space="preserve">Quer manutenção preventiva do telhado Owens Corning, sobretudo antes do verão e da temporada de chuvas.</t>
  </si>
  <si>
    <t xml:space="preserve">/marcas-e-sistemas/telhas-e-coberturas/owens-corning/#manutencao-telhado</t>
  </si>
  <si>
    <t xml:space="preserve">M0200</t>
  </si>
  <si>
    <t xml:space="preserve">IKO</t>
  </si>
  <si>
    <t xml:space="preserve">Telhas IKO</t>
  </si>
  <si>
    <t xml:space="preserve">Pessoa que tem, comprou ou está avaliando produtos IKO e procura quem projete, execute, instale ou avalie com essa marca. Busca segurança técnica e preservação da garantia do fabricante.</t>
  </si>
  <si>
    <t xml:space="preserve">/marcas-e-sistemas/telhas-e-coberturas/iko/</t>
  </si>
  <si>
    <t xml:space="preserve">M0201</t>
  </si>
  <si>
    <t xml:space="preserve">Reforma de telhado com IKO</t>
  </si>
  <si>
    <t xml:space="preserve">Quer trocar ou reformar o telhado com telhas IKO e estrutura adequada.</t>
  </si>
  <si>
    <t xml:space="preserve">/marcas-e-sistemas/telhas-e-coberturas/iko/#reforma-telhado</t>
  </si>
  <si>
    <t xml:space="preserve">M0202</t>
  </si>
  <si>
    <t xml:space="preserve">Laudo de telhado IKO</t>
  </si>
  <si>
    <t xml:space="preserve">Telhado IKO com vazamento, telhas quebradas ou dano de vendaval; precisa de diagnóstico e, às vezes, de laudo para seguradora.</t>
  </si>
  <si>
    <t xml:space="preserve">/marcas-e-sistemas/telhas-e-coberturas/iko/#laudo-telhado</t>
  </si>
  <si>
    <t xml:space="preserve">M0203</t>
  </si>
  <si>
    <t xml:space="preserve">Manutenção de telhado IKO</t>
  </si>
  <si>
    <t xml:space="preserve">Quer manutenção preventiva do telhado IKO, sobretudo antes do verão e da temporada de chuvas.</t>
  </si>
  <si>
    <t xml:space="preserve">/marcas-e-sistemas/telhas-e-coberturas/iko/#manutencao-telhado</t>
  </si>
  <si>
    <t xml:space="preserve">M0204</t>
  </si>
  <si>
    <t xml:space="preserve">Kingspan Isoeste</t>
  </si>
  <si>
    <t xml:space="preserve">Telhas Kingspan Isoeste</t>
  </si>
  <si>
    <t xml:space="preserve">Pessoa que tem, comprou ou está avaliando produtos Kingspan Isoeste e procura quem projete, execute, instale ou avalie com essa marca. Busca segurança técnica e preservação da garantia do fabricante.</t>
  </si>
  <si>
    <t xml:space="preserve">/marcas-e-sistemas/telhas-e-coberturas/kingspan-isoeste/</t>
  </si>
  <si>
    <t xml:space="preserve">M0205</t>
  </si>
  <si>
    <t xml:space="preserve">Reforma de telhado com Kingspan Isoeste</t>
  </si>
  <si>
    <t xml:space="preserve">Quer trocar ou reformar o telhado com telhas Kingspan Isoeste e estrutura adequada.</t>
  </si>
  <si>
    <t xml:space="preserve">/marcas-e-sistemas/telhas-e-coberturas/kingspan-isoeste/#reforma-telhado</t>
  </si>
  <si>
    <t xml:space="preserve">M0206</t>
  </si>
  <si>
    <t xml:space="preserve">Laudo de telhado Kingspan Isoeste</t>
  </si>
  <si>
    <t xml:space="preserve">Telhado Kingspan Isoeste com vazamento, telhas quebradas ou dano de vendaval; precisa de diagnóstico e, às vezes, de laudo para seguradora.</t>
  </si>
  <si>
    <t xml:space="preserve">/marcas-e-sistemas/telhas-e-coberturas/kingspan-isoeste/#laudo-telhado</t>
  </si>
  <si>
    <t xml:space="preserve">M0207</t>
  </si>
  <si>
    <t xml:space="preserve">Manutenção de telhado Kingspan Isoeste</t>
  </si>
  <si>
    <t xml:space="preserve">Quer manutenção preventiva do telhado Kingspan Isoeste, sobretudo antes do verão e da temporada de chuvas.</t>
  </si>
  <si>
    <t xml:space="preserve">/marcas-e-sistemas/telhas-e-coberturas/kingspan-isoeste/#manutencao-telhado</t>
  </si>
  <si>
    <t xml:space="preserve">M0208</t>
  </si>
  <si>
    <t xml:space="preserve">Quem busca por pisos de madeira e vinílicos está escolhendo ou já escolheu um produto e quer saber quem projeta, executa ou avalia com ele. A página lista as marcas da categoria e os serviços ligados a cada uma.</t>
  </si>
  <si>
    <t xml:space="preserve">M0209</t>
  </si>
  <si>
    <t xml:space="preserve">Durafloor</t>
  </si>
  <si>
    <t xml:space="preserve">Piso Durafloor</t>
  </si>
  <si>
    <t xml:space="preserve">Pessoa que tem, comprou ou está avaliando produtos Durafloor e procura quem projete, execute, instale ou avalie com essa marca. Busca segurança técnica e preservação da garantia do fabricante.</t>
  </si>
  <si>
    <t xml:space="preserve">/marcas-e-sistemas/pisos-madeira-e-vinilicos/durafloor/</t>
  </si>
  <si>
    <t xml:space="preserve">M0210</t>
  </si>
  <si>
    <t xml:space="preserve">Instalação de piso Durafloor</t>
  </si>
  <si>
    <t xml:space="preserve">Escolheu piso Durafloor e quer instalação com contrapiso e umidade controlados.</t>
  </si>
  <si>
    <t xml:space="preserve">/marcas-e-sistemas/pisos-madeira-e-vinilicos/durafloor/#instalacao-piso</t>
  </si>
  <si>
    <t xml:space="preserve">Linkar para o serviço Instalação de piso de madeira em /reformas/instalacao-piso-madeira/. Não sugerir parceria, credenciamento ou vínculo; não usar logotipo. Validar texto com jurídico.</t>
  </si>
  <si>
    <t xml:space="preserve">M0211</t>
  </si>
  <si>
    <t xml:space="preserve">Laudo de piso Durafloor descolando</t>
  </si>
  <si>
    <t xml:space="preserve">Piso Durafloor descolando, empenando ou estufando; precisa saber a causa para acionar garantia. A janela de férias escolares define o prazo.</t>
  </si>
  <si>
    <t xml:space="preserve">/marcas-e-sistemas/pisos-madeira-e-vinilicos/durafloor/#laudo-piso-descolando</t>
  </si>
  <si>
    <t xml:space="preserve">Linkar para o serviço Laudo de patologias construtivas em /laudos-tecnicos/laudo-patologias-construtivas/. Não sugerir parceria, credenciamento ou vínculo; não usar logotipo. Validar texto com jurídico.</t>
  </si>
  <si>
    <t xml:space="preserve">M0212</t>
  </si>
  <si>
    <t xml:space="preserve">Eucafloor</t>
  </si>
  <si>
    <t xml:space="preserve">Piso Eucafloor</t>
  </si>
  <si>
    <t xml:space="preserve">Pessoa que tem, comprou ou está avaliando produtos Eucafloor e procura quem projete, execute, instale ou avalie com essa marca. Busca segurança técnica e preservação da garantia do fabricante.</t>
  </si>
  <si>
    <t xml:space="preserve">/marcas-e-sistemas/pisos-madeira-e-vinilicos/eucafloor/</t>
  </si>
  <si>
    <t xml:space="preserve">M0213</t>
  </si>
  <si>
    <t xml:space="preserve">Instalação de piso Eucafloor</t>
  </si>
  <si>
    <t xml:space="preserve">Escolheu piso Eucafloor e quer instalação com contrapiso e umidade controlados.</t>
  </si>
  <si>
    <t xml:space="preserve">/marcas-e-sistemas/pisos-madeira-e-vinilicos/eucafloor/#instalacao-piso</t>
  </si>
  <si>
    <t xml:space="preserve">M0214</t>
  </si>
  <si>
    <t xml:space="preserve">Laudo de piso Eucafloor descolando</t>
  </si>
  <si>
    <t xml:space="preserve">Piso Eucafloor descolando, empenando ou estufando; precisa saber a causa para acionar garantia. A janela de férias escolares define o prazo.</t>
  </si>
  <si>
    <t xml:space="preserve">/marcas-e-sistemas/pisos-madeira-e-vinilicos/eucafloor/#laudo-piso-descolando</t>
  </si>
  <si>
    <t xml:space="preserve">M0215</t>
  </si>
  <si>
    <t xml:space="preserve">Indusparquet</t>
  </si>
  <si>
    <t xml:space="preserve">Piso Indusparquet</t>
  </si>
  <si>
    <t xml:space="preserve">Pessoa que tem, comprou ou está avaliando produtos Indusparquet e procura quem projete, execute, instale ou avalie com essa marca. Busca segurança técnica e preservação da garantia do fabricante.</t>
  </si>
  <si>
    <t xml:space="preserve">/marcas-e-sistemas/pisos-madeira-e-vinilicos/indusparquet/</t>
  </si>
  <si>
    <t xml:space="preserve">M0216</t>
  </si>
  <si>
    <t xml:space="preserve">Instalação de piso Indusparquet</t>
  </si>
  <si>
    <t xml:space="preserve">Escolheu piso Indusparquet e quer instalação com contrapiso e umidade controlados.</t>
  </si>
  <si>
    <t xml:space="preserve">/marcas-e-sistemas/pisos-madeira-e-vinilicos/indusparquet/#instalacao-piso</t>
  </si>
  <si>
    <t xml:space="preserve">M0217</t>
  </si>
  <si>
    <t xml:space="preserve">Laudo de piso Indusparquet descolando</t>
  </si>
  <si>
    <t xml:space="preserve">Piso Indusparquet descolando, empenando ou estufando; precisa saber a causa para acionar garantia. A janela de férias escolares define o prazo.</t>
  </si>
  <si>
    <t xml:space="preserve">/marcas-e-sistemas/pisos-madeira-e-vinilicos/indusparquet/#laudo-piso-descolando</t>
  </si>
  <si>
    <t xml:space="preserve">M0218</t>
  </si>
  <si>
    <t xml:space="preserve">Tarkett</t>
  </si>
  <si>
    <t xml:space="preserve">Piso Tarkett</t>
  </si>
  <si>
    <t xml:space="preserve">Pessoa que tem, comprou ou está avaliando produtos Tarkett e procura quem projete, execute, instale ou avalie com essa marca. Busca segurança técnica e preservação da garantia do fabricante.</t>
  </si>
  <si>
    <t xml:space="preserve">/marcas-e-sistemas/pisos-madeira-e-vinilicos/tarkett/</t>
  </si>
  <si>
    <t xml:space="preserve">M0219</t>
  </si>
  <si>
    <t xml:space="preserve">Instalação de piso Tarkett</t>
  </si>
  <si>
    <t xml:space="preserve">Escolheu piso Tarkett e quer instalação com contrapiso e umidade controlados.</t>
  </si>
  <si>
    <t xml:space="preserve">/marcas-e-sistemas/pisos-madeira-e-vinilicos/tarkett/#instalacao-piso</t>
  </si>
  <si>
    <t xml:space="preserve">M0220</t>
  </si>
  <si>
    <t xml:space="preserve">Laudo de piso Tarkett descolando</t>
  </si>
  <si>
    <t xml:space="preserve">Piso Tarkett descolando, empenando ou estufando; precisa saber a causa para acionar garantia. A janela de férias escolares define o prazo.</t>
  </si>
  <si>
    <t xml:space="preserve">/marcas-e-sistemas/pisos-madeira-e-vinilicos/tarkett/#laudo-piso-descolando</t>
  </si>
  <si>
    <t xml:space="preserve">M0221</t>
  </si>
  <si>
    <t xml:space="preserve">Quick-Step</t>
  </si>
  <si>
    <t xml:space="preserve">Piso Quick-Step</t>
  </si>
  <si>
    <t xml:space="preserve">Pessoa que tem, comprou ou está avaliando produtos Quick-Step e procura quem projete, execute, instale ou avalie com essa marca. Busca segurança técnica e preservação da garantia do fabricante.</t>
  </si>
  <si>
    <t xml:space="preserve">/marcas-e-sistemas/pisos-madeira-e-vinilicos/quick-step/</t>
  </si>
  <si>
    <t xml:space="preserve">M0222</t>
  </si>
  <si>
    <t xml:space="preserve">Instalação de piso Quick-Step</t>
  </si>
  <si>
    <t xml:space="preserve">Escolheu piso Quick-Step e quer instalação com contrapiso e umidade controlados.</t>
  </si>
  <si>
    <t xml:space="preserve">/marcas-e-sistemas/pisos-madeira-e-vinilicos/quick-step/#instalacao-piso</t>
  </si>
  <si>
    <t xml:space="preserve">M0223</t>
  </si>
  <si>
    <t xml:space="preserve">Laudo de piso Quick-Step descolando</t>
  </si>
  <si>
    <t xml:space="preserve">Piso Quick-Step descolando, empenando ou estufando; precisa saber a causa para acionar garantia. A janela de férias escolares define o prazo.</t>
  </si>
  <si>
    <t xml:space="preserve">/marcas-e-sistemas/pisos-madeira-e-vinilicos/quick-step/#laudo-piso-descolando</t>
  </si>
  <si>
    <t xml:space="preserve">M0224</t>
  </si>
  <si>
    <t xml:space="preserve">Quem busca por superfícies e pedras está escolhendo ou já escolheu um produto e quer saber quem projeta, executa ou avalia com ele. A página lista as marcas da categoria e os serviços ligados a cada uma.</t>
  </si>
  <si>
    <t xml:space="preserve">M0225</t>
  </si>
  <si>
    <t xml:space="preserve">Dekton</t>
  </si>
  <si>
    <t xml:space="preserve">Superfície Dekton</t>
  </si>
  <si>
    <t xml:space="preserve">Pessoa que tem, comprou ou está avaliando produtos Dekton e procura quem projete, execute, instale ou avalie com essa marca. Busca segurança técnica e preservação da garantia do fabricante.</t>
  </si>
  <si>
    <t xml:space="preserve">/marcas-e-sistemas/superficies-e-pedras/dekton/</t>
  </si>
  <si>
    <t xml:space="preserve">M0226</t>
  </si>
  <si>
    <t xml:space="preserve">Bancada Dekton</t>
  </si>
  <si>
    <t xml:space="preserve">Especificou superfície Dekton e quer instalação sem trincas, com apoio estrutural adequado.</t>
  </si>
  <si>
    <t xml:space="preserve">/marcas-e-sistemas/superficies-e-pedras/dekton/#bancada</t>
  </si>
  <si>
    <t xml:space="preserve">Linkar para o serviço Execução de bancadas em pedra em /reformas/execucao-bancadas-em-pedra/. Não sugerir parceria, credenciamento ou vínculo; não usar logotipo. Validar texto com jurídico.</t>
  </si>
  <si>
    <t xml:space="preserve">M0227</t>
  </si>
  <si>
    <t xml:space="preserve">Revestimento de fachada com Dekton</t>
  </si>
  <si>
    <t xml:space="preserve">Avalia fachada ventilada ou revestimento com placas Dekton.</t>
  </si>
  <si>
    <t xml:space="preserve">/marcas-e-sistemas/superficies-e-pedras/dekton/#revestimento-fachada</t>
  </si>
  <si>
    <t xml:space="preserve">Linkar para o serviço Instalação de fachada ventilada em /recuperacao-e-manutencao/instalacao-fachada-ventilada/. Não sugerir parceria, credenciamento ou vínculo; não usar logotipo. Validar texto com jurídico.</t>
  </si>
  <si>
    <t xml:space="preserve">M0228</t>
  </si>
  <si>
    <t xml:space="preserve">Silestone</t>
  </si>
  <si>
    <t xml:space="preserve">Superfície Silestone</t>
  </si>
  <si>
    <t xml:space="preserve">Pessoa que tem, comprou ou está avaliando produtos Silestone e procura quem projete, execute, instale ou avalie com essa marca. Busca segurança técnica e preservação da garantia do fabricante.</t>
  </si>
  <si>
    <t xml:space="preserve">/marcas-e-sistemas/superficies-e-pedras/silestone/</t>
  </si>
  <si>
    <t xml:space="preserve">M0229</t>
  </si>
  <si>
    <t xml:space="preserve">Bancada Silestone</t>
  </si>
  <si>
    <t xml:space="preserve">Especificou superfície Silestone e quer instalação sem trincas, com apoio estrutural adequado.</t>
  </si>
  <si>
    <t xml:space="preserve">/marcas-e-sistemas/superficies-e-pedras/silestone/#bancada</t>
  </si>
  <si>
    <t xml:space="preserve">M0230</t>
  </si>
  <si>
    <t xml:space="preserve">Revestimento de fachada com Silestone</t>
  </si>
  <si>
    <t xml:space="preserve">Avalia fachada ventilada ou revestimento com placas Silestone.</t>
  </si>
  <si>
    <t xml:space="preserve">/marcas-e-sistemas/superficies-e-pedras/silestone/#revestimento-fachada</t>
  </si>
  <si>
    <t xml:space="preserve">M0231</t>
  </si>
  <si>
    <t xml:space="preserve">Neolith</t>
  </si>
  <si>
    <t xml:space="preserve">Superfície Neolith</t>
  </si>
  <si>
    <t xml:space="preserve">Pessoa que tem, comprou ou está avaliando produtos Neolith e procura quem projete, execute, instale ou avalie com essa marca. Busca segurança técnica e preservação da garantia do fabricante.</t>
  </si>
  <si>
    <t xml:space="preserve">/marcas-e-sistemas/superficies-e-pedras/neolith/</t>
  </si>
  <si>
    <t xml:space="preserve">M0232</t>
  </si>
  <si>
    <t xml:space="preserve">Bancada Neolith</t>
  </si>
  <si>
    <t xml:space="preserve">Especificou superfície Neolith e quer instalação sem trincas, com apoio estrutural adequado.</t>
  </si>
  <si>
    <t xml:space="preserve">/marcas-e-sistemas/superficies-e-pedras/neolith/#bancada</t>
  </si>
  <si>
    <t xml:space="preserve">M0233</t>
  </si>
  <si>
    <t xml:space="preserve">Revestimento de fachada com Neolith</t>
  </si>
  <si>
    <t xml:space="preserve">Avalia fachada ventilada ou revestimento com placas Neolith.</t>
  </si>
  <si>
    <t xml:space="preserve">/marcas-e-sistemas/superficies-e-pedras/neolith/#revestimento-fachada</t>
  </si>
  <si>
    <t xml:space="preserve">M0234</t>
  </si>
  <si>
    <t xml:space="preserve">Quem busca por vidros está escolhendo ou já escolheu um produto e quer saber quem projeta, executa ou avalia com ele. A página lista as marcas da categoria e os serviços ligados a cada uma.</t>
  </si>
  <si>
    <t xml:space="preserve">M0235</t>
  </si>
  <si>
    <t xml:space="preserve">Cebrace</t>
  </si>
  <si>
    <t xml:space="preserve">Vidro Cebrace</t>
  </si>
  <si>
    <t xml:space="preserve">Pessoa que tem, comprou ou está avaliando produtos Cebrace e procura quem projete, execute, instale ou avalie com essa marca. Busca segurança técnica e preservação da garantia do fabricante.</t>
  </si>
  <si>
    <t xml:space="preserve">/marcas-e-sistemas/vidros/cebrace/</t>
  </si>
  <si>
    <t xml:space="preserve">M0236</t>
  </si>
  <si>
    <t xml:space="preserve">Instalação de vidros Cebrace</t>
  </si>
  <si>
    <t xml:space="preserve">Quer instalar vidros Cebrace com controle solar e segurança em casa ou empresa.</t>
  </si>
  <si>
    <t xml:space="preserve">/marcas-e-sistemas/vidros/cebrace/#instalacao-vidros</t>
  </si>
  <si>
    <t xml:space="preserve">Linkar para o serviço Instalação de vidros em /reformas/instalacao-vidros/. Não sugerir parceria, credenciamento ou vínculo; não usar logotipo. Validar texto com jurídico.</t>
  </si>
  <si>
    <t xml:space="preserve">M0237</t>
  </si>
  <si>
    <t xml:space="preserve">Pele de vidro Cebrace</t>
  </si>
  <si>
    <t xml:space="preserve">Avalia fachada em pele de vidro com produtos Cebrace.</t>
  </si>
  <si>
    <t xml:space="preserve">/marcas-e-sistemas/vidros/cebrace/#pele-vidro</t>
  </si>
  <si>
    <t xml:space="preserve">Linkar para o serviço Instalação de pele de vidro em /recuperacao-e-manutencao/instalacao-pele-vidro/. Não sugerir parceria, credenciamento ou vínculo; não usar logotipo. Validar texto com jurídico.</t>
  </si>
  <si>
    <t xml:space="preserve">M0238</t>
  </si>
  <si>
    <t xml:space="preserve">Guarda-corpo de vidro Cebrace</t>
  </si>
  <si>
    <t xml:space="preserve">Precisa de guarda-corpo de vidro Cebrace seguro e dentro da norma.</t>
  </si>
  <si>
    <t xml:space="preserve">/marcas-e-sistemas/vidros/cebrace/#guarda-corpo-vidro</t>
  </si>
  <si>
    <t xml:space="preserve">Linkar para o serviço Instalação de guarda-corpo em /reformas/instalacao-guarda-corpo/. Não sugerir parceria, credenciamento ou vínculo; não usar logotipo. Validar texto com jurídico.</t>
  </si>
  <si>
    <t xml:space="preserve">M0239</t>
  </si>
  <si>
    <t xml:space="preserve">Guardian</t>
  </si>
  <si>
    <t xml:space="preserve">Vidro Guardian</t>
  </si>
  <si>
    <t xml:space="preserve">Pessoa que tem, comprou ou está avaliando produtos Guardian e procura quem projete, execute, instale ou avalie com essa marca. Busca segurança técnica e preservação da garantia do fabricante.</t>
  </si>
  <si>
    <t xml:space="preserve">/marcas-e-sistemas/vidros/guardian/</t>
  </si>
  <si>
    <t xml:space="preserve">M0240</t>
  </si>
  <si>
    <t xml:space="preserve">Instalação de vidros Guardian</t>
  </si>
  <si>
    <t xml:space="preserve">Quer instalar vidros Guardian com controle solar e segurança em casa ou empresa.</t>
  </si>
  <si>
    <t xml:space="preserve">/marcas-e-sistemas/vidros/guardian/#instalacao-vidros</t>
  </si>
  <si>
    <t xml:space="preserve">M0241</t>
  </si>
  <si>
    <t xml:space="preserve">Pele de vidro Guardian</t>
  </si>
  <si>
    <t xml:space="preserve">Avalia fachada em pele de vidro com produtos Guardian.</t>
  </si>
  <si>
    <t xml:space="preserve">/marcas-e-sistemas/vidros/guardian/#pele-vidro</t>
  </si>
  <si>
    <t xml:space="preserve">M0242</t>
  </si>
  <si>
    <t xml:space="preserve">Guarda-corpo de vidro Guardian</t>
  </si>
  <si>
    <t xml:space="preserve">Precisa de guarda-corpo de vidro Guardian seguro e dentro da norma.</t>
  </si>
  <si>
    <t xml:space="preserve">/marcas-e-sistemas/vidros/guardian/#guarda-corpo-vidro</t>
  </si>
  <si>
    <t xml:space="preserve">M0243</t>
  </si>
  <si>
    <t xml:space="preserve">Saint-Gobain Glass</t>
  </si>
  <si>
    <t xml:space="preserve">Vidro Saint-Gobain Glass</t>
  </si>
  <si>
    <t xml:space="preserve">Pessoa que tem, comprou ou está avaliando produtos Saint-Gobain Glass e procura quem projete, execute, instale ou avalie com essa marca. Busca segurança técnica e preservação da garantia do fabricante.</t>
  </si>
  <si>
    <t xml:space="preserve">/marcas-e-sistemas/vidros/saint-gobain-glass/</t>
  </si>
  <si>
    <t xml:space="preserve">M0244</t>
  </si>
  <si>
    <t xml:space="preserve">Instalação de vidros Saint-Gobain Glass</t>
  </si>
  <si>
    <t xml:space="preserve">Quer instalar vidros Saint-Gobain Glass com controle solar e segurança em casa ou empresa.</t>
  </si>
  <si>
    <t xml:space="preserve">/marcas-e-sistemas/vidros/saint-gobain-glass/#instalacao-vidros</t>
  </si>
  <si>
    <t xml:space="preserve">M0245</t>
  </si>
  <si>
    <t xml:space="preserve">Pele de vidro Saint-Gobain Glass</t>
  </si>
  <si>
    <t xml:space="preserve">Avalia fachada em pele de vidro com produtos Saint-Gobain Glass.</t>
  </si>
  <si>
    <t xml:space="preserve">/marcas-e-sistemas/vidros/saint-gobain-glass/#pele-vidro</t>
  </si>
  <si>
    <t xml:space="preserve">M0246</t>
  </si>
  <si>
    <t xml:space="preserve">Guarda-corpo de vidro Saint-Gobain Glass</t>
  </si>
  <si>
    <t xml:space="preserve">Precisa de guarda-corpo de vidro Saint-Gobain Glass seguro e dentro da norma.</t>
  </si>
  <si>
    <t xml:space="preserve">/marcas-e-sistemas/vidros/saint-gobain-glass/#guarda-corpo-vidro</t>
  </si>
  <si>
    <t xml:space="preserve">M0247</t>
  </si>
  <si>
    <t xml:space="preserve">Quem busca por painéis de madeira está escolhendo ou já escolheu um produto e quer saber quem projeta, executa ou avalia com ele. A página lista as marcas da categoria e os serviços ligados a cada uma.</t>
  </si>
  <si>
    <t xml:space="preserve">M0248</t>
  </si>
  <si>
    <t xml:space="preserve">Duratex</t>
  </si>
  <si>
    <t xml:space="preserve">MDF Duratex</t>
  </si>
  <si>
    <t xml:space="preserve">Pessoa que tem, comprou ou está avaliando produtos Duratex e procura quem projete, execute, instale ou avalie com essa marca. Busca segurança técnica e preservação da garantia do fabricante.</t>
  </si>
  <si>
    <t xml:space="preserve">/marcas-e-sistemas/paineis-madeira/duratex/</t>
  </si>
  <si>
    <t xml:space="preserve">M0249</t>
  </si>
  <si>
    <t xml:space="preserve">Marcenaria com MDF Duratex</t>
  </si>
  <si>
    <t xml:space="preserve">Marcenaria especificada com MDF Duratex; quer gestão que garanta prazo, medidas e integração com a obra. Carrega preocupação com maresia, umidade e o calendário da temporada.</t>
  </si>
  <si>
    <t xml:space="preserve">/marcas-e-sistemas/paineis-madeira/duratex/#marcenaria-com-mdf</t>
  </si>
  <si>
    <t xml:space="preserve">Linkar para o serviço Gestão de marcenaria em /reformas/gestao-marcenaria/. Não sugerir parceria, credenciamento ou vínculo; não usar logotipo. Validar texto com jurídico.</t>
  </si>
  <si>
    <t xml:space="preserve">M0250</t>
  </si>
  <si>
    <t xml:space="preserve">Arauco</t>
  </si>
  <si>
    <t xml:space="preserve">MDF Arauco</t>
  </si>
  <si>
    <t xml:space="preserve">Pessoa que tem, comprou ou está avaliando produtos Arauco e procura quem projete, execute, instale ou avalie com essa marca. Busca segurança técnica e preservação da garantia do fabricante.</t>
  </si>
  <si>
    <t xml:space="preserve">/marcas-e-sistemas/paineis-madeira/arauco/</t>
  </si>
  <si>
    <t xml:space="preserve">M0251</t>
  </si>
  <si>
    <t xml:space="preserve">Marcenaria com MDF Arauco</t>
  </si>
  <si>
    <t xml:space="preserve">Marcenaria especificada com MDF Arauco; quer gestão que garanta prazo, medidas e integração com a obra. Carrega preocupação com maresia, umidade e o calendário da temporada.</t>
  </si>
  <si>
    <t xml:space="preserve">/marcas-e-sistemas/paineis-madeira/arauco/#marcenaria-com-mdf</t>
  </si>
  <si>
    <t xml:space="preserve">M0252</t>
  </si>
  <si>
    <t xml:space="preserve">Berneck</t>
  </si>
  <si>
    <t xml:space="preserve">MDF Berneck</t>
  </si>
  <si>
    <t xml:space="preserve">Pessoa que tem, comprou ou está avaliando produtos Berneck e procura quem projete, execute, instale ou avalie com essa marca. Busca segurança técnica e preservação da garantia do fabricante.</t>
  </si>
  <si>
    <t xml:space="preserve">/marcas-e-sistemas/paineis-madeira/berneck/</t>
  </si>
  <si>
    <t xml:space="preserve">M0253</t>
  </si>
  <si>
    <t xml:space="preserve">Marcenaria com MDF Berneck</t>
  </si>
  <si>
    <t xml:space="preserve">Marcenaria especificada com MDF Berneck; quer gestão que garanta prazo, medidas e integração com a obra. Carrega preocupação com maresia, umidade e o calendário da temporada.</t>
  </si>
  <si>
    <t xml:space="preserve">/marcas-e-sistemas/paineis-madeira/berneck/#marcenaria-com-mdf</t>
  </si>
  <si>
    <t xml:space="preserve">M0254</t>
  </si>
  <si>
    <t xml:space="preserve">Quem busca por elevadores está escolhendo ou já escolheu um produto e quer saber quem projeta, executa ou avalia com ele. A página lista as marcas da categoria e os serviços ligados a cada uma.</t>
  </si>
  <si>
    <t xml:space="preserve">M0255</t>
  </si>
  <si>
    <t xml:space="preserve">TK Elevator</t>
  </si>
  <si>
    <t xml:space="preserve">Elevador TK Elevator</t>
  </si>
  <si>
    <t xml:space="preserve">Marca de equipamento</t>
  </si>
  <si>
    <t xml:space="preserve">Pessoa que tem, comprou ou está avaliando produtos TK Elevator e procura quem projete, execute, instale ou avalie com essa marca. Busca segurança técnica e preservação da garantia do fabricante.</t>
  </si>
  <si>
    <t xml:space="preserve">/marcas-e-sistemas/elevadores/tk-elevator/</t>
  </si>
  <si>
    <t xml:space="preserve">M0256</t>
  </si>
  <si>
    <t xml:space="preserve">Elevador residencial TK Elevator</t>
  </si>
  <si>
    <t xml:space="preserve">Quer instalar elevador TK Elevator em casa, geralmente por acessibilidade, e precisa da obra civil e da viabilidade estrutural.</t>
  </si>
  <si>
    <t xml:space="preserve">/marcas-e-sistemas/elevadores/tk-elevator/elevador-residencial/</t>
  </si>
  <si>
    <t xml:space="preserve">Linkar para o serviço Instalação de elevador residencial em /instalacoes/instalacao-elevador-residencial/. Não sugerir parceria, credenciamento ou vínculo; não usar logotipo. Validar texto com jurídico.</t>
  </si>
  <si>
    <t xml:space="preserve">M0257</t>
  </si>
  <si>
    <t xml:space="preserve">Obra civil para elevador TK Elevator</t>
  </si>
  <si>
    <t xml:space="preserve">Já contratou o elevador TK Elevator e precisa do poço, da casa de máquinas e dos ajustes estruturais.</t>
  </si>
  <si>
    <t xml:space="preserve">/marcas-e-sistemas/elevadores/tk-elevator/#obra-civil-para-elevador</t>
  </si>
  <si>
    <t xml:space="preserve">M0258</t>
  </si>
  <si>
    <t xml:space="preserve">Projeto para elevador TK Elevator</t>
  </si>
  <si>
    <t xml:space="preserve">Precisa do projeto civil e estrutural compatível com o elevador TK Elevator.</t>
  </si>
  <si>
    <t xml:space="preserve">/marcas-e-sistemas/elevadores/tk-elevator/#projeto-para-elevador</t>
  </si>
  <si>
    <t xml:space="preserve">Linkar para o serviço Projeto de elevador residencial em /projetos/projeto-elevador-residencial/. Não sugerir parceria, credenciamento ou vínculo; não usar logotipo. Validar texto com jurídico.</t>
  </si>
  <si>
    <t xml:space="preserve">M0259</t>
  </si>
  <si>
    <t xml:space="preserve">Otis</t>
  </si>
  <si>
    <t xml:space="preserve">Elevador Otis</t>
  </si>
  <si>
    <t xml:space="preserve">Pessoa que tem, comprou ou está avaliando produtos Otis e procura quem projete, execute, instale ou avalie com essa marca. Busca segurança técnica e preservação da garantia do fabricante.</t>
  </si>
  <si>
    <t xml:space="preserve">/marcas-e-sistemas/elevadores/otis/</t>
  </si>
  <si>
    <t xml:space="preserve">M0260</t>
  </si>
  <si>
    <t xml:space="preserve">Elevador residencial Otis</t>
  </si>
  <si>
    <t xml:space="preserve">Quer instalar elevador Otis em casa, geralmente por acessibilidade, e precisa da obra civil e da viabilidade estrutural.</t>
  </si>
  <si>
    <t xml:space="preserve">/marcas-e-sistemas/elevadores/otis/elevador-residencial/</t>
  </si>
  <si>
    <t xml:space="preserve">M0261</t>
  </si>
  <si>
    <t xml:space="preserve">Obra civil para elevador Otis</t>
  </si>
  <si>
    <t xml:space="preserve">Já contratou o elevador Otis e precisa do poço, da casa de máquinas e dos ajustes estruturais.</t>
  </si>
  <si>
    <t xml:space="preserve">/marcas-e-sistemas/elevadores/otis/#obra-civil-para-elevador</t>
  </si>
  <si>
    <t xml:space="preserve">M0262</t>
  </si>
  <si>
    <t xml:space="preserve">Projeto para elevador Otis</t>
  </si>
  <si>
    <t xml:space="preserve">Precisa do projeto civil e estrutural compatível com o elevador Otis.</t>
  </si>
  <si>
    <t xml:space="preserve">/marcas-e-sistemas/elevadores/otis/#projeto-para-elevador</t>
  </si>
  <si>
    <t xml:space="preserve">M0263</t>
  </si>
  <si>
    <t xml:space="preserve">Atlas Schindler</t>
  </si>
  <si>
    <t xml:space="preserve">Elevador Atlas Schindler</t>
  </si>
  <si>
    <t xml:space="preserve">Pessoa que tem, comprou ou está avaliando produtos Atlas Schindler e procura quem projete, execute, instale ou avalie com essa marca. Busca segurança técnica e preservação da garantia do fabricante.</t>
  </si>
  <si>
    <t xml:space="preserve">/marcas-e-sistemas/elevadores/atlas-schindler/</t>
  </si>
  <si>
    <t xml:space="preserve">M0264</t>
  </si>
  <si>
    <t xml:space="preserve">Elevador residencial Atlas Schindler</t>
  </si>
  <si>
    <t xml:space="preserve">Quer instalar elevador Atlas Schindler em casa, geralmente por acessibilidade, e precisa da obra civil e da viabilidade estrutural.</t>
  </si>
  <si>
    <t xml:space="preserve">/marcas-e-sistemas/elevadores/atlas-schindler/elevador-residencial/</t>
  </si>
  <si>
    <t xml:space="preserve">M0265</t>
  </si>
  <si>
    <t xml:space="preserve">Obra civil para elevador Atlas Schindler</t>
  </si>
  <si>
    <t xml:space="preserve">Já contratou o elevador Atlas Schindler e precisa do poço, da casa de máquinas e dos ajustes estruturais.</t>
  </si>
  <si>
    <t xml:space="preserve">/marcas-e-sistemas/elevadores/atlas-schindler/#obra-civil-para-elevador</t>
  </si>
  <si>
    <t xml:space="preserve">M0266</t>
  </si>
  <si>
    <t xml:space="preserve">Projeto para elevador Atlas Schindler</t>
  </si>
  <si>
    <t xml:space="preserve">Precisa do projeto civil e estrutural compatível com o elevador Atlas Schindler.</t>
  </si>
  <si>
    <t xml:space="preserve">/marcas-e-sistemas/elevadores/atlas-schindler/#projeto-para-elevador</t>
  </si>
  <si>
    <t xml:space="preserve">M0267</t>
  </si>
  <si>
    <t xml:space="preserve">Daiken</t>
  </si>
  <si>
    <t xml:space="preserve">Elevador Daiken</t>
  </si>
  <si>
    <t xml:space="preserve">Pessoa que tem, comprou ou está avaliando produtos Daiken e procura quem projete, execute, instale ou avalie com essa marca. Busca segurança técnica e preservação da garantia do fabricante.</t>
  </si>
  <si>
    <t xml:space="preserve">/marcas-e-sistemas/elevadores/daiken/</t>
  </si>
  <si>
    <t xml:space="preserve">M0268</t>
  </si>
  <si>
    <t xml:space="preserve">Elevador residencial Daiken</t>
  </si>
  <si>
    <t xml:space="preserve">Quer instalar elevador Daiken em casa, geralmente por acessibilidade, e precisa da obra civil e da viabilidade estrutural.</t>
  </si>
  <si>
    <t xml:space="preserve">/marcas-e-sistemas/elevadores/daiken/elevador-residencial/</t>
  </si>
  <si>
    <t xml:space="preserve">M0269</t>
  </si>
  <si>
    <t xml:space="preserve">Obra civil para elevador Daiken</t>
  </si>
  <si>
    <t xml:space="preserve">Já contratou o elevador Daiken e precisa do poço, da casa de máquinas e dos ajustes estruturais.</t>
  </si>
  <si>
    <t xml:space="preserve">/marcas-e-sistemas/elevadores/daiken/#obra-civil-para-elevador</t>
  </si>
  <si>
    <t xml:space="preserve">M0270</t>
  </si>
  <si>
    <t xml:space="preserve">Projeto para elevador Daiken</t>
  </si>
  <si>
    <t xml:space="preserve">Precisa do projeto civil e estrutural compatível com o elevador Daiken.</t>
  </si>
  <si>
    <t xml:space="preserve">/marcas-e-sistemas/elevadores/daiken/#projeto-para-elevador</t>
  </si>
  <si>
    <t xml:space="preserve">M0271</t>
  </si>
  <si>
    <t xml:space="preserve">Quem busca por climatização está escolhendo ou já escolheu um produto e quer saber quem projeta, executa ou avalia com ele. A página lista as marcas da categoria e os serviços ligados a cada uma.</t>
  </si>
  <si>
    <t xml:space="preserve">M0272</t>
  </si>
  <si>
    <t xml:space="preserve">Daikin</t>
  </si>
  <si>
    <t xml:space="preserve">Ar-condicionado Daikin</t>
  </si>
  <si>
    <t xml:space="preserve">Pessoa que tem, comprou ou está avaliando produtos Daikin e procura quem projete, execute, instale ou avalie com essa marca. Busca segurança técnica e preservação da garantia do fabricante.</t>
  </si>
  <si>
    <t xml:space="preserve">/marcas-e-sistemas/climatizacao/daikin/</t>
  </si>
  <si>
    <t xml:space="preserve">M0273</t>
  </si>
  <si>
    <t xml:space="preserve">Infraestrutura para ar-condicionado Daikin</t>
  </si>
  <si>
    <t xml:space="preserve">Vai instalar equipamentos Daikin e quer infraestrutura elétrica, drenos e tubulação embutidos na obra.</t>
  </si>
  <si>
    <t xml:space="preserve">/marcas-e-sistemas/climatizacao/daikin/#infraestrutura-para-ar-condicionado</t>
  </si>
  <si>
    <t xml:space="preserve">Linkar para o serviço Instalação de infraestrutura de ar-condicionado em /instalacoes/instalacao-infraestrutura-ar-condicionado/. Não sugerir parceria, credenciamento ou vínculo; não usar logotipo. Validar texto com jurídico.</t>
  </si>
  <si>
    <t xml:space="preserve">M0274</t>
  </si>
  <si>
    <t xml:space="preserve">Projeto de climatização com Daikin</t>
  </si>
  <si>
    <t xml:space="preserve">Quer projeto de climatização dimensionado para equipamentos Daikin, integrado ao forro e à arquitetura.</t>
  </si>
  <si>
    <t xml:space="preserve">/marcas-e-sistemas/climatizacao/daikin/#projeto-climatizacao</t>
  </si>
  <si>
    <t xml:space="preserve">Linkar para o serviço Projeto de climatização em /projetos/projeto-climatizacao/. Não sugerir parceria, credenciamento ou vínculo; não usar logotipo. Validar texto com jurídico.</t>
  </si>
  <si>
    <t xml:space="preserve">M0275</t>
  </si>
  <si>
    <t xml:space="preserve">LG</t>
  </si>
  <si>
    <t xml:space="preserve">Ar-condicionado LG</t>
  </si>
  <si>
    <t xml:space="preserve">Pessoa que tem, comprou ou está avaliando produtos LG e procura quem projete, execute, instale ou avalie com essa marca. Busca segurança técnica e preservação da garantia do fabricante.</t>
  </si>
  <si>
    <t xml:space="preserve">/marcas-e-sistemas/climatizacao/lg/</t>
  </si>
  <si>
    <t xml:space="preserve">M0276</t>
  </si>
  <si>
    <t xml:space="preserve">Infraestrutura para ar-condicionado LG</t>
  </si>
  <si>
    <t xml:space="preserve">Vai instalar equipamentos LG e quer infraestrutura elétrica, drenos e tubulação embutidos na obra.</t>
  </si>
  <si>
    <t xml:space="preserve">/marcas-e-sistemas/climatizacao/lg/#infraestrutura-para-ar-condicionado</t>
  </si>
  <si>
    <t xml:space="preserve">M0277</t>
  </si>
  <si>
    <t xml:space="preserve">Projeto de climatização com LG</t>
  </si>
  <si>
    <t xml:space="preserve">Quer projeto de climatização dimensionado para equipamentos LG, integrado ao forro e à arquitetura.</t>
  </si>
  <si>
    <t xml:space="preserve">/marcas-e-sistemas/climatizacao/lg/#projeto-climatizacao</t>
  </si>
  <si>
    <t xml:space="preserve">M0278</t>
  </si>
  <si>
    <t xml:space="preserve">Samsung</t>
  </si>
  <si>
    <t xml:space="preserve">Ar-condicionado Samsung</t>
  </si>
  <si>
    <t xml:space="preserve">Pessoa que tem, comprou ou está avaliando produtos Samsung e procura quem projete, execute, instale ou avalie com essa marca. Busca segurança técnica e preservação da garantia do fabricante.</t>
  </si>
  <si>
    <t xml:space="preserve">/marcas-e-sistemas/climatizacao/samsung/</t>
  </si>
  <si>
    <t xml:space="preserve">M0279</t>
  </si>
  <si>
    <t xml:space="preserve">Infraestrutura para ar-condicionado Samsung</t>
  </si>
  <si>
    <t xml:space="preserve">Vai instalar equipamentos Samsung e quer infraestrutura elétrica, drenos e tubulação embutidos na obra.</t>
  </si>
  <si>
    <t xml:space="preserve">/marcas-e-sistemas/climatizacao/samsung/#infraestrutura-para-ar-condicionado</t>
  </si>
  <si>
    <t xml:space="preserve">M0280</t>
  </si>
  <si>
    <t xml:space="preserve">Projeto de climatização com Samsung</t>
  </si>
  <si>
    <t xml:space="preserve">Quer projeto de climatização dimensionado para equipamentos Samsung, integrado ao forro e à arquitetura.</t>
  </si>
  <si>
    <t xml:space="preserve">/marcas-e-sistemas/climatizacao/samsung/#projeto-climatizacao</t>
  </si>
  <si>
    <t xml:space="preserve">M0281</t>
  </si>
  <si>
    <t xml:space="preserve">Midea</t>
  </si>
  <si>
    <t xml:space="preserve">Ar-condicionado Midea</t>
  </si>
  <si>
    <t xml:space="preserve">Pessoa que tem, comprou ou está avaliando produtos Midea e procura quem projete, execute, instale ou avalie com essa marca. Busca segurança técnica e preservação da garantia do fabricante.</t>
  </si>
  <si>
    <t xml:space="preserve">/marcas-e-sistemas/climatizacao/midea/</t>
  </si>
  <si>
    <t xml:space="preserve">M0282</t>
  </si>
  <si>
    <t xml:space="preserve">Infraestrutura para ar-condicionado Midea</t>
  </si>
  <si>
    <t xml:space="preserve">Vai instalar equipamentos Midea e quer infraestrutura elétrica, drenos e tubulação embutidos na obra.</t>
  </si>
  <si>
    <t xml:space="preserve">/marcas-e-sistemas/climatizacao/midea/#infraestrutura-para-ar-condicionado</t>
  </si>
  <si>
    <t xml:space="preserve">M0283</t>
  </si>
  <si>
    <t xml:space="preserve">Projeto de climatização com Midea</t>
  </si>
  <si>
    <t xml:space="preserve">Quer projeto de climatização dimensionado para equipamentos Midea, integrado ao forro e à arquitetura.</t>
  </si>
  <si>
    <t xml:space="preserve">/marcas-e-sistemas/climatizacao/midea/#projeto-climatizacao</t>
  </si>
  <si>
    <t xml:space="preserve">M0284</t>
  </si>
  <si>
    <t xml:space="preserve">Carrier</t>
  </si>
  <si>
    <t xml:space="preserve">Ar-condicionado Carrier</t>
  </si>
  <si>
    <t xml:space="preserve">Pessoa que tem, comprou ou está avaliando produtos Carrier e procura quem projete, execute, instale ou avalie com essa marca. Busca segurança técnica e preservação da garantia do fabricante.</t>
  </si>
  <si>
    <t xml:space="preserve">/marcas-e-sistemas/climatizacao/carrier/</t>
  </si>
  <si>
    <t xml:space="preserve">M0285</t>
  </si>
  <si>
    <t xml:space="preserve">Infraestrutura para ar-condicionado Carrier</t>
  </si>
  <si>
    <t xml:space="preserve">Vai instalar equipamentos Carrier e quer infraestrutura elétrica, drenos e tubulação embutidos na obra.</t>
  </si>
  <si>
    <t xml:space="preserve">/marcas-e-sistemas/climatizacao/carrier/#infraestrutura-para-ar-condicionado</t>
  </si>
  <si>
    <t xml:space="preserve">M0286</t>
  </si>
  <si>
    <t xml:space="preserve">Projeto de climatização com Carrier</t>
  </si>
  <si>
    <t xml:space="preserve">Quer projeto de climatização dimensionado para equipamentos Carrier, integrado ao forro e à arquitetura.</t>
  </si>
  <si>
    <t xml:space="preserve">/marcas-e-sistemas/climatizacao/carrier/#projeto-climatizacao</t>
  </si>
  <si>
    <t xml:space="preserve">M0287</t>
  </si>
  <si>
    <t xml:space="preserve">Fujitsu</t>
  </si>
  <si>
    <t xml:space="preserve">Ar-condicionado Fujitsu</t>
  </si>
  <si>
    <t xml:space="preserve">Pessoa que tem, comprou ou está avaliando produtos Fujitsu e procura quem projete, execute, instale ou avalie com essa marca. Busca segurança técnica e preservação da garantia do fabricante.</t>
  </si>
  <si>
    <t xml:space="preserve">/marcas-e-sistemas/climatizacao/fujitsu/</t>
  </si>
  <si>
    <t xml:space="preserve">M0288</t>
  </si>
  <si>
    <t xml:space="preserve">Infraestrutura para ar-condicionado Fujitsu</t>
  </si>
  <si>
    <t xml:space="preserve">Vai instalar equipamentos Fujitsu e quer infraestrutura elétrica, drenos e tubulação embutidos na obra.</t>
  </si>
  <si>
    <t xml:space="preserve">/marcas-e-sistemas/climatizacao/fujitsu/#infraestrutura-para-ar-condicionado</t>
  </si>
  <si>
    <t xml:space="preserve">M0289</t>
  </si>
  <si>
    <t xml:space="preserve">Projeto de climatização com Fujitsu</t>
  </si>
  <si>
    <t xml:space="preserve">Quer projeto de climatização dimensionado para equipamentos Fujitsu, integrado ao forro e à arquitetura.</t>
  </si>
  <si>
    <t xml:space="preserve">/marcas-e-sistemas/climatizacao/fujitsu/#projeto-climatizacao</t>
  </si>
  <si>
    <t xml:space="preserve">M0290</t>
  </si>
  <si>
    <t xml:space="preserve">Gree</t>
  </si>
  <si>
    <t xml:space="preserve">Ar-condicionado Gree</t>
  </si>
  <si>
    <t xml:space="preserve">Pessoa que tem, comprou ou está avaliando produtos Gree e procura quem projete, execute, instale ou avalie com essa marca. Busca segurança técnica e preservação da garantia do fabricante.</t>
  </si>
  <si>
    <t xml:space="preserve">/marcas-e-sistemas/climatizacao/gree/</t>
  </si>
  <si>
    <t xml:space="preserve">M0291</t>
  </si>
  <si>
    <t xml:space="preserve">Infraestrutura para ar-condicionado Gree</t>
  </si>
  <si>
    <t xml:space="preserve">Vai instalar equipamentos Gree e quer infraestrutura elétrica, drenos e tubulação embutidos na obra.</t>
  </si>
  <si>
    <t xml:space="preserve">/marcas-e-sistemas/climatizacao/gree/#infraestrutura-para-ar-condicionado</t>
  </si>
  <si>
    <t xml:space="preserve">M0292</t>
  </si>
  <si>
    <t xml:space="preserve">Projeto de climatização com Gree</t>
  </si>
  <si>
    <t xml:space="preserve">Quer projeto de climatização dimensionado para equipamentos Gree, integrado ao forro e à arquitetura.</t>
  </si>
  <si>
    <t xml:space="preserve">/marcas-e-sistemas/climatizacao/gree/#projeto-climatizacao</t>
  </si>
  <si>
    <t xml:space="preserve">M0293</t>
  </si>
  <si>
    <t xml:space="preserve">Trane</t>
  </si>
  <si>
    <t xml:space="preserve">Ar-condicionado Trane</t>
  </si>
  <si>
    <t xml:space="preserve">Pessoa que tem, comprou ou está avaliando produtos Trane e procura quem projete, execute, instale ou avalie com essa marca. Busca segurança técnica e preservação da garantia do fabricante.</t>
  </si>
  <si>
    <t xml:space="preserve">/marcas-e-sistemas/climatizacao/trane/</t>
  </si>
  <si>
    <t xml:space="preserve">M0294</t>
  </si>
  <si>
    <t xml:space="preserve">Infraestrutura para ar-condicionado Trane</t>
  </si>
  <si>
    <t xml:space="preserve">Vai instalar equipamentos Trane e quer infraestrutura elétrica, drenos e tubulação embutidos na obra.</t>
  </si>
  <si>
    <t xml:space="preserve">/marcas-e-sistemas/climatizacao/trane/#infraestrutura-para-ar-condicionado</t>
  </si>
  <si>
    <t xml:space="preserve">M0295</t>
  </si>
  <si>
    <t xml:space="preserve">Projeto de climatização com Trane</t>
  </si>
  <si>
    <t xml:space="preserve">Quer projeto de climatização dimensionado para equipamentos Trane, integrado ao forro e à arquitetura.</t>
  </si>
  <si>
    <t xml:space="preserve">/marcas-e-sistemas/climatizacao/trane/#projeto-climatizacao</t>
  </si>
  <si>
    <t xml:space="preserve">M0296</t>
  </si>
  <si>
    <t xml:space="preserve">Quem busca por aquecimento a gás está escolhendo ou já escolheu um produto e quer saber quem projeta, executa ou avalia com ele. A página lista as marcas da categoria e os serviços ligados a cada uma.</t>
  </si>
  <si>
    <t xml:space="preserve">M0297</t>
  </si>
  <si>
    <t xml:space="preserve">Rinnai</t>
  </si>
  <si>
    <t xml:space="preserve">Aquecedor Rinnai</t>
  </si>
  <si>
    <t xml:space="preserve">Pessoa que tem, comprou ou está avaliando produtos Rinnai e procura quem projete, execute, instale ou avalie com essa marca. Busca segurança técnica e preservação da garantia do fabricante.</t>
  </si>
  <si>
    <t xml:space="preserve">/marcas-e-sistemas/aquecimento-a-gas/rinnai/</t>
  </si>
  <si>
    <t xml:space="preserve">M0298</t>
  </si>
  <si>
    <t xml:space="preserve">Instalação de aquecedor a gás Rinnai</t>
  </si>
  <si>
    <t xml:space="preserve">Tem ou comprou aquecedor Rinnai e precisa de instalação segura, com exaustão e rede de gás adequadas.</t>
  </si>
  <si>
    <t xml:space="preserve">/marcas-e-sistemas/aquecimento-a-gas/rinnai/#instalacao-aquecedor-a-gas</t>
  </si>
  <si>
    <t xml:space="preserve">Linkar para o serviço Instalação de aquecedor a gás em /instalacoes/instalacao-aquecedor-a-gas/. Não sugerir parceria, credenciamento ou vínculo; não usar logotipo. Validar texto com jurídico.</t>
  </si>
  <si>
    <t xml:space="preserve">M0299</t>
  </si>
  <si>
    <t xml:space="preserve">Projeto de água quente com Rinnai</t>
  </si>
  <si>
    <t xml:space="preserve">Quer projeto de água quente dimensionado para o aquecedor Rinnai.</t>
  </si>
  <si>
    <t xml:space="preserve">/marcas-e-sistemas/aquecimento-a-gas/rinnai/#projeto-agua-quente</t>
  </si>
  <si>
    <t xml:space="preserve">M0300</t>
  </si>
  <si>
    <t xml:space="preserve">Komeco</t>
  </si>
  <si>
    <t xml:space="preserve">Aquecedor Komeco</t>
  </si>
  <si>
    <t xml:space="preserve">Pessoa que tem, comprou ou está avaliando produtos Komeco e procura quem projete, execute, instale ou avalie com essa marca. Busca segurança técnica e preservação da garantia do fabricante.</t>
  </si>
  <si>
    <t xml:space="preserve">/marcas-e-sistemas/aquecimento-a-gas/komeco/</t>
  </si>
  <si>
    <t xml:space="preserve">M0301</t>
  </si>
  <si>
    <t xml:space="preserve">Instalação de aquecedor a gás Komeco</t>
  </si>
  <si>
    <t xml:space="preserve">Tem ou comprou aquecedor Komeco e precisa de instalação segura, com exaustão e rede de gás adequadas.</t>
  </si>
  <si>
    <t xml:space="preserve">/marcas-e-sistemas/aquecimento-a-gas/komeco/#instalacao-aquecedor-a-gas</t>
  </si>
  <si>
    <t xml:space="preserve">M0302</t>
  </si>
  <si>
    <t xml:space="preserve">Projeto de água quente com Komeco</t>
  </si>
  <si>
    <t xml:space="preserve">Quer projeto de água quente dimensionado para o aquecedor Komeco.</t>
  </si>
  <si>
    <t xml:space="preserve">/marcas-e-sistemas/aquecimento-a-gas/komeco/#projeto-agua-quente</t>
  </si>
  <si>
    <t xml:space="preserve">M0303</t>
  </si>
  <si>
    <t xml:space="preserve">Bosch</t>
  </si>
  <si>
    <t xml:space="preserve">Aquecedor Bosch</t>
  </si>
  <si>
    <t xml:space="preserve">Pessoa que tem, comprou ou está avaliando produtos Bosch e procura quem projete, execute, instale ou avalie com essa marca. Busca segurança técnica e preservação da garantia do fabricante.</t>
  </si>
  <si>
    <t xml:space="preserve">/marcas-e-sistemas/aquecimento-a-gas/bosch/</t>
  </si>
  <si>
    <t xml:space="preserve">M0304</t>
  </si>
  <si>
    <t xml:space="preserve">Instalação de aquecedor a gás Bosch</t>
  </si>
  <si>
    <t xml:space="preserve">Tem ou comprou aquecedor Bosch e precisa de instalação segura, com exaustão e rede de gás adequadas.</t>
  </si>
  <si>
    <t xml:space="preserve">/marcas-e-sistemas/aquecimento-a-gas/bosch/#instalacao-aquecedor-a-gas</t>
  </si>
  <si>
    <t xml:space="preserve">M0305</t>
  </si>
  <si>
    <t xml:space="preserve">Projeto de água quente com Bosch</t>
  </si>
  <si>
    <t xml:space="preserve">Quer projeto de água quente dimensionado para o aquecedor Bosch.</t>
  </si>
  <si>
    <t xml:space="preserve">/marcas-e-sistemas/aquecimento-a-gas/bosch/#projeto-agua-quente</t>
  </si>
  <si>
    <t xml:space="preserve">M0306</t>
  </si>
  <si>
    <t xml:space="preserve">Quem busca por geradores está escolhendo ou já escolheu um produto e quer saber quem projeta, executa ou avalia com ele. A página lista as marcas da categoria e os serviços ligados a cada uma.</t>
  </si>
  <si>
    <t xml:space="preserve">M0307</t>
  </si>
  <si>
    <t xml:space="preserve">WEG</t>
  </si>
  <si>
    <t xml:space="preserve">Gerador WEG</t>
  </si>
  <si>
    <t xml:space="preserve">Pessoa que tem, comprou ou está avaliando produtos WEG e procura quem projete, execute, instale ou avalie com essa marca. Busca segurança técnica e preservação da garantia do fabricante.</t>
  </si>
  <si>
    <t xml:space="preserve">/marcas-e-sistemas/geradores/weg/</t>
  </si>
  <si>
    <t xml:space="preserve">M0308</t>
  </si>
  <si>
    <t xml:space="preserve">Instalação de gerador WEG</t>
  </si>
  <si>
    <t xml:space="preserve">Precisa de autonomia energética com gerador WEG e busca projeto e instalação corretos.</t>
  </si>
  <si>
    <t xml:space="preserve">/marcas-e-sistemas/geradores/weg/#instalacao-gerador</t>
  </si>
  <si>
    <t xml:space="preserve">Linkar para o serviço Instalação de gerador em /instalacoes/instalacao-gerador/. Não sugerir parceria, credenciamento ou vínculo; não usar logotipo. Validar texto com jurídico.</t>
  </si>
  <si>
    <t xml:space="preserve">M0309</t>
  </si>
  <si>
    <t xml:space="preserve">Projeto de gerador WEG</t>
  </si>
  <si>
    <t xml:space="preserve">Quer projeto elétrico que integre o gerador WEG com segurança.</t>
  </si>
  <si>
    <t xml:space="preserve">/marcas-e-sistemas/geradores/weg/#projeto-gerador</t>
  </si>
  <si>
    <t xml:space="preserve">Linkar para o serviço Projeto de gerador de energia em /projetos/projeto-gerador-energia/. Não sugerir parceria, credenciamento ou vínculo; não usar logotipo. Validar texto com jurídico.</t>
  </si>
  <si>
    <t xml:space="preserve">M0310</t>
  </si>
  <si>
    <t xml:space="preserve">Cummins</t>
  </si>
  <si>
    <t xml:space="preserve">Gerador Cummins</t>
  </si>
  <si>
    <t xml:space="preserve">Pessoa que tem, comprou ou está avaliando produtos Cummins e procura quem projete, execute, instale ou avalie com essa marca. Busca segurança técnica e preservação da garantia do fabricante.</t>
  </si>
  <si>
    <t xml:space="preserve">/marcas-e-sistemas/geradores/cummins/</t>
  </si>
  <si>
    <t xml:space="preserve">M0311</t>
  </si>
  <si>
    <t xml:space="preserve">Instalação de gerador Cummins</t>
  </si>
  <si>
    <t xml:space="preserve">Precisa de autonomia energética com gerador Cummins e busca projeto e instalação corretos.</t>
  </si>
  <si>
    <t xml:space="preserve">/marcas-e-sistemas/geradores/cummins/#instalacao-gerador</t>
  </si>
  <si>
    <t xml:space="preserve">M0312</t>
  </si>
  <si>
    <t xml:space="preserve">Projeto de gerador Cummins</t>
  </si>
  <si>
    <t xml:space="preserve">Quer projeto elétrico que integre o gerador Cummins com segurança.</t>
  </si>
  <si>
    <t xml:space="preserve">/marcas-e-sistemas/geradores/cummins/#projeto-gerador</t>
  </si>
  <si>
    <t xml:space="preserve">M0313</t>
  </si>
  <si>
    <t xml:space="preserve">Stemac</t>
  </si>
  <si>
    <t xml:space="preserve">Gerador Stemac</t>
  </si>
  <si>
    <t xml:space="preserve">Pessoa que tem, comprou ou está avaliando produtos Stemac e procura quem projete, execute, instale ou avalie com essa marca. Busca segurança técnica e preservação da garantia do fabricante.</t>
  </si>
  <si>
    <t xml:space="preserve">/marcas-e-sistemas/geradores/stemac/</t>
  </si>
  <si>
    <t xml:space="preserve">M0314</t>
  </si>
  <si>
    <t xml:space="preserve">Instalação de gerador Stemac</t>
  </si>
  <si>
    <t xml:space="preserve">Precisa de autonomia energética com gerador Stemac e busca projeto e instalação corretos.</t>
  </si>
  <si>
    <t xml:space="preserve">/marcas-e-sistemas/geradores/stemac/#instalacao-gerador</t>
  </si>
  <si>
    <t xml:space="preserve">M0315</t>
  </si>
  <si>
    <t xml:space="preserve">Projeto de gerador Stemac</t>
  </si>
  <si>
    <t xml:space="preserve">Quer projeto elétrico que integre o gerador Stemac com segurança.</t>
  </si>
  <si>
    <t xml:space="preserve">/marcas-e-sistemas/geradores/stemac/#projeto-gerador</t>
  </si>
  <si>
    <t xml:space="preserve">M0316</t>
  </si>
  <si>
    <t xml:space="preserve">Quem busca por energia solar está escolhendo ou já escolheu um produto e quer saber quem projeta, executa ou avalia com ele. A página lista as marcas da categoria e os serviços ligados a cada uma.</t>
  </si>
  <si>
    <t xml:space="preserve">M0317</t>
  </si>
  <si>
    <t xml:space="preserve">Energia solar WEG</t>
  </si>
  <si>
    <t xml:space="preserve">/marcas-e-sistemas/energia-solar/weg/</t>
  </si>
  <si>
    <t xml:space="preserve">M0318</t>
  </si>
  <si>
    <t xml:space="preserve">Instalação de sistema fotovoltaico WEG</t>
  </si>
  <si>
    <t xml:space="preserve">Comparando equipamentos WEG; quer instalação que não comprometa telhado nem impermeabilização.</t>
  </si>
  <si>
    <t xml:space="preserve">/marcas-e-sistemas/energia-solar/weg/#instalacao-sistema-fotovoltaico</t>
  </si>
  <si>
    <t xml:space="preserve">Linkar para o serviço Instalação de sistema fotovoltaico em /instalacoes/instalacao-sistema-fotovoltaico/. Não sugerir parceria, credenciamento ou vínculo; não usar logotipo. Validar texto com jurídico.</t>
  </si>
  <si>
    <t xml:space="preserve">M0319</t>
  </si>
  <si>
    <t xml:space="preserve">Laudo de telhado para energia solar WEG</t>
  </si>
  <si>
    <t xml:space="preserve">Precisa confirmar que o telhado suporta os painéis WEG antes de instalar.</t>
  </si>
  <si>
    <t xml:space="preserve">/marcas-e-sistemas/energia-solar/weg/#laudo-telhado-para-energia-solar</t>
  </si>
  <si>
    <t xml:space="preserve">M0320</t>
  </si>
  <si>
    <t xml:space="preserve">Canadian Solar</t>
  </si>
  <si>
    <t xml:space="preserve">Energia solar Canadian Solar</t>
  </si>
  <si>
    <t xml:space="preserve">Pessoa que tem, comprou ou está avaliando produtos Canadian Solar e procura quem projete, execute, instale ou avalie com essa marca. Busca segurança técnica e preservação da garantia do fabricante.</t>
  </si>
  <si>
    <t xml:space="preserve">/marcas-e-sistemas/energia-solar/canadian-solar/</t>
  </si>
  <si>
    <t xml:space="preserve">M0321</t>
  </si>
  <si>
    <t xml:space="preserve">Instalação de sistema fotovoltaico Canadian Solar</t>
  </si>
  <si>
    <t xml:space="preserve">Comparando equipamentos Canadian Solar; quer instalação que não comprometa telhado nem impermeabilização.</t>
  </si>
  <si>
    <t xml:space="preserve">/marcas-e-sistemas/energia-solar/canadian-solar/#instalacao-sistema-fotovoltaico</t>
  </si>
  <si>
    <t xml:space="preserve">M0322</t>
  </si>
  <si>
    <t xml:space="preserve">Laudo de telhado para energia solar Canadian Solar</t>
  </si>
  <si>
    <t xml:space="preserve">Precisa confirmar que o telhado suporta os painéis Canadian Solar antes de instalar.</t>
  </si>
  <si>
    <t xml:space="preserve">/marcas-e-sistemas/energia-solar/canadian-solar/#laudo-telhado-para-energia-solar</t>
  </si>
  <si>
    <t xml:space="preserve">M0323</t>
  </si>
  <si>
    <t xml:space="preserve">Jinko Solar</t>
  </si>
  <si>
    <t xml:space="preserve">Energia solar Jinko Solar</t>
  </si>
  <si>
    <t xml:space="preserve">Pessoa que tem, comprou ou está avaliando produtos Jinko Solar e procura quem projete, execute, instale ou avalie com essa marca. Busca segurança técnica e preservação da garantia do fabricante.</t>
  </si>
  <si>
    <t xml:space="preserve">/marcas-e-sistemas/energia-solar/jinko-solar/</t>
  </si>
  <si>
    <t xml:space="preserve">M0324</t>
  </si>
  <si>
    <t xml:space="preserve">Instalação de sistema fotovoltaico Jinko Solar</t>
  </si>
  <si>
    <t xml:space="preserve">Comparando equipamentos Jinko Solar; quer instalação que não comprometa telhado nem impermeabilização.</t>
  </si>
  <si>
    <t xml:space="preserve">/marcas-e-sistemas/energia-solar/jinko-solar/#instalacao-sistema-fotovoltaico</t>
  </si>
  <si>
    <t xml:space="preserve">M0325</t>
  </si>
  <si>
    <t xml:space="preserve">Laudo de telhado para energia solar Jinko Solar</t>
  </si>
  <si>
    <t xml:space="preserve">Precisa confirmar que o telhado suporta os painéis Jinko Solar antes de instalar.</t>
  </si>
  <si>
    <t xml:space="preserve">/marcas-e-sistemas/energia-solar/jinko-solar/#laudo-telhado-para-energia-solar</t>
  </si>
  <si>
    <t xml:space="preserve">M0326</t>
  </si>
  <si>
    <t xml:space="preserve">Fronius</t>
  </si>
  <si>
    <t xml:space="preserve">Energia solar Fronius</t>
  </si>
  <si>
    <t xml:space="preserve">Pessoa que tem, comprou ou está avaliando produtos Fronius e procura quem projete, execute, instale ou avalie com essa marca. Busca segurança técnica e preservação da garantia do fabricante.</t>
  </si>
  <si>
    <t xml:space="preserve">/marcas-e-sistemas/energia-solar/fronius/</t>
  </si>
  <si>
    <t xml:space="preserve">M0327</t>
  </si>
  <si>
    <t xml:space="preserve">Instalação de sistema fotovoltaico Fronius</t>
  </si>
  <si>
    <t xml:space="preserve">Comparando equipamentos Fronius; quer instalação que não comprometa telhado nem impermeabilização.</t>
  </si>
  <si>
    <t xml:space="preserve">/marcas-e-sistemas/energia-solar/fronius/#instalacao-sistema-fotovoltaico</t>
  </si>
  <si>
    <t xml:space="preserve">M0328</t>
  </si>
  <si>
    <t xml:space="preserve">Laudo de telhado para energia solar Fronius</t>
  </si>
  <si>
    <t xml:space="preserve">Precisa confirmar que o telhado suporta os painéis Fronius antes de instalar.</t>
  </si>
  <si>
    <t xml:space="preserve">/marcas-e-sistemas/energia-solar/fronius/#laudo-telhado-para-energia-solar</t>
  </si>
  <si>
    <t xml:space="preserve">M0329</t>
  </si>
  <si>
    <t xml:space="preserve">Growatt</t>
  </si>
  <si>
    <t xml:space="preserve">Energia solar Growatt</t>
  </si>
  <si>
    <t xml:space="preserve">Pessoa que tem, comprou ou está avaliando produtos Growatt e procura quem projete, execute, instale ou avalie com essa marca. Busca segurança técnica e preservação da garantia do fabricante.</t>
  </si>
  <si>
    <t xml:space="preserve">/marcas-e-sistemas/energia-solar/growatt/</t>
  </si>
  <si>
    <t xml:space="preserve">M0330</t>
  </si>
  <si>
    <t xml:space="preserve">Instalação de sistema fotovoltaico Growatt</t>
  </si>
  <si>
    <t xml:space="preserve">Comparando equipamentos Growatt; quer instalação que não comprometa telhado nem impermeabilização.</t>
  </si>
  <si>
    <t xml:space="preserve">/marcas-e-sistemas/energia-solar/growatt/#instalacao-sistema-fotovoltaico</t>
  </si>
  <si>
    <t xml:space="preserve">M0331</t>
  </si>
  <si>
    <t xml:space="preserve">Laudo de telhado para energia solar Growatt</t>
  </si>
  <si>
    <t xml:space="preserve">Precisa confirmar que o telhado suporta os painéis Growatt antes de instalar.</t>
  </si>
  <si>
    <t xml:space="preserve">/marcas-e-sistemas/energia-solar/growatt/#laudo-telhado-para-energia-solar</t>
  </si>
  <si>
    <t xml:space="preserve">M0332</t>
  </si>
  <si>
    <t xml:space="preserve">Quem busca por automação está escolhendo ou já escolheu um produto e quer saber quem projeta, executa ou avalia com ele. A página lista as marcas da categoria e os serviços ligados a cada uma.</t>
  </si>
  <si>
    <t xml:space="preserve">M0333</t>
  </si>
  <si>
    <t xml:space="preserve">Control4</t>
  </si>
  <si>
    <t xml:space="preserve">Automação Control4</t>
  </si>
  <si>
    <t xml:space="preserve">Pessoa que tem, comprou ou está avaliando produtos Control4 e procura quem projete, execute, instale ou avalie com essa marca. Busca segurança técnica e preservação da garantia do fabricante.</t>
  </si>
  <si>
    <t xml:space="preserve">/marcas-e-sistemas/automacao/control4/</t>
  </si>
  <si>
    <t xml:space="preserve">M0334</t>
  </si>
  <si>
    <t xml:space="preserve">Automação residencial Control4</t>
  </si>
  <si>
    <t xml:space="preserve">Quer casa inteligente com o sistema Control4 e infraestrutura planejada desde a obra.</t>
  </si>
  <si>
    <t xml:space="preserve">/marcas-e-sistemas/automacao/control4/#automacao-residencial</t>
  </si>
  <si>
    <t xml:space="preserve">Linkar para o serviço Instalação de automação residencial em /instalacoes/instalacao-automacao-residencial/. Não sugerir parceria, credenciamento ou vínculo; não usar logotipo. Validar texto com jurídico.</t>
  </si>
  <si>
    <t xml:space="preserve">M0335</t>
  </si>
  <si>
    <t xml:space="preserve">Projeto de automação Control4</t>
  </si>
  <si>
    <t xml:space="preserve">Precisa de projeto de infraestrutura compatível com o sistema Control4.</t>
  </si>
  <si>
    <t xml:space="preserve">/marcas-e-sistemas/automacao/control4/#projeto-automacao</t>
  </si>
  <si>
    <t xml:space="preserve">Linkar para o serviço Projeto de automação residencial em /projetos/projeto-automacao-residencial/. Não sugerir parceria, credenciamento ou vínculo; não usar logotipo. Validar texto com jurídico.</t>
  </si>
  <si>
    <t xml:space="preserve">M0336</t>
  </si>
  <si>
    <t xml:space="preserve">Crestron</t>
  </si>
  <si>
    <t xml:space="preserve">Automação Crestron</t>
  </si>
  <si>
    <t xml:space="preserve">Pessoa que tem, comprou ou está avaliando produtos Crestron e procura quem projete, execute, instale ou avalie com essa marca. Busca segurança técnica e preservação da garantia do fabricante.</t>
  </si>
  <si>
    <t xml:space="preserve">/marcas-e-sistemas/automacao/crestron/</t>
  </si>
  <si>
    <t xml:space="preserve">M0337</t>
  </si>
  <si>
    <t xml:space="preserve">Automação residencial Crestron</t>
  </si>
  <si>
    <t xml:space="preserve">Quer casa inteligente com o sistema Crestron e infraestrutura planejada desde a obra.</t>
  </si>
  <si>
    <t xml:space="preserve">/marcas-e-sistemas/automacao/crestron/#automacao-residencial</t>
  </si>
  <si>
    <t xml:space="preserve">M0338</t>
  </si>
  <si>
    <t xml:space="preserve">Projeto de automação Crestron</t>
  </si>
  <si>
    <t xml:space="preserve">Precisa de projeto de infraestrutura compatível com o sistema Crestron.</t>
  </si>
  <si>
    <t xml:space="preserve">/marcas-e-sistemas/automacao/crestron/#projeto-automacao</t>
  </si>
  <si>
    <t xml:space="preserve">M0339</t>
  </si>
  <si>
    <t xml:space="preserve">Savant</t>
  </si>
  <si>
    <t xml:space="preserve">Automação Savant</t>
  </si>
  <si>
    <t xml:space="preserve">Pessoa que tem, comprou ou está avaliando produtos Savant e procura quem projete, execute, instale ou avalie com essa marca. Busca segurança técnica e preservação da garantia do fabricante.</t>
  </si>
  <si>
    <t xml:space="preserve">/marcas-e-sistemas/automacao/savant/</t>
  </si>
  <si>
    <t xml:space="preserve">M0340</t>
  </si>
  <si>
    <t xml:space="preserve">Automação residencial Savant</t>
  </si>
  <si>
    <t xml:space="preserve">Quer casa inteligente com o sistema Savant e infraestrutura planejada desde a obra.</t>
  </si>
  <si>
    <t xml:space="preserve">/marcas-e-sistemas/automacao/savant/#automacao-residencial</t>
  </si>
  <si>
    <t xml:space="preserve">M0341</t>
  </si>
  <si>
    <t xml:space="preserve">Projeto de automação Savant</t>
  </si>
  <si>
    <t xml:space="preserve">Precisa de projeto de infraestrutura compatível com o sistema Savant.</t>
  </si>
  <si>
    <t xml:space="preserve">/marcas-e-sistemas/automacao/savant/#projeto-automacao</t>
  </si>
  <si>
    <t xml:space="preserve">M0342</t>
  </si>
  <si>
    <t xml:space="preserve">Lutron</t>
  </si>
  <si>
    <t xml:space="preserve">Automação Lutron</t>
  </si>
  <si>
    <t xml:space="preserve">Pessoa que tem, comprou ou está avaliando produtos Lutron e procura quem projete, execute, instale ou avalie com essa marca. Busca segurança técnica e preservação da garantia do fabricante.</t>
  </si>
  <si>
    <t xml:space="preserve">/marcas-e-sistemas/automacao/lutron/</t>
  </si>
  <si>
    <t xml:space="preserve">M0343</t>
  </si>
  <si>
    <t xml:space="preserve">Automação residencial Lutron</t>
  </si>
  <si>
    <t xml:space="preserve">Quer casa inteligente com o sistema Lutron e infraestrutura planejada desde a obra.</t>
  </si>
  <si>
    <t xml:space="preserve">/marcas-e-sistemas/automacao/lutron/#automacao-residencial</t>
  </si>
  <si>
    <t xml:space="preserve">M0344</t>
  </si>
  <si>
    <t xml:space="preserve">Projeto de automação Lutron</t>
  </si>
  <si>
    <t xml:space="preserve">Precisa de projeto de infraestrutura compatível com o sistema Lutron.</t>
  </si>
  <si>
    <t xml:space="preserve">/marcas-e-sistemas/automacao/lutron/#projeto-automacao</t>
  </si>
  <si>
    <t xml:space="preserve">M0345</t>
  </si>
  <si>
    <t xml:space="preserve">Intelbras</t>
  </si>
  <si>
    <t xml:space="preserve">Automação Intelbras</t>
  </si>
  <si>
    <t xml:space="preserve">Pessoa que tem, comprou ou está avaliando produtos Intelbras e procura quem projete, execute, instale ou avalie com essa marca. Busca segurança técnica e preservação da garantia do fabricante.</t>
  </si>
  <si>
    <t xml:space="preserve">/marcas-e-sistemas/automacao/intelbras/</t>
  </si>
  <si>
    <t xml:space="preserve">M0346</t>
  </si>
  <si>
    <t xml:space="preserve">Automação residencial Intelbras</t>
  </si>
  <si>
    <t xml:space="preserve">Quer casa inteligente com o sistema Intelbras e infraestrutura planejada desde a obra.</t>
  </si>
  <si>
    <t xml:space="preserve">/marcas-e-sistemas/automacao/intelbras/#automacao-residencial</t>
  </si>
  <si>
    <t xml:space="preserve">M0347</t>
  </si>
  <si>
    <t xml:space="preserve">Projeto de automação Intelbras</t>
  </si>
  <si>
    <t xml:space="preserve">Precisa de projeto de infraestrutura compatível com o sistema Intelbras.</t>
  </si>
  <si>
    <t xml:space="preserve">/marcas-e-sistemas/automacao/intelbras/#projeto-automacao</t>
  </si>
  <si>
    <t xml:space="preserve">M0348</t>
  </si>
  <si>
    <t xml:space="preserve">Quem busca por segurança eletrônica está escolhendo ou já escolheu um produto e quer saber quem projeta, executa ou avalia com ele. A página lista as marcas da categoria e os serviços ligados a cada uma.</t>
  </si>
  <si>
    <t xml:space="preserve">M0349</t>
  </si>
  <si>
    <t xml:space="preserve">Segurança eletrônica Intelbras</t>
  </si>
  <si>
    <t xml:space="preserve">/marcas-e-sistemas/seguranca-eletronica/intelbras/</t>
  </si>
  <si>
    <t xml:space="preserve">M0350</t>
  </si>
  <si>
    <t xml:space="preserve">Instalação de CFTV Intelbras</t>
  </si>
  <si>
    <t xml:space="preserve">Quer câmeras Intelbras com cabeamento embutido e pontos planejados.</t>
  </si>
  <si>
    <t xml:space="preserve">/marcas-e-sistemas/seguranca-eletronica/intelbras/#instalacao-cftv</t>
  </si>
  <si>
    <t xml:space="preserve">Linkar para o serviço Instalação de CFTV em /instalacoes/instalacao-cftv/. Não sugerir parceria, credenciamento ou vínculo; não usar logotipo. Validar texto com jurídico.</t>
  </si>
  <si>
    <t xml:space="preserve">M0351</t>
  </si>
  <si>
    <t xml:space="preserve">Projeto de CFTV Intelbras</t>
  </si>
  <si>
    <t xml:space="preserve">Precisa de projeto de segurança eletrônica com equipamentos Intelbras.</t>
  </si>
  <si>
    <t xml:space="preserve">/marcas-e-sistemas/seguranca-eletronica/intelbras/#projeto-cftv</t>
  </si>
  <si>
    <t xml:space="preserve">Linkar para o serviço Projeto de CFTV em /projetos/projeto-cftv/. Não sugerir parceria, credenciamento ou vínculo; não usar logotipo. Validar texto com jurídico.</t>
  </si>
  <si>
    <t xml:space="preserve">M0352</t>
  </si>
  <si>
    <t xml:space="preserve">Hikvision</t>
  </si>
  <si>
    <t xml:space="preserve">Segurança eletrônica Hikvision</t>
  </si>
  <si>
    <t xml:space="preserve">Pessoa que tem, comprou ou está avaliando produtos Hikvision e procura quem projete, execute, instale ou avalie com essa marca. Busca segurança técnica e preservação da garantia do fabricante.</t>
  </si>
  <si>
    <t xml:space="preserve">/marcas-e-sistemas/seguranca-eletronica/hikvision/</t>
  </si>
  <si>
    <t xml:space="preserve">M0353</t>
  </si>
  <si>
    <t xml:space="preserve">Instalação de CFTV Hikvision</t>
  </si>
  <si>
    <t xml:space="preserve">Quer câmeras Hikvision com cabeamento embutido e pontos planejados.</t>
  </si>
  <si>
    <t xml:space="preserve">/marcas-e-sistemas/seguranca-eletronica/hikvision/#instalacao-cftv</t>
  </si>
  <si>
    <t xml:space="preserve">M0354</t>
  </si>
  <si>
    <t xml:space="preserve">Projeto de CFTV Hikvision</t>
  </si>
  <si>
    <t xml:space="preserve">Precisa de projeto de segurança eletrônica com equipamentos Hikvision.</t>
  </si>
  <si>
    <t xml:space="preserve">/marcas-e-sistemas/seguranca-eletronica/hikvision/#projeto-cftv</t>
  </si>
  <si>
    <t xml:space="preserve">M0355</t>
  </si>
  <si>
    <t xml:space="preserve">Quem busca por material elétrico está escolhendo ou já escolheu um produto e quer saber quem projeta, executa ou avalia com ele. A página lista as marcas da categoria e os serviços ligados a cada uma.</t>
  </si>
  <si>
    <t xml:space="preserve">M0356</t>
  </si>
  <si>
    <t xml:space="preserve">Schneider Electric</t>
  </si>
  <si>
    <t xml:space="preserve">Material elétrico Schneider Electric</t>
  </si>
  <si>
    <t xml:space="preserve">Pessoa que tem, comprou ou está avaliando produtos Schneider Electric e procura quem projete, execute, instale ou avalie com essa marca. Busca segurança técnica e preservação da garantia do fabricante.</t>
  </si>
  <si>
    <t xml:space="preserve">/marcas-e-sistemas/material-eletrico/schneider-electric/</t>
  </si>
  <si>
    <t xml:space="preserve">M0357</t>
  </si>
  <si>
    <t xml:space="preserve">Quadro elétrico Schneider Electric</t>
  </si>
  <si>
    <t xml:space="preserve">Vai trocar ou adequar o quadro com componentes Schneider Electric dentro da norma.</t>
  </si>
  <si>
    <t xml:space="preserve">/marcas-e-sistemas/material-eletrico/schneider-electric/#quadro-eletrico</t>
  </si>
  <si>
    <t xml:space="preserve">Linkar para o serviço Adequação de quadro elétrico em /instalacoes/adequacao-quadro-eletrico/. Não sugerir parceria, credenciamento ou vínculo; não usar logotipo. Validar texto com jurídico.</t>
  </si>
  <si>
    <t xml:space="preserve">M0358</t>
  </si>
  <si>
    <t xml:space="preserve">Reforma elétrica com Schneider Electric</t>
  </si>
  <si>
    <t xml:space="preserve">Quer refazer a instalação elétrica com material Schneider Electric.</t>
  </si>
  <si>
    <t xml:space="preserve">/marcas-e-sistemas/material-eletrico/schneider-electric/#reforma-eletrica</t>
  </si>
  <si>
    <t xml:space="preserve">Linkar para o serviço Reforma de instalação elétrica em /instalacoes/reforma-instalacao-eletrica/. Não sugerir parceria, credenciamento ou vínculo; não usar logotipo. Validar texto com jurídico.</t>
  </si>
  <si>
    <t xml:space="preserve">M0359</t>
  </si>
  <si>
    <t xml:space="preserve">Legrand</t>
  </si>
  <si>
    <t xml:space="preserve">Material elétrico Legrand</t>
  </si>
  <si>
    <t xml:space="preserve">Pessoa que tem, comprou ou está avaliando produtos Legrand e procura quem projete, execute, instale ou avalie com essa marca. Busca segurança técnica e preservação da garantia do fabricante.</t>
  </si>
  <si>
    <t xml:space="preserve">/marcas-e-sistemas/material-eletrico/legrand/</t>
  </si>
  <si>
    <t xml:space="preserve">M0360</t>
  </si>
  <si>
    <t xml:space="preserve">Quadro elétrico Legrand</t>
  </si>
  <si>
    <t xml:space="preserve">Vai trocar ou adequar o quadro com componentes Legrand dentro da norma.</t>
  </si>
  <si>
    <t xml:space="preserve">/marcas-e-sistemas/material-eletrico/legrand/#quadro-eletrico</t>
  </si>
  <si>
    <t xml:space="preserve">M0361</t>
  </si>
  <si>
    <t xml:space="preserve">Reforma elétrica com Legrand</t>
  </si>
  <si>
    <t xml:space="preserve">Quer refazer a instalação elétrica com material Legrand.</t>
  </si>
  <si>
    <t xml:space="preserve">/marcas-e-sistemas/material-eletrico/legrand/#reforma-eletrica</t>
  </si>
  <si>
    <t xml:space="preserve">M0362</t>
  </si>
  <si>
    <t xml:space="preserve">Pial Legrand</t>
  </si>
  <si>
    <t xml:space="preserve">Material elétrico Pial Legrand</t>
  </si>
  <si>
    <t xml:space="preserve">Pessoa que tem, comprou ou está avaliando produtos Pial Legrand e procura quem projete, execute, instale ou avalie com essa marca. Busca segurança técnica e preservação da garantia do fabricante.</t>
  </si>
  <si>
    <t xml:space="preserve">/marcas-e-sistemas/material-eletrico/pial-legrand/</t>
  </si>
  <si>
    <t xml:space="preserve">M0363</t>
  </si>
  <si>
    <t xml:space="preserve">Quadro elétrico Pial Legrand</t>
  </si>
  <si>
    <t xml:space="preserve">Vai trocar ou adequar o quadro com componentes Pial Legrand dentro da norma.</t>
  </si>
  <si>
    <t xml:space="preserve">/marcas-e-sistemas/material-eletrico/pial-legrand/#quadro-eletrico</t>
  </si>
  <si>
    <t xml:space="preserve">M0364</t>
  </si>
  <si>
    <t xml:space="preserve">Reforma elétrica com Pial Legrand</t>
  </si>
  <si>
    <t xml:space="preserve">Quer refazer a instalação elétrica com material Pial Legrand.</t>
  </si>
  <si>
    <t xml:space="preserve">/marcas-e-sistemas/material-eletrico/pial-legrand/#reforma-eletrica</t>
  </si>
  <si>
    <t xml:space="preserve">M0365</t>
  </si>
  <si>
    <t xml:space="preserve">Siemens</t>
  </si>
  <si>
    <t xml:space="preserve">Material elétrico Siemens</t>
  </si>
  <si>
    <t xml:space="preserve">Pessoa que tem, comprou ou está avaliando produtos Siemens e procura quem projete, execute, instale ou avalie com essa marca. Busca segurança técnica e preservação da garantia do fabricante.</t>
  </si>
  <si>
    <t xml:space="preserve">/marcas-e-sistemas/material-eletrico/siemens/</t>
  </si>
  <si>
    <t xml:space="preserve">M0366</t>
  </si>
  <si>
    <t xml:space="preserve">Quadro elétrico Siemens</t>
  </si>
  <si>
    <t xml:space="preserve">Vai trocar ou adequar o quadro com componentes Siemens dentro da norma.</t>
  </si>
  <si>
    <t xml:space="preserve">/marcas-e-sistemas/material-eletrico/siemens/#quadro-eletrico</t>
  </si>
  <si>
    <t xml:space="preserve">M0367</t>
  </si>
  <si>
    <t xml:space="preserve">Reforma elétrica com Siemens</t>
  </si>
  <si>
    <t xml:space="preserve">Quer refazer a instalação elétrica com material Siemens.</t>
  </si>
  <si>
    <t xml:space="preserve">/marcas-e-sistemas/material-eletrico/siemens/#reforma-eletrica</t>
  </si>
  <si>
    <t xml:space="preserve">M0368</t>
  </si>
  <si>
    <t xml:space="preserve">Material elétrico WEG</t>
  </si>
  <si>
    <t xml:space="preserve">/marcas-e-sistemas/material-eletrico/weg/</t>
  </si>
  <si>
    <t xml:space="preserve">M0369</t>
  </si>
  <si>
    <t xml:space="preserve">Quadro elétrico WEG</t>
  </si>
  <si>
    <t xml:space="preserve">Vai trocar ou adequar o quadro com componentes WEG dentro da norma.</t>
  </si>
  <si>
    <t xml:space="preserve">/marcas-e-sistemas/material-eletrico/weg/#quadro-eletrico</t>
  </si>
  <si>
    <t xml:space="preserve">M0370</t>
  </si>
  <si>
    <t xml:space="preserve">Reforma elétrica com WEG</t>
  </si>
  <si>
    <t xml:space="preserve">Quer refazer a instalação elétrica com material WEG.</t>
  </si>
  <si>
    <t xml:space="preserve">/marcas-e-sistemas/material-eletrico/weg/#reforma-eletrica</t>
  </si>
  <si>
    <t xml:space="preserve">M0371</t>
  </si>
  <si>
    <t xml:space="preserve">Quem busca por piscinas está escolhendo ou já escolheu um produto e quer saber quem projeta, executa ou avalia com ele. A página lista as marcas da categoria e os serviços ligados a cada uma.</t>
  </si>
  <si>
    <t xml:space="preserve">M0372</t>
  </si>
  <si>
    <t xml:space="preserve">Sodramar</t>
  </si>
  <si>
    <t xml:space="preserve">Equipamentos de piscina Sodramar</t>
  </si>
  <si>
    <t xml:space="preserve">Pessoa que tem, comprou ou está avaliando produtos Sodramar e procura quem projete, execute, instale ou avalie com essa marca. Busca segurança técnica e preservação da garantia do fabricante.</t>
  </si>
  <si>
    <t xml:space="preserve">/marcas-e-sistemas/piscinas/sodramar/</t>
  </si>
  <si>
    <t xml:space="preserve">M0373</t>
  </si>
  <si>
    <t xml:space="preserve">Construção de piscina com Sodramar</t>
  </si>
  <si>
    <t xml:space="preserve">Escolheu equipamentos Sodramar e precisa da obra civil, impermeabilização e casa de máquinas corretas. Carrega preocupação com maresia, umidade e o calendário da temporada.</t>
  </si>
  <si>
    <t xml:space="preserve">/marcas-e-sistemas/piscinas/sodramar/#construcao-piscina</t>
  </si>
  <si>
    <t xml:space="preserve">Linkar para o serviço Construção de piscina em /construcao/construcao-piscina/. Não sugerir parceria, credenciamento ou vínculo; não usar logotipo. Validar texto com jurídico.</t>
  </si>
  <si>
    <t xml:space="preserve">M0374</t>
  </si>
  <si>
    <t xml:space="preserve">Reforma de piscina com Sodramar</t>
  </si>
  <si>
    <t xml:space="preserve">Quer reformar a piscina e atualizar equipamentos para Sodramar. Carrega preocupação com maresia, umidade e o calendário da temporada.</t>
  </si>
  <si>
    <t xml:space="preserve">/marcas-e-sistemas/piscinas/sodramar/#reforma-piscina</t>
  </si>
  <si>
    <t xml:space="preserve">Linkar para o serviço Reforma de piscina em /reformas/reforma-piscina/. Não sugerir parceria, credenciamento ou vínculo; não usar logotipo. Validar texto com jurídico.</t>
  </si>
  <si>
    <t xml:space="preserve">M0375</t>
  </si>
  <si>
    <t xml:space="preserve">Nautilus</t>
  </si>
  <si>
    <t xml:space="preserve">Equipamentos de piscina Nautilus</t>
  </si>
  <si>
    <t xml:space="preserve">Pessoa que tem, comprou ou está avaliando produtos Nautilus e procura quem projete, execute, instale ou avalie com essa marca. Busca segurança técnica e preservação da garantia do fabricante.</t>
  </si>
  <si>
    <t xml:space="preserve">/marcas-e-sistemas/piscinas/nautilus/</t>
  </si>
  <si>
    <t xml:space="preserve">M0376</t>
  </si>
  <si>
    <t xml:space="preserve">Construção de piscina com Nautilus</t>
  </si>
  <si>
    <t xml:space="preserve">Escolheu equipamentos Nautilus e precisa da obra civil, impermeabilização e casa de máquinas corretas.</t>
  </si>
  <si>
    <t xml:space="preserve">/marcas-e-sistemas/piscinas/nautilus/#construcao-piscina</t>
  </si>
  <si>
    <t xml:space="preserve">M0377</t>
  </si>
  <si>
    <t xml:space="preserve">Reforma de piscina com Nautilus</t>
  </si>
  <si>
    <t xml:space="preserve">Quer reformar a piscina e atualizar equipamentos para Nautilus.</t>
  </si>
  <si>
    <t xml:space="preserve">/marcas-e-sistemas/piscinas/nautilus/#reforma-piscina</t>
  </si>
  <si>
    <t xml:space="preserve">M0378</t>
  </si>
  <si>
    <t xml:space="preserve">Jacuzzi</t>
  </si>
  <si>
    <t xml:space="preserve">Equipamentos de piscina Jacuzzi</t>
  </si>
  <si>
    <t xml:space="preserve">Pessoa que tem, comprou ou está avaliando produtos Jacuzzi e procura quem projete, execute, instale ou avalie com essa marca. Busca segurança técnica e preservação da garantia do fabricante.</t>
  </si>
  <si>
    <t xml:space="preserve">/marcas-e-sistemas/piscinas/jacuzzi/</t>
  </si>
  <si>
    <t xml:space="preserve">M0379</t>
  </si>
  <si>
    <t xml:space="preserve">Construção de piscina com Jacuzzi</t>
  </si>
  <si>
    <t xml:space="preserve">Escolheu equipamentos Jacuzzi e precisa da obra civil, impermeabilização e casa de máquinas corretas.</t>
  </si>
  <si>
    <t xml:space="preserve">/marcas-e-sistemas/piscinas/jacuzzi/#construcao-piscina</t>
  </si>
  <si>
    <t xml:space="preserve">M0380</t>
  </si>
  <si>
    <t xml:space="preserve">Reforma de piscina com Jacuzzi</t>
  </si>
  <si>
    <t xml:space="preserve">Quer reformar a piscina e atualizar equipamentos para Jacuzzi.</t>
  </si>
  <si>
    <t xml:space="preserve">/marcas-e-sistemas/piscinas/jacuzzi/#reforma-piscina</t>
  </si>
  <si>
    <t xml:space="preserve">M0381</t>
  </si>
  <si>
    <t xml:space="preserve">Dancor</t>
  </si>
  <si>
    <t xml:space="preserve">Equipamentos de piscina Dancor</t>
  </si>
  <si>
    <t xml:space="preserve">Pessoa que tem, comprou ou está avaliando produtos Dancor e procura quem projete, execute, instale ou avalie com essa marca. Busca segurança técnica e preservação da garantia do fabricante.</t>
  </si>
  <si>
    <t xml:space="preserve">/marcas-e-sistemas/piscinas/dancor/</t>
  </si>
  <si>
    <t xml:space="preserve">M0382</t>
  </si>
  <si>
    <t xml:space="preserve">Construção de piscina com Dancor</t>
  </si>
  <si>
    <t xml:space="preserve">Escolheu equipamentos Dancor e precisa da obra civil, impermeabilização e casa de máquinas corretas.</t>
  </si>
  <si>
    <t xml:space="preserve">/marcas-e-sistemas/piscinas/dancor/#construcao-piscina</t>
  </si>
  <si>
    <t xml:space="preserve">M0383</t>
  </si>
  <si>
    <t xml:space="preserve">Reforma de piscina com Dancor</t>
  </si>
  <si>
    <t xml:space="preserve">Quer reformar a piscina e atualizar equipamentos para Dancor.</t>
  </si>
  <si>
    <t xml:space="preserve">/marcas-e-sistemas/piscinas/dancor/#reforma-piscina</t>
  </si>
  <si>
    <t xml:space="preserve">M0384</t>
  </si>
  <si>
    <t xml:space="preserve">Pessoa comparando formas de construir. A página apresenta os sistemas que a Vaff domina, com vantagens, limites e custo relativo de cada um, e leva para o sistema escolhido.</t>
  </si>
  <si>
    <t xml:space="preserve">M0385</t>
  </si>
  <si>
    <t xml:space="preserve">Steel frame</t>
  </si>
  <si>
    <t xml:space="preserve">Sistema construtivo</t>
  </si>
  <si>
    <t xml:space="preserve">Pesquisa sobre steel frame: quer entender vantagens, custo, prazo e se funciona no clima de Florianópolis antes de decidir. Oportunidade de posicionar a Vaff como quem domina vários sistemas.</t>
  </si>
  <si>
    <t xml:space="preserve">/marcas-e-sistemas/sistemas-construtivos/steel-frame/</t>
  </si>
  <si>
    <t xml:space="preserve">M0386</t>
  </si>
  <si>
    <t xml:space="preserve">Construção em steel frame</t>
  </si>
  <si>
    <t xml:space="preserve">Quer construir usando steel frame e procura quem tenha domínio técnico do sistema, com prazo e custo previsíveis.</t>
  </si>
  <si>
    <t xml:space="preserve">/marcas-e-sistemas/sistemas-construtivos/steel-frame/construcao/</t>
  </si>
  <si>
    <t xml:space="preserve">Linkar para o serviço Construção de casa de alto padrão em /construcao/construcao-casa-alto-padrao/.</t>
  </si>
  <si>
    <t xml:space="preserve">M0387</t>
  </si>
  <si>
    <t xml:space="preserve">Projeto em steel frame</t>
  </si>
  <si>
    <t xml:space="preserve">Precisa de projeto estrutural e complementares compatíveis com steel frame.</t>
  </si>
  <si>
    <t xml:space="preserve">/marcas-e-sistemas/sistemas-construtivos/steel-frame/#projeto</t>
  </si>
  <si>
    <t xml:space="preserve">Linkar para o serviço Projeto estrutural em /projetos/projeto-estrutural/.</t>
  </si>
  <si>
    <t xml:space="preserve">M0388</t>
  </si>
  <si>
    <t xml:space="preserve">Custo de steel frame por metro quadrado</t>
  </si>
  <si>
    <t xml:space="preserve">Compara o custo de steel frame com outros sistemas antes de decidir.</t>
  </si>
  <si>
    <t xml:space="preserve">/marcas-e-sistemas/sistemas-construtivos/steel-frame/#custo-por-metro-quadrado</t>
  </si>
  <si>
    <t xml:space="preserve">Linkar para o serviço Orçamento de obra em /projetos/orcamento-obra/.</t>
  </si>
  <si>
    <t xml:space="preserve">M0389</t>
  </si>
  <si>
    <t xml:space="preserve">Laudo de steel frame</t>
  </si>
  <si>
    <t xml:space="preserve">Tem imóvel em steel frame com patologia ou dúvida de desempenho e precisa de avaliação técnica.</t>
  </si>
  <si>
    <t xml:space="preserve">/marcas-e-sistemas/sistemas-construtivos/steel-frame/#laudo</t>
  </si>
  <si>
    <t xml:space="preserve">Linkar para o serviço Laudo estrutural em /laudos-tecnicos/laudo-estrutural/.</t>
  </si>
  <si>
    <t xml:space="preserve">M0390</t>
  </si>
  <si>
    <t xml:space="preserve">Reforma de imóvel em steel frame</t>
  </si>
  <si>
    <t xml:space="preserve">Tem imóvel construído em steel frame e quer reformar ou ampliar sem comprometer o sistema.</t>
  </si>
  <si>
    <t xml:space="preserve">/marcas-e-sistemas/sistemas-construtivos/steel-frame/#reforma-imovel</t>
  </si>
  <si>
    <t xml:space="preserve">Linkar para o serviço Reforma residencial em /reformas/reforma-residencial/.</t>
  </si>
  <si>
    <t xml:space="preserve">M0391</t>
  </si>
  <si>
    <t xml:space="preserve">Steel frame vale a pena</t>
  </si>
  <si>
    <t xml:space="preserve">Topo de funil: pessoa comparando steel frame com outras soluções. Artigo neutro e técnico que leva à página do sistema.</t>
  </si>
  <si>
    <t xml:space="preserve">/blog/steel-frame-vale-a-pena/</t>
  </si>
  <si>
    <t xml:space="preserve">Linkar para o serviço Estudo de alternativas construtivas em /projetos/estudo-alternativas-construtivas/.</t>
  </si>
  <si>
    <t xml:space="preserve">M0392</t>
  </si>
  <si>
    <t xml:space="preserve">Wood frame</t>
  </si>
  <si>
    <t xml:space="preserve">Pesquisa sobre wood frame: quer entender vantagens, custo, prazo e se funciona no clima de Florianópolis antes de decidir. Oportunidade de posicionar a Vaff como quem domina vários sistemas.</t>
  </si>
  <si>
    <t xml:space="preserve">/marcas-e-sistemas/sistemas-construtivos/wood-frame/</t>
  </si>
  <si>
    <t xml:space="preserve">M0393</t>
  </si>
  <si>
    <t xml:space="preserve">Construção em wood frame</t>
  </si>
  <si>
    <t xml:space="preserve">Quer construir usando wood frame e procura quem tenha domínio técnico do sistema, com prazo e custo previsíveis.</t>
  </si>
  <si>
    <t xml:space="preserve">/marcas-e-sistemas/sistemas-construtivos/wood-frame/construcao/</t>
  </si>
  <si>
    <t xml:space="preserve">M0394</t>
  </si>
  <si>
    <t xml:space="preserve">Projeto em wood frame</t>
  </si>
  <si>
    <t xml:space="preserve">Precisa de projeto estrutural e complementares compatíveis com wood frame.</t>
  </si>
  <si>
    <t xml:space="preserve">/marcas-e-sistemas/sistemas-construtivos/wood-frame/#projeto</t>
  </si>
  <si>
    <t xml:space="preserve">M0395</t>
  </si>
  <si>
    <t xml:space="preserve">Custo de wood frame por metro quadrado</t>
  </si>
  <si>
    <t xml:space="preserve">Compara o custo de wood frame com outros sistemas antes de decidir.</t>
  </si>
  <si>
    <t xml:space="preserve">/marcas-e-sistemas/sistemas-construtivos/wood-frame/#custo-por-metro-quadrado</t>
  </si>
  <si>
    <t xml:space="preserve">M0396</t>
  </si>
  <si>
    <t xml:space="preserve">Laudo de wood frame</t>
  </si>
  <si>
    <t xml:space="preserve">Tem imóvel em wood frame com patologia ou dúvida de desempenho e precisa de avaliação técnica.</t>
  </si>
  <si>
    <t xml:space="preserve">/marcas-e-sistemas/sistemas-construtivos/wood-frame/#laudo</t>
  </si>
  <si>
    <t xml:space="preserve">M0397</t>
  </si>
  <si>
    <t xml:space="preserve">Reforma de imóvel em wood frame</t>
  </si>
  <si>
    <t xml:space="preserve">Tem imóvel construído em wood frame e quer reformar ou ampliar sem comprometer o sistema.</t>
  </si>
  <si>
    <t xml:space="preserve">/marcas-e-sistemas/sistemas-construtivos/wood-frame/#reforma-imovel</t>
  </si>
  <si>
    <t xml:space="preserve">M0398</t>
  </si>
  <si>
    <t xml:space="preserve">Wood frame vale a pena</t>
  </si>
  <si>
    <t xml:space="preserve">Topo de funil: pessoa comparando wood frame com outras soluções. Artigo neutro e técnico que leva à página do sistema.</t>
  </si>
  <si>
    <t xml:space="preserve">/blog/wood-frame-vale-a-pena/</t>
  </si>
  <si>
    <t xml:space="preserve">M0399</t>
  </si>
  <si>
    <t xml:space="preserve">Estrutura metálica</t>
  </si>
  <si>
    <t xml:space="preserve">Pesquisa sobre estrutura metálica: quer entender vantagens, custo, prazo e se funciona no clima de Florianópolis antes de decidir. Oportunidade de posicionar a Vaff como quem domina vários sistemas.</t>
  </si>
  <si>
    <t xml:space="preserve">/marcas-e-sistemas/sistemas-construtivos/estrutura-metalica/</t>
  </si>
  <si>
    <t xml:space="preserve">M0400</t>
  </si>
  <si>
    <t xml:space="preserve">Construção em estrutura metálica</t>
  </si>
  <si>
    <t xml:space="preserve">Quer construir usando estrutura metálica e procura quem tenha domínio técnico do sistema, com prazo e custo previsíveis.</t>
  </si>
  <si>
    <t xml:space="preserve">/marcas-e-sistemas/sistemas-construtivos/estrutura-metalica/construcao/</t>
  </si>
  <si>
    <t xml:space="preserve">M0401</t>
  </si>
  <si>
    <t xml:space="preserve">Projeto em estrutura metálica</t>
  </si>
  <si>
    <t xml:space="preserve">Precisa de projeto estrutural e complementares compatíveis com estrutura metálica.</t>
  </si>
  <si>
    <t xml:space="preserve">/marcas-e-sistemas/sistemas-construtivos/estrutura-metalica/#projeto</t>
  </si>
  <si>
    <t xml:space="preserve">M0402</t>
  </si>
  <si>
    <t xml:space="preserve">Custo de estrutura metálica por metro quadrado</t>
  </si>
  <si>
    <t xml:space="preserve">Compara o custo de estrutura metálica com outros sistemas antes de decidir.</t>
  </si>
  <si>
    <t xml:space="preserve">/marcas-e-sistemas/sistemas-construtivos/estrutura-metalica/#custo-por-metro-quadrado</t>
  </si>
  <si>
    <t xml:space="preserve">M0403</t>
  </si>
  <si>
    <t xml:space="preserve">Reforma de imóvel em estrutura metálica</t>
  </si>
  <si>
    <t xml:space="preserve">Tem imóvel construído em estrutura metálica e quer reformar ou ampliar sem comprometer o sistema.</t>
  </si>
  <si>
    <t xml:space="preserve">/marcas-e-sistemas/sistemas-construtivos/estrutura-metalica/#reforma-imovel</t>
  </si>
  <si>
    <t xml:space="preserve">M0404</t>
  </si>
  <si>
    <t xml:space="preserve">Estrutura metálica vale a pena</t>
  </si>
  <si>
    <t xml:space="preserve">Topo de funil: pessoa comparando estrutura metálica com outras soluções. Artigo neutro e técnico que leva à página do sistema.</t>
  </si>
  <si>
    <t xml:space="preserve">/blog/estrutura-metalica-vale-a-pena/</t>
  </si>
  <si>
    <t xml:space="preserve">M0405</t>
  </si>
  <si>
    <t xml:space="preserve">Concreto armado</t>
  </si>
  <si>
    <t xml:space="preserve">Pesquisa sobre concreto armado: quer entender vantagens, custo, prazo e se funciona no clima de Florianópolis antes de decidir. Oportunidade de posicionar a Vaff como quem domina vários sistemas.</t>
  </si>
  <si>
    <t xml:space="preserve">/marcas-e-sistemas/sistemas-construtivos/concreto-armado/</t>
  </si>
  <si>
    <t xml:space="preserve">M0406</t>
  </si>
  <si>
    <t xml:space="preserve">Construção em concreto armado</t>
  </si>
  <si>
    <t xml:space="preserve">Quer construir usando concreto armado e procura quem tenha domínio técnico do sistema, com prazo e custo previsíveis.</t>
  </si>
  <si>
    <t xml:space="preserve">/marcas-e-sistemas/sistemas-construtivos/concreto-armado/construcao/</t>
  </si>
  <si>
    <t xml:space="preserve">M0407</t>
  </si>
  <si>
    <t xml:space="preserve">Projeto em concreto armado</t>
  </si>
  <si>
    <t xml:space="preserve">Precisa de projeto estrutural e complementares compatíveis com concreto armado.</t>
  </si>
  <si>
    <t xml:space="preserve">/marcas-e-sistemas/sistemas-construtivos/concreto-armado/#projeto</t>
  </si>
  <si>
    <t xml:space="preserve">M0408</t>
  </si>
  <si>
    <t xml:space="preserve">Custo de concreto armado por metro quadrado</t>
  </si>
  <si>
    <t xml:space="preserve">Compara o custo de concreto armado com outros sistemas antes de decidir.</t>
  </si>
  <si>
    <t xml:space="preserve">/marcas-e-sistemas/sistemas-construtivos/concreto-armado/#custo-por-metro-quadrado</t>
  </si>
  <si>
    <t xml:space="preserve">M0409</t>
  </si>
  <si>
    <t xml:space="preserve">Laudo de concreto armado</t>
  </si>
  <si>
    <t xml:space="preserve">Tem imóvel em concreto armado com patologia ou dúvida de desempenho e precisa de avaliação técnica.</t>
  </si>
  <si>
    <t xml:space="preserve">/marcas-e-sistemas/sistemas-construtivos/concreto-armado/#laudo</t>
  </si>
  <si>
    <t xml:space="preserve">M0410</t>
  </si>
  <si>
    <t xml:space="preserve">Reforma de imóvel em concreto armado</t>
  </si>
  <si>
    <t xml:space="preserve">Tem imóvel construído em concreto armado e quer reformar ou ampliar sem comprometer o sistema.</t>
  </si>
  <si>
    <t xml:space="preserve">/marcas-e-sistemas/sistemas-construtivos/concreto-armado/#reforma-imovel</t>
  </si>
  <si>
    <t xml:space="preserve">M0411</t>
  </si>
  <si>
    <t xml:space="preserve">Concreto armado vale a pena</t>
  </si>
  <si>
    <t xml:space="preserve">Topo de funil: pessoa comparando concreto armado com outras soluções. Artigo neutro e técnico que leva à página do sistema.</t>
  </si>
  <si>
    <t xml:space="preserve">/blog/concreto-armado-vale-a-pena/</t>
  </si>
  <si>
    <t xml:space="preserve">M0412</t>
  </si>
  <si>
    <t xml:space="preserve">Alvenaria estrutural</t>
  </si>
  <si>
    <t xml:space="preserve">Pesquisa sobre alvenaria estrutural: quer entender vantagens, custo, prazo e se funciona no clima de Florianópolis antes de decidir. Oportunidade de posicionar a Vaff como quem domina vários sistemas.</t>
  </si>
  <si>
    <t xml:space="preserve">/marcas-e-sistemas/sistemas-construtivos/alvenaria-estrutural/</t>
  </si>
  <si>
    <t xml:space="preserve">M0413</t>
  </si>
  <si>
    <t xml:space="preserve">Construção em alvenaria estrutural</t>
  </si>
  <si>
    <t xml:space="preserve">Quer construir usando alvenaria estrutural e procura quem tenha domínio técnico do sistema, com prazo e custo previsíveis.</t>
  </si>
  <si>
    <t xml:space="preserve">/marcas-e-sistemas/sistemas-construtivos/alvenaria-estrutural/construcao/</t>
  </si>
  <si>
    <t xml:space="preserve">M0414</t>
  </si>
  <si>
    <t xml:space="preserve">Projeto em alvenaria estrutural</t>
  </si>
  <si>
    <t xml:space="preserve">Precisa de projeto estrutural e complementares compatíveis com alvenaria estrutural.</t>
  </si>
  <si>
    <t xml:space="preserve">/marcas-e-sistemas/sistemas-construtivos/alvenaria-estrutural/#projeto</t>
  </si>
  <si>
    <t xml:space="preserve">M0415</t>
  </si>
  <si>
    <t xml:space="preserve">Custo de alvenaria estrutural por metro quadrado</t>
  </si>
  <si>
    <t xml:space="preserve">Compara o custo de alvenaria estrutural com outros sistemas antes de decidir.</t>
  </si>
  <si>
    <t xml:space="preserve">/marcas-e-sistemas/sistemas-construtivos/alvenaria-estrutural/#custo-por-metro-quadrado</t>
  </si>
  <si>
    <t xml:space="preserve">M0416</t>
  </si>
  <si>
    <t xml:space="preserve">Laudo de alvenaria estrutural</t>
  </si>
  <si>
    <t xml:space="preserve">Tem imóvel em alvenaria estrutural com patologia ou dúvida de desempenho e precisa de avaliação técnica.</t>
  </si>
  <si>
    <t xml:space="preserve">/marcas-e-sistemas/sistemas-construtivos/alvenaria-estrutural/#laudo</t>
  </si>
  <si>
    <t xml:space="preserve">M0417</t>
  </si>
  <si>
    <t xml:space="preserve">Reforma de imóvel em alvenaria estrutural</t>
  </si>
  <si>
    <t xml:space="preserve">Tem imóvel construído em alvenaria estrutural e quer reformar ou ampliar sem comprometer o sistema.</t>
  </si>
  <si>
    <t xml:space="preserve">/marcas-e-sistemas/sistemas-construtivos/alvenaria-estrutural/#reforma-imovel</t>
  </si>
  <si>
    <t xml:space="preserve">M0418</t>
  </si>
  <si>
    <t xml:space="preserve">Alvenaria estrutural vale a pena</t>
  </si>
  <si>
    <t xml:space="preserve">Topo de funil: pessoa comparando alvenaria estrutural com outras soluções. Artigo neutro e técnico que leva à página do sistema.</t>
  </si>
  <si>
    <t xml:space="preserve">/blog/alvenaria-estrutural-vale-a-pena/</t>
  </si>
  <si>
    <t xml:space="preserve">M0419</t>
  </si>
  <si>
    <t xml:space="preserve">Madeira laminada cruzada</t>
  </si>
  <si>
    <t xml:space="preserve">Pesquisa sobre madeira laminada cruzada: quer entender vantagens, custo, prazo e se funciona no clima de Florianópolis antes de decidir. Oportunidade de posicionar a Vaff como quem domina vários sistemas.</t>
  </si>
  <si>
    <t xml:space="preserve">/marcas-e-sistemas/sistemas-construtivos/madeira-laminada-cruzada/</t>
  </si>
  <si>
    <t xml:space="preserve">M0420</t>
  </si>
  <si>
    <t xml:space="preserve">Construção em madeira laminada cruzada</t>
  </si>
  <si>
    <t xml:space="preserve">Quer construir usando madeira laminada cruzada e procura quem tenha domínio técnico do sistema, com prazo e custo previsíveis.</t>
  </si>
  <si>
    <t xml:space="preserve">/marcas-e-sistemas/sistemas-construtivos/madeira-laminada-cruzada/construcao/</t>
  </si>
  <si>
    <t xml:space="preserve">M0421</t>
  </si>
  <si>
    <t xml:space="preserve">Projeto em madeira laminada cruzada</t>
  </si>
  <si>
    <t xml:space="preserve">Precisa de projeto estrutural e complementares compatíveis com madeira laminada cruzada.</t>
  </si>
  <si>
    <t xml:space="preserve">/marcas-e-sistemas/sistemas-construtivos/madeira-laminada-cruzada/#projeto</t>
  </si>
  <si>
    <t xml:space="preserve">M0422</t>
  </si>
  <si>
    <t xml:space="preserve">Custo de madeira laminada cruzada por metro quadrado</t>
  </si>
  <si>
    <t xml:space="preserve">Compara o custo de madeira laminada cruzada com outros sistemas antes de decidir.</t>
  </si>
  <si>
    <t xml:space="preserve">/marcas-e-sistemas/sistemas-construtivos/madeira-laminada-cruzada/#custo-por-metro-quadrado</t>
  </si>
  <si>
    <t xml:space="preserve">M0423</t>
  </si>
  <si>
    <t xml:space="preserve">Laudo de madeira laminada cruzada</t>
  </si>
  <si>
    <t xml:space="preserve">Tem imóvel em madeira laminada cruzada com patologia ou dúvida de desempenho e precisa de avaliação técnica.</t>
  </si>
  <si>
    <t xml:space="preserve">/marcas-e-sistemas/sistemas-construtivos/madeira-laminada-cruzada/#laudo</t>
  </si>
  <si>
    <t xml:space="preserve">M0424</t>
  </si>
  <si>
    <t xml:space="preserve">Reforma de imóvel em madeira laminada cruzada</t>
  </si>
  <si>
    <t xml:space="preserve">Tem imóvel construído em madeira laminada cruzada e quer reformar ou ampliar sem comprometer o sistema.</t>
  </si>
  <si>
    <t xml:space="preserve">/marcas-e-sistemas/sistemas-construtivos/madeira-laminada-cruzada/#reforma-imovel</t>
  </si>
  <si>
    <t xml:space="preserve">M0425</t>
  </si>
  <si>
    <t xml:space="preserve">Madeira laminada cruzada vale a pena</t>
  </si>
  <si>
    <t xml:space="preserve">Topo de funil: pessoa comparando madeira laminada cruzada com outras soluções. Artigo neutro e técnico que leva à página do sistema.</t>
  </si>
  <si>
    <t xml:space="preserve">/blog/madeira-laminada-cruzada-vale-a-pena/</t>
  </si>
  <si>
    <t xml:space="preserve">M0426</t>
  </si>
  <si>
    <t xml:space="preserve">Pré-moldado de concreto</t>
  </si>
  <si>
    <t xml:space="preserve">Pesquisa sobre pré-moldado de concreto: quer entender vantagens, custo, prazo e se funciona no clima de Florianópolis antes de decidir. Oportunidade de posicionar a Vaff como quem domina vários sistemas.</t>
  </si>
  <si>
    <t xml:space="preserve">/marcas-e-sistemas/sistemas-construtivos/pre-moldado-concreto/</t>
  </si>
  <si>
    <t xml:space="preserve">M0427</t>
  </si>
  <si>
    <t xml:space="preserve">Construção em pré-moldado de concreto</t>
  </si>
  <si>
    <t xml:space="preserve">Quer construir usando pré-moldado de concreto e procura quem tenha domínio técnico do sistema, com prazo e custo previsíveis.</t>
  </si>
  <si>
    <t xml:space="preserve">/marcas-e-sistemas/sistemas-construtivos/pre-moldado-concreto/construcao/</t>
  </si>
  <si>
    <t xml:space="preserve">M0428</t>
  </si>
  <si>
    <t xml:space="preserve">Projeto em pré-moldado de concreto</t>
  </si>
  <si>
    <t xml:space="preserve">Precisa de projeto estrutural e complementares compatíveis com pré-moldado de concreto.</t>
  </si>
  <si>
    <t xml:space="preserve">/marcas-e-sistemas/sistemas-construtivos/pre-moldado-concreto/#projeto</t>
  </si>
  <si>
    <t xml:space="preserve">M0429</t>
  </si>
  <si>
    <t xml:space="preserve">Custo de pré-moldado de concreto por metro quadrado</t>
  </si>
  <si>
    <t xml:space="preserve">Compara o custo de pré-moldado de concreto com outros sistemas antes de decidir.</t>
  </si>
  <si>
    <t xml:space="preserve">/marcas-e-sistemas/sistemas-construtivos/pre-moldado-concreto/#custo-por-metro-quadrado</t>
  </si>
  <si>
    <t xml:space="preserve">M0430</t>
  </si>
  <si>
    <t xml:space="preserve">Laudo de pré-moldado de concreto</t>
  </si>
  <si>
    <t xml:space="preserve">Tem imóvel em pré-moldado de concreto com patologia ou dúvida de desempenho e precisa de avaliação técnica.</t>
  </si>
  <si>
    <t xml:space="preserve">/marcas-e-sistemas/sistemas-construtivos/pre-moldado-concreto/#laudo</t>
  </si>
  <si>
    <t xml:space="preserve">M0431</t>
  </si>
  <si>
    <t xml:space="preserve">Reforma de imóvel em pré-moldado de concreto</t>
  </si>
  <si>
    <t xml:space="preserve">Tem imóvel construído em pré-moldado de concreto e quer reformar ou ampliar sem comprometer o sistema.</t>
  </si>
  <si>
    <t xml:space="preserve">/marcas-e-sistemas/sistemas-construtivos/pre-moldado-concreto/#reforma-imovel</t>
  </si>
  <si>
    <t xml:space="preserve">M0432</t>
  </si>
  <si>
    <t xml:space="preserve">Pré-moldado de concreto vale a pena</t>
  </si>
  <si>
    <t xml:space="preserve">Topo de funil: pessoa comparando pré-moldado de concreto com outras soluções. Artigo neutro e técnico que leva à página do sistema.</t>
  </si>
  <si>
    <t xml:space="preserve">/blog/pre-moldado-concreto-vale-a-pena/</t>
  </si>
  <si>
    <t xml:space="preserve">M0433</t>
  </si>
  <si>
    <t xml:space="preserve">Paredes de concreto</t>
  </si>
  <si>
    <t xml:space="preserve">Pesquisa sobre paredes de concreto: quer entender vantagens, custo, prazo e se funciona no clima de Florianópolis antes de decidir. Oportunidade de posicionar a Vaff como quem domina vários sistemas.</t>
  </si>
  <si>
    <t xml:space="preserve">/marcas-e-sistemas/sistemas-construtivos/paredes-concreto/</t>
  </si>
  <si>
    <t xml:space="preserve">M0434</t>
  </si>
  <si>
    <t xml:space="preserve">Construção em paredes de concreto</t>
  </si>
  <si>
    <t xml:space="preserve">Quer construir usando paredes de concreto e procura quem tenha domínio técnico do sistema, com prazo e custo previsíveis.</t>
  </si>
  <si>
    <t xml:space="preserve">/marcas-e-sistemas/sistemas-construtivos/paredes-concreto/construcao/</t>
  </si>
  <si>
    <t xml:space="preserve">M0435</t>
  </si>
  <si>
    <t xml:space="preserve">Projeto em paredes de concreto</t>
  </si>
  <si>
    <t xml:space="preserve">Precisa de projeto estrutural e complementares compatíveis com paredes de concreto.</t>
  </si>
  <si>
    <t xml:space="preserve">/marcas-e-sistemas/sistemas-construtivos/paredes-concreto/#projeto</t>
  </si>
  <si>
    <t xml:space="preserve">M0436</t>
  </si>
  <si>
    <t xml:space="preserve">Custo de paredes de concreto por metro quadrado</t>
  </si>
  <si>
    <t xml:space="preserve">Compara o custo de paredes de concreto com outros sistemas antes de decidir.</t>
  </si>
  <si>
    <t xml:space="preserve">/marcas-e-sistemas/sistemas-construtivos/paredes-concreto/#custo-por-metro-quadrado</t>
  </si>
  <si>
    <t xml:space="preserve">M0437</t>
  </si>
  <si>
    <t xml:space="preserve">Laudo de paredes de concreto</t>
  </si>
  <si>
    <t xml:space="preserve">Tem imóvel em paredes de concreto com patologia ou dúvida de desempenho e precisa de avaliação técnica.</t>
  </si>
  <si>
    <t xml:space="preserve">/marcas-e-sistemas/sistemas-construtivos/paredes-concreto/#laudo</t>
  </si>
  <si>
    <t xml:space="preserve">M0438</t>
  </si>
  <si>
    <t xml:space="preserve">Reforma de imóvel em paredes de concreto</t>
  </si>
  <si>
    <t xml:space="preserve">Tem imóvel construído em paredes de concreto e quer reformar ou ampliar sem comprometer o sistema.</t>
  </si>
  <si>
    <t xml:space="preserve">/marcas-e-sistemas/sistemas-construtivos/paredes-concreto/#reforma-imovel</t>
  </si>
  <si>
    <t xml:space="preserve">M0439</t>
  </si>
  <si>
    <t xml:space="preserve">Paredes de concreto vale a pena</t>
  </si>
  <si>
    <t xml:space="preserve">Topo de funil: pessoa comparando paredes de concreto com outras soluções. Artigo neutro e técnico que leva à página do sistema.</t>
  </si>
  <si>
    <t xml:space="preserve">/blog/paredes-concreto-vale-a-pena/</t>
  </si>
  <si>
    <t xml:space="preserve">M0440</t>
  </si>
  <si>
    <t xml:space="preserve">Concreto protendido</t>
  </si>
  <si>
    <t xml:space="preserve">Pesquisa sobre concreto protendido: quer entender vantagens, custo, prazo e se funciona no clima de Florianópolis antes de decidir. Oportunidade de posicionar a Vaff como quem domina vários sistemas.</t>
  </si>
  <si>
    <t xml:space="preserve">/marcas-e-sistemas/sistemas-construtivos/concreto-protendido/</t>
  </si>
  <si>
    <t xml:space="preserve">M0441</t>
  </si>
  <si>
    <t xml:space="preserve">Construção em concreto protendido</t>
  </si>
  <si>
    <t xml:space="preserve">Quer construir usando concreto protendido e procura quem tenha domínio técnico do sistema, com prazo e custo previsíveis.</t>
  </si>
  <si>
    <t xml:space="preserve">/marcas-e-sistemas/sistemas-construtivos/concreto-protendido/construcao/</t>
  </si>
  <si>
    <t xml:space="preserve">M0442</t>
  </si>
  <si>
    <t xml:space="preserve">Projeto em concreto protendido</t>
  </si>
  <si>
    <t xml:space="preserve">Precisa de projeto estrutural e complementares compatíveis com concreto protendido.</t>
  </si>
  <si>
    <t xml:space="preserve">/marcas-e-sistemas/sistemas-construtivos/concreto-protendido/#projeto</t>
  </si>
  <si>
    <t xml:space="preserve">M0443</t>
  </si>
  <si>
    <t xml:space="preserve">Custo de concreto protendido por metro quadrado</t>
  </si>
  <si>
    <t xml:space="preserve">Compara o custo de concreto protendido com outros sistemas antes de decidir.</t>
  </si>
  <si>
    <t xml:space="preserve">/marcas-e-sistemas/sistemas-construtivos/concreto-protendido/#custo-por-metro-quadrado</t>
  </si>
  <si>
    <t xml:space="preserve">M0444</t>
  </si>
  <si>
    <t xml:space="preserve">Laudo de concreto protendido</t>
  </si>
  <si>
    <t xml:space="preserve">Tem imóvel em concreto protendido com patologia ou dúvida de desempenho e precisa de avaliação técnica.</t>
  </si>
  <si>
    <t xml:space="preserve">/marcas-e-sistemas/sistemas-construtivos/concreto-protendido/#laudo</t>
  </si>
  <si>
    <t xml:space="preserve">M0445</t>
  </si>
  <si>
    <t xml:space="preserve">Reforma de imóvel em concreto protendido</t>
  </si>
  <si>
    <t xml:space="preserve">Tem imóvel construído em concreto protendido e quer reformar ou ampliar sem comprometer o sistema.</t>
  </si>
  <si>
    <t xml:space="preserve">/marcas-e-sistemas/sistemas-construtivos/concreto-protendido/#reforma-imovel</t>
  </si>
  <si>
    <t xml:space="preserve">M0446</t>
  </si>
  <si>
    <t xml:space="preserve">Concreto protendido vale a pena</t>
  </si>
  <si>
    <t xml:space="preserve">Topo de funil: pessoa comparando concreto protendido com outras soluções. Artigo neutro e técnico que leva à página do sistema.</t>
  </si>
  <si>
    <t xml:space="preserve">/blog/concreto-protendido-vale-a-pena/</t>
  </si>
  <si>
    <t xml:space="preserve">M0447</t>
  </si>
  <si>
    <t xml:space="preserve">Laje nervurada</t>
  </si>
  <si>
    <t xml:space="preserve">Pesquisa sobre laje nervurada: quer entender vantagens, custo, prazo e se funciona no clima de Florianópolis antes de decidir. Oportunidade de posicionar a Vaff como quem domina vários sistemas.</t>
  </si>
  <si>
    <t xml:space="preserve">/marcas-e-sistemas/sistemas-construtivos/laje-nervurada/</t>
  </si>
  <si>
    <t xml:space="preserve">M0448</t>
  </si>
  <si>
    <t xml:space="preserve">Execução de laje nervurada</t>
  </si>
  <si>
    <t xml:space="preserve">Quer incluir laje nervurada na obra e procura quem execute com detalhamento técnico correto.</t>
  </si>
  <si>
    <t xml:space="preserve">/marcas-e-sistemas/sistemas-construtivos/laje-nervurada/execucao/</t>
  </si>
  <si>
    <t xml:space="preserve">M0449</t>
  </si>
  <si>
    <t xml:space="preserve">Projeto de laje nervurada</t>
  </si>
  <si>
    <t xml:space="preserve">Precisa de projeto e detalhamento de laje nervurada compatível com o restante da edificação.</t>
  </si>
  <si>
    <t xml:space="preserve">/marcas-e-sistemas/sistemas-construtivos/laje-nervurada/#projeto</t>
  </si>
  <si>
    <t xml:space="preserve">M0450</t>
  </si>
  <si>
    <t xml:space="preserve">Custo de laje nervurada por metro quadrado</t>
  </si>
  <si>
    <t xml:space="preserve">Compara o custo de laje nervurada com alternativas antes de decidir.</t>
  </si>
  <si>
    <t xml:space="preserve">/marcas-e-sistemas/sistemas-construtivos/laje-nervurada/#custo-por-metro-quadrado</t>
  </si>
  <si>
    <t xml:space="preserve">M0451</t>
  </si>
  <si>
    <t xml:space="preserve">Laudo de laje nervurada</t>
  </si>
  <si>
    <t xml:space="preserve">Tem laje nervurada com falha ou dúvida de desempenho e precisa de avaliação técnica.</t>
  </si>
  <si>
    <t xml:space="preserve">/marcas-e-sistemas/sistemas-construtivos/laje-nervurada/#laudo</t>
  </si>
  <si>
    <t xml:space="preserve">Linkar para o serviço Laudo de patologias construtivas em /laudos-tecnicos/laudo-patologias-construtivas/.</t>
  </si>
  <si>
    <t xml:space="preserve">M0452</t>
  </si>
  <si>
    <t xml:space="preserve">Laje nervurada vale a pena</t>
  </si>
  <si>
    <t xml:space="preserve">Topo de funil: pessoa avaliando laje nervurada. Artigo neutro e técnico que leva à página do sistema.</t>
  </si>
  <si>
    <t xml:space="preserve">/blog/laje-nervurada-vale-a-pena/</t>
  </si>
  <si>
    <t xml:space="preserve">M0453</t>
  </si>
  <si>
    <t xml:space="preserve">Laje alveolar</t>
  </si>
  <si>
    <t xml:space="preserve">Pesquisa sobre laje alveolar: quer entender vantagens, custo, prazo e se funciona no clima de Florianópolis antes de decidir. Oportunidade de posicionar a Vaff como quem domina vários sistemas.</t>
  </si>
  <si>
    <t xml:space="preserve">/marcas-e-sistemas/sistemas-construtivos/laje-alveolar/</t>
  </si>
  <si>
    <t xml:space="preserve">M0454</t>
  </si>
  <si>
    <t xml:space="preserve">Execução de laje alveolar</t>
  </si>
  <si>
    <t xml:space="preserve">Quer incluir laje alveolar na obra e procura quem execute com detalhamento técnico correto.</t>
  </si>
  <si>
    <t xml:space="preserve">/marcas-e-sistemas/sistemas-construtivos/laje-alveolar/execucao/</t>
  </si>
  <si>
    <t xml:space="preserve">M0455</t>
  </si>
  <si>
    <t xml:space="preserve">Projeto de laje alveolar</t>
  </si>
  <si>
    <t xml:space="preserve">Precisa de projeto e detalhamento de laje alveolar compatível com o restante da edificação.</t>
  </si>
  <si>
    <t xml:space="preserve">/marcas-e-sistemas/sistemas-construtivos/laje-alveolar/#projeto</t>
  </si>
  <si>
    <t xml:space="preserve">M0456</t>
  </si>
  <si>
    <t xml:space="preserve">Custo de laje alveolar por metro quadrado</t>
  </si>
  <si>
    <t xml:space="preserve">Compara o custo de laje alveolar com alternativas antes de decidir.</t>
  </si>
  <si>
    <t xml:space="preserve">/marcas-e-sistemas/sistemas-construtivos/laje-alveolar/#custo-por-metro-quadrado</t>
  </si>
  <si>
    <t xml:space="preserve">M0457</t>
  </si>
  <si>
    <t xml:space="preserve">Laudo de laje alveolar</t>
  </si>
  <si>
    <t xml:space="preserve">Tem laje alveolar com falha ou dúvida de desempenho e precisa de avaliação técnica.</t>
  </si>
  <si>
    <t xml:space="preserve">/marcas-e-sistemas/sistemas-construtivos/laje-alveolar/#laudo</t>
  </si>
  <si>
    <t xml:space="preserve">M0458</t>
  </si>
  <si>
    <t xml:space="preserve">Laje alveolar vale a pena</t>
  </si>
  <si>
    <t xml:space="preserve">Topo de funil: pessoa avaliando laje alveolar. Artigo neutro e técnico que leva à página do sistema.</t>
  </si>
  <si>
    <t xml:space="preserve">/blog/laje-alveolar-vale-a-pena/</t>
  </si>
  <si>
    <t xml:space="preserve">M0459</t>
  </si>
  <si>
    <t xml:space="preserve">Construção a seco</t>
  </si>
  <si>
    <t xml:space="preserve">Pesquisa sobre construção a seco: quer entender vantagens, custo, prazo e se funciona no clima de Florianópolis antes de decidir. Oportunidade de posicionar a Vaff como quem domina vários sistemas.</t>
  </si>
  <si>
    <t xml:space="preserve">/marcas-e-sistemas/sistemas-construtivos/construcao-a-seco/</t>
  </si>
  <si>
    <t xml:space="preserve">M0460</t>
  </si>
  <si>
    <t xml:space="preserve">Construção em construção a seco</t>
  </si>
  <si>
    <t xml:space="preserve">Quer construir usando construção a seco e procura quem tenha domínio técnico do sistema, com prazo e custo previsíveis.</t>
  </si>
  <si>
    <t xml:space="preserve">/marcas-e-sistemas/sistemas-construtivos/construcao-a-seco/construcao/</t>
  </si>
  <si>
    <t xml:space="preserve">M0461</t>
  </si>
  <si>
    <t xml:space="preserve">Projeto em construção a seco</t>
  </si>
  <si>
    <t xml:space="preserve">Precisa de projeto estrutural e complementares compatíveis com construção a seco.</t>
  </si>
  <si>
    <t xml:space="preserve">/marcas-e-sistemas/sistemas-construtivos/construcao-a-seco/#projeto</t>
  </si>
  <si>
    <t xml:space="preserve">M0462</t>
  </si>
  <si>
    <t xml:space="preserve">Custo de construção a seco por metro quadrado</t>
  </si>
  <si>
    <t xml:space="preserve">Compara o custo de construção a seco com outros sistemas antes de decidir.</t>
  </si>
  <si>
    <t xml:space="preserve">/marcas-e-sistemas/sistemas-construtivos/construcao-a-seco/#custo-por-metro-quadrado</t>
  </si>
  <si>
    <t xml:space="preserve">M0463</t>
  </si>
  <si>
    <t xml:space="preserve">Laudo de construção a seco</t>
  </si>
  <si>
    <t xml:space="preserve">Tem imóvel em construção a seco com patologia ou dúvida de desempenho e precisa de avaliação técnica.</t>
  </si>
  <si>
    <t xml:space="preserve">/marcas-e-sistemas/sistemas-construtivos/construcao-a-seco/#laudo</t>
  </si>
  <si>
    <t xml:space="preserve">M0464</t>
  </si>
  <si>
    <t xml:space="preserve">Reforma de imóvel em construção a seco</t>
  </si>
  <si>
    <t xml:space="preserve">Tem imóvel construído em construção a seco e quer reformar ou ampliar sem comprometer o sistema.</t>
  </si>
  <si>
    <t xml:space="preserve">/marcas-e-sistemas/sistemas-construtivos/construcao-a-seco/#reforma-imovel</t>
  </si>
  <si>
    <t xml:space="preserve">M0465</t>
  </si>
  <si>
    <t xml:space="preserve">Construção a seco vale a pena</t>
  </si>
  <si>
    <t xml:space="preserve">Topo de funil: pessoa comparando construção a seco com outras soluções. Artigo neutro e técnico que leva à página do sistema.</t>
  </si>
  <si>
    <t xml:space="preserve">/blog/construcao-a-seco-vale-a-pena/</t>
  </si>
  <si>
    <t xml:space="preserve">M0466</t>
  </si>
  <si>
    <t xml:space="preserve">Casa modular</t>
  </si>
  <si>
    <t xml:space="preserve">Pesquisa sobre casa modular: quer entender vantagens, custo, prazo e se funciona no clima de Florianópolis antes de decidir. Oportunidade de posicionar a Vaff como quem domina vários sistemas.</t>
  </si>
  <si>
    <t xml:space="preserve">/marcas-e-sistemas/sistemas-construtivos/casa-modular/</t>
  </si>
  <si>
    <t xml:space="preserve">M0467</t>
  </si>
  <si>
    <t xml:space="preserve">Construção em casa modular</t>
  </si>
  <si>
    <t xml:space="preserve">Quer construir usando casa modular e procura quem tenha domínio técnico do sistema, com prazo e custo previsíveis.</t>
  </si>
  <si>
    <t xml:space="preserve">/marcas-e-sistemas/sistemas-construtivos/casa-modular/construcao/</t>
  </si>
  <si>
    <t xml:space="preserve">M0468</t>
  </si>
  <si>
    <t xml:space="preserve">Projeto em casa modular</t>
  </si>
  <si>
    <t xml:space="preserve">Precisa de projeto estrutural e complementares compatíveis com casa modular.</t>
  </si>
  <si>
    <t xml:space="preserve">/marcas-e-sistemas/sistemas-construtivos/casa-modular/#projeto</t>
  </si>
  <si>
    <t xml:space="preserve">M0469</t>
  </si>
  <si>
    <t xml:space="preserve">Custo de casa modular por metro quadrado</t>
  </si>
  <si>
    <t xml:space="preserve">Compara o custo de casa modular com outros sistemas antes de decidir.</t>
  </si>
  <si>
    <t xml:space="preserve">/marcas-e-sistemas/sistemas-construtivos/casa-modular/#custo-por-metro-quadrado</t>
  </si>
  <si>
    <t xml:space="preserve">M0470</t>
  </si>
  <si>
    <t xml:space="preserve">Laudo de casa modular</t>
  </si>
  <si>
    <t xml:space="preserve">Tem imóvel em casa modular com patologia ou dúvida de desempenho e precisa de avaliação técnica.</t>
  </si>
  <si>
    <t xml:space="preserve">/marcas-e-sistemas/sistemas-construtivos/casa-modular/#laudo</t>
  </si>
  <si>
    <t xml:space="preserve">M0471</t>
  </si>
  <si>
    <t xml:space="preserve">Reforma de imóvel em casa modular</t>
  </si>
  <si>
    <t xml:space="preserve">Tem imóvel construído em casa modular e quer reformar ou ampliar sem comprometer o sistema.</t>
  </si>
  <si>
    <t xml:space="preserve">/marcas-e-sistemas/sistemas-construtivos/casa-modular/#reforma-imovel</t>
  </si>
  <si>
    <t xml:space="preserve">M0472</t>
  </si>
  <si>
    <t xml:space="preserve">Casa modular vale a pena</t>
  </si>
  <si>
    <t xml:space="preserve">Topo de funil: pessoa comparando casa modular com outras soluções. Artigo neutro e técnico que leva à página do sistema.</t>
  </si>
  <si>
    <t xml:space="preserve">/blog/casa-modular-vale-a-pena/</t>
  </si>
  <si>
    <t xml:space="preserve">M0473</t>
  </si>
  <si>
    <t xml:space="preserve">Bloco de concreto celular</t>
  </si>
  <si>
    <t xml:space="preserve">Pesquisa sobre bloco de concreto celular: quer entender vantagens, custo, prazo e se funciona no clima de Florianópolis antes de decidir. Oportunidade de posicionar a Vaff como quem domina vários sistemas.</t>
  </si>
  <si>
    <t xml:space="preserve">/marcas-e-sistemas/sistemas-construtivos/bloco-concreto-celular/</t>
  </si>
  <si>
    <t xml:space="preserve">M0474</t>
  </si>
  <si>
    <t xml:space="preserve">Construção em bloco de concreto celular</t>
  </si>
  <si>
    <t xml:space="preserve">Quer construir usando bloco de concreto celular e procura quem tenha domínio técnico do sistema, com prazo e custo previsíveis.</t>
  </si>
  <si>
    <t xml:space="preserve">/marcas-e-sistemas/sistemas-construtivos/bloco-concreto-celular/construcao/</t>
  </si>
  <si>
    <t xml:space="preserve">M0475</t>
  </si>
  <si>
    <t xml:space="preserve">Projeto em bloco de concreto celular</t>
  </si>
  <si>
    <t xml:space="preserve">Precisa de projeto estrutural e complementares compatíveis com bloco de concreto celular.</t>
  </si>
  <si>
    <t xml:space="preserve">/marcas-e-sistemas/sistemas-construtivos/bloco-concreto-celular/#projeto</t>
  </si>
  <si>
    <t xml:space="preserve">M0476</t>
  </si>
  <si>
    <t xml:space="preserve">Custo de bloco de concreto celular por metro quadrado</t>
  </si>
  <si>
    <t xml:space="preserve">Compara o custo de bloco de concreto celular com outros sistemas antes de decidir.</t>
  </si>
  <si>
    <t xml:space="preserve">/marcas-e-sistemas/sistemas-construtivos/bloco-concreto-celular/#custo-por-metro-quadrado</t>
  </si>
  <si>
    <t xml:space="preserve">M0477</t>
  </si>
  <si>
    <t xml:space="preserve">Laudo de bloco de concreto celular</t>
  </si>
  <si>
    <t xml:space="preserve">Tem imóvel em bloco de concreto celular com patologia ou dúvida de desempenho e precisa de avaliação técnica.</t>
  </si>
  <si>
    <t xml:space="preserve">/marcas-e-sistemas/sistemas-construtivos/bloco-concreto-celular/#laudo</t>
  </si>
  <si>
    <t xml:space="preserve">M0478</t>
  </si>
  <si>
    <t xml:space="preserve">Reforma de imóvel em bloco de concreto celular</t>
  </si>
  <si>
    <t xml:space="preserve">Tem imóvel construído em bloco de concreto celular e quer reformar ou ampliar sem comprometer o sistema.</t>
  </si>
  <si>
    <t xml:space="preserve">/marcas-e-sistemas/sistemas-construtivos/bloco-concreto-celular/#reforma-imovel</t>
  </si>
  <si>
    <t xml:space="preserve">M0479</t>
  </si>
  <si>
    <t xml:space="preserve">Bloco de concreto celular vale a pena</t>
  </si>
  <si>
    <t xml:space="preserve">Topo de funil: pessoa comparando bloco de concreto celular com outras soluções. Artigo neutro e técnico que leva à página do sistema.</t>
  </si>
  <si>
    <t xml:space="preserve">/blog/bloco-concreto-celular-vale-a-pena/</t>
  </si>
  <si>
    <t xml:space="preserve">M0480</t>
  </si>
  <si>
    <t xml:space="preserve">Painel de EPS</t>
  </si>
  <si>
    <t xml:space="preserve">Pesquisa sobre painel de eps: quer entender vantagens, custo, prazo e se funciona no clima de Florianópolis antes de decidir. Oportunidade de posicionar a Vaff como quem domina vários sistemas.</t>
  </si>
  <si>
    <t xml:space="preserve">/marcas-e-sistemas/sistemas-construtivos/painel-eps/</t>
  </si>
  <si>
    <t xml:space="preserve">M0481</t>
  </si>
  <si>
    <t xml:space="preserve">Construção em painel de eps</t>
  </si>
  <si>
    <t xml:space="preserve">Quer construir usando painel de eps e procura quem tenha domínio técnico do sistema, com prazo e custo previsíveis.</t>
  </si>
  <si>
    <t xml:space="preserve">/marcas-e-sistemas/sistemas-construtivos/painel-eps/construcao/</t>
  </si>
  <si>
    <t xml:space="preserve">M0482</t>
  </si>
  <si>
    <t xml:space="preserve">Projeto em painel de eps</t>
  </si>
  <si>
    <t xml:space="preserve">Precisa de projeto estrutural e complementares compatíveis com painel de eps.</t>
  </si>
  <si>
    <t xml:space="preserve">/marcas-e-sistemas/sistemas-construtivos/painel-eps/#projeto</t>
  </si>
  <si>
    <t xml:space="preserve">M0483</t>
  </si>
  <si>
    <t xml:space="preserve">Custo de painel de eps por metro quadrado</t>
  </si>
  <si>
    <t xml:space="preserve">Compara o custo de painel de eps com outros sistemas antes de decidir.</t>
  </si>
  <si>
    <t xml:space="preserve">/marcas-e-sistemas/sistemas-construtivos/painel-eps/#custo-por-metro-quadrado</t>
  </si>
  <si>
    <t xml:space="preserve">M0484</t>
  </si>
  <si>
    <t xml:space="preserve">Laudo de painel de eps</t>
  </si>
  <si>
    <t xml:space="preserve">Tem imóvel em painel de eps com patologia ou dúvida de desempenho e precisa de avaliação técnica.</t>
  </si>
  <si>
    <t xml:space="preserve">/marcas-e-sistemas/sistemas-construtivos/painel-eps/#laudo</t>
  </si>
  <si>
    <t xml:space="preserve">M0485</t>
  </si>
  <si>
    <t xml:space="preserve">Reforma de imóvel em painel de eps</t>
  </si>
  <si>
    <t xml:space="preserve">Tem imóvel construído em painel de eps e quer reformar ou ampliar sem comprometer o sistema.</t>
  </si>
  <si>
    <t xml:space="preserve">/marcas-e-sistemas/sistemas-construtivos/painel-eps/#reforma-imovel</t>
  </si>
  <si>
    <t xml:space="preserve">M0486</t>
  </si>
  <si>
    <t xml:space="preserve">Painel de EPS vale a pena</t>
  </si>
  <si>
    <t xml:space="preserve">Topo de funil: pessoa comparando painel de eps com outras soluções. Artigo neutro e técnico que leva à página do sistema.</t>
  </si>
  <si>
    <t xml:space="preserve">/blog/painel-eps-vale-a-pena/</t>
  </si>
  <si>
    <t xml:space="preserve">M0487</t>
  </si>
  <si>
    <t xml:space="preserve">Tijolo ecológico</t>
  </si>
  <si>
    <t xml:space="preserve">Pesquisa sobre tijolo ecológico: quer entender vantagens, custo, prazo e se funciona no clima de Florianópolis antes de decidir. Oportunidade de posicionar a Vaff como quem domina vários sistemas.</t>
  </si>
  <si>
    <t xml:space="preserve">/marcas-e-sistemas/sistemas-construtivos/tijolo-ecologico/</t>
  </si>
  <si>
    <t xml:space="preserve">M0488</t>
  </si>
  <si>
    <t xml:space="preserve">Construção em tijolo ecológico</t>
  </si>
  <si>
    <t xml:space="preserve">Quer construir usando tijolo ecológico e procura quem tenha domínio técnico do sistema, com prazo e custo previsíveis.</t>
  </si>
  <si>
    <t xml:space="preserve">/marcas-e-sistemas/sistemas-construtivos/tijolo-ecologico/construcao/</t>
  </si>
  <si>
    <t xml:space="preserve">M0489</t>
  </si>
  <si>
    <t xml:space="preserve">Projeto em tijolo ecológico</t>
  </si>
  <si>
    <t xml:space="preserve">Precisa de projeto estrutural e complementares compatíveis com tijolo ecológico.</t>
  </si>
  <si>
    <t xml:space="preserve">/marcas-e-sistemas/sistemas-construtivos/tijolo-ecologico/#projeto</t>
  </si>
  <si>
    <t xml:space="preserve">M0490</t>
  </si>
  <si>
    <t xml:space="preserve">Custo de tijolo ecológico por metro quadrado</t>
  </si>
  <si>
    <t xml:space="preserve">Compara o custo de tijolo ecológico com outros sistemas antes de decidir.</t>
  </si>
  <si>
    <t xml:space="preserve">/marcas-e-sistemas/sistemas-construtivos/tijolo-ecologico/#custo-por-metro-quadrado</t>
  </si>
  <si>
    <t xml:space="preserve">M0491</t>
  </si>
  <si>
    <t xml:space="preserve">Laudo de tijolo ecológico</t>
  </si>
  <si>
    <t xml:space="preserve">Tem imóvel em tijolo ecológico com patologia ou dúvida de desempenho e precisa de avaliação técnica.</t>
  </si>
  <si>
    <t xml:space="preserve">/marcas-e-sistemas/sistemas-construtivos/tijolo-ecologico/#laudo</t>
  </si>
  <si>
    <t xml:space="preserve">M0492</t>
  </si>
  <si>
    <t xml:space="preserve">Reforma de imóvel em tijolo ecológico</t>
  </si>
  <si>
    <t xml:space="preserve">Tem imóvel construído em tijolo ecológico e quer reformar ou ampliar sem comprometer o sistema.</t>
  </si>
  <si>
    <t xml:space="preserve">/marcas-e-sistemas/sistemas-construtivos/tijolo-ecologico/#reforma-imovel</t>
  </si>
  <si>
    <t xml:space="preserve">M0493</t>
  </si>
  <si>
    <t xml:space="preserve">Tijolo ecológico vale a pena</t>
  </si>
  <si>
    <t xml:space="preserve">Topo de funil: pessoa comparando tijolo ecológico com outras soluções. Artigo neutro e técnico que leva à página do sistema.</t>
  </si>
  <si>
    <t xml:space="preserve">/blog/tijolo-ecologico-vale-a-pena/</t>
  </si>
  <si>
    <t xml:space="preserve">M0494</t>
  </si>
  <si>
    <t xml:space="preserve">Fachada ventilada</t>
  </si>
  <si>
    <t xml:space="preserve">Pesquisa sobre fachada ventilada: quer entender vantagens, custo, prazo e se funciona no clima de Florianópolis antes de decidir. Oportunidade de posicionar a Vaff como quem domina vários sistemas.</t>
  </si>
  <si>
    <t xml:space="preserve">/marcas-e-sistemas/sistemas-construtivos/fachada-ventilada/</t>
  </si>
  <si>
    <t xml:space="preserve">M0495</t>
  </si>
  <si>
    <t xml:space="preserve">Execução de fachada ventilada</t>
  </si>
  <si>
    <t xml:space="preserve">Quer incluir fachada ventilada na obra e procura quem execute com detalhamento técnico correto.</t>
  </si>
  <si>
    <t xml:space="preserve">/marcas-e-sistemas/sistemas-construtivos/fachada-ventilada/execucao/</t>
  </si>
  <si>
    <t xml:space="preserve">M0496</t>
  </si>
  <si>
    <t xml:space="preserve">Projeto de fachada ventilada</t>
  </si>
  <si>
    <t xml:space="preserve">Precisa de projeto e detalhamento de fachada ventilada compatível com o restante da edificação.</t>
  </si>
  <si>
    <t xml:space="preserve">/marcas-e-sistemas/sistemas-construtivos/fachada-ventilada/#projeto</t>
  </si>
  <si>
    <t xml:space="preserve">M0497</t>
  </si>
  <si>
    <t xml:space="preserve">Custo de fachada ventilada por metro quadrado</t>
  </si>
  <si>
    <t xml:space="preserve">Compara o custo de fachada ventilada com alternativas antes de decidir.</t>
  </si>
  <si>
    <t xml:space="preserve">/marcas-e-sistemas/sistemas-construtivos/fachada-ventilada/#custo-por-metro-quadrado</t>
  </si>
  <si>
    <t xml:space="preserve">M0498</t>
  </si>
  <si>
    <t xml:space="preserve">Laudo de fachada ventilada</t>
  </si>
  <si>
    <t xml:space="preserve">Tem fachada ventilada com falha ou dúvida de desempenho e precisa de avaliação técnica.</t>
  </si>
  <si>
    <t xml:space="preserve">/marcas-e-sistemas/sistemas-construtivos/fachada-ventilada/#laudo</t>
  </si>
  <si>
    <t xml:space="preserve">M0499</t>
  </si>
  <si>
    <t xml:space="preserve">Fachada ventilada vale a pena</t>
  </si>
  <si>
    <t xml:space="preserve">Topo de funil: pessoa avaliando fachada ventilada. Artigo neutro e técnico que leva à página do sistema.</t>
  </si>
  <si>
    <t xml:space="preserve">/blog/fachada-ventilada-vale-a-pena/</t>
  </si>
  <si>
    <t xml:space="preserve">M0500</t>
  </si>
  <si>
    <t xml:space="preserve">Telhado verde</t>
  </si>
  <si>
    <t xml:space="preserve">Pesquisa sobre telhado verde: quer entender vantagens, custo, prazo e se funciona no clima de Florianópolis antes de decidir. Oportunidade de posicionar a Vaff como quem domina vários sistemas.</t>
  </si>
  <si>
    <t xml:space="preserve">/marcas-e-sistemas/sistemas-construtivos/telhado-verde/</t>
  </si>
  <si>
    <t xml:space="preserve">M0501</t>
  </si>
  <si>
    <t xml:space="preserve">Execução de telhado verde</t>
  </si>
  <si>
    <t xml:space="preserve">Quer incluir telhado verde na obra e procura quem execute com detalhamento técnico correto.</t>
  </si>
  <si>
    <t xml:space="preserve">/marcas-e-sistemas/sistemas-construtivos/telhado-verde/execucao/</t>
  </si>
  <si>
    <t xml:space="preserve">M0502</t>
  </si>
  <si>
    <t xml:space="preserve">Projeto de telhado verde</t>
  </si>
  <si>
    <t xml:space="preserve">Precisa de projeto e detalhamento de telhado verde compatível com o restante da edificação.</t>
  </si>
  <si>
    <t xml:space="preserve">/marcas-e-sistemas/sistemas-construtivos/telhado-verde/#projeto</t>
  </si>
  <si>
    <t xml:space="preserve">M0503</t>
  </si>
  <si>
    <t xml:space="preserve">Custo de telhado verde por metro quadrado</t>
  </si>
  <si>
    <t xml:space="preserve">Compara o custo de telhado verde com alternativas antes de decidir.</t>
  </si>
  <si>
    <t xml:space="preserve">/marcas-e-sistemas/sistemas-construtivos/telhado-verde/#custo-por-metro-quadrado</t>
  </si>
  <si>
    <t xml:space="preserve">M0504</t>
  </si>
  <si>
    <t xml:space="preserve">Laudo de telhado verde</t>
  </si>
  <si>
    <t xml:space="preserve">Tem telhado verde com falha ou dúvida de desempenho e precisa de avaliação técnica.</t>
  </si>
  <si>
    <t xml:space="preserve">/marcas-e-sistemas/sistemas-construtivos/telhado-verde/#laudo</t>
  </si>
  <si>
    <t xml:space="preserve">M0505</t>
  </si>
  <si>
    <t xml:space="preserve">Telhado verde vale a pena</t>
  </si>
  <si>
    <t xml:space="preserve">Topo de funil: pessoa avaliando telhado verde. Artigo neutro e técnico que leva à página do sistema.</t>
  </si>
  <si>
    <t xml:space="preserve">/blog/telhado-verde-vale-a-pena/</t>
  </si>
  <si>
    <t xml:space="preserve">M0506</t>
  </si>
  <si>
    <t xml:space="preserve">Telhado shingle</t>
  </si>
  <si>
    <t xml:space="preserve">Pesquisa sobre telhado shingle: quer entender vantagens, custo, prazo e se funciona no clima de Florianópolis antes de decidir. Oportunidade de posicionar a Vaff como quem domina vários sistemas.</t>
  </si>
  <si>
    <t xml:space="preserve">/marcas-e-sistemas/sistemas-construtivos/telhado-shingle/</t>
  </si>
  <si>
    <t xml:space="preserve">M0507</t>
  </si>
  <si>
    <t xml:space="preserve">Execução de telhado shingle</t>
  </si>
  <si>
    <t xml:space="preserve">Quer incluir telhado shingle na obra e procura quem execute com detalhamento técnico correto.</t>
  </si>
  <si>
    <t xml:space="preserve">/marcas-e-sistemas/sistemas-construtivos/telhado-shingle/execucao/</t>
  </si>
  <si>
    <t xml:space="preserve">M0508</t>
  </si>
  <si>
    <t xml:space="preserve">Projeto de telhado shingle</t>
  </si>
  <si>
    <t xml:space="preserve">Precisa de projeto e detalhamento de telhado shingle compatível com o restante da edificação.</t>
  </si>
  <si>
    <t xml:space="preserve">/marcas-e-sistemas/sistemas-construtivos/telhado-shingle/#projeto</t>
  </si>
  <si>
    <t xml:space="preserve">M0509</t>
  </si>
  <si>
    <t xml:space="preserve">Custo de telhado shingle por metro quadrado</t>
  </si>
  <si>
    <t xml:space="preserve">Compara o custo de telhado shingle com alternativas antes de decidir.</t>
  </si>
  <si>
    <t xml:space="preserve">/marcas-e-sistemas/sistemas-construtivos/telhado-shingle/#custo-por-metro-quadrado</t>
  </si>
  <si>
    <t xml:space="preserve">M0510</t>
  </si>
  <si>
    <t xml:space="preserve">Laudo de telhado shingle</t>
  </si>
  <si>
    <t xml:space="preserve">Tem telhado shingle com falha ou dúvida de desempenho e precisa de avaliação técnica.</t>
  </si>
  <si>
    <t xml:space="preserve">/marcas-e-sistemas/sistemas-construtivos/telhado-shingle/#laudo</t>
  </si>
  <si>
    <t xml:space="preserve">M0511</t>
  </si>
  <si>
    <t xml:space="preserve">Telhado shingle vale a pena</t>
  </si>
  <si>
    <t xml:space="preserve">Topo de funil: pessoa avaliando telhado shingle. Artigo neutro e técnico que leva à página do sistema.</t>
  </si>
  <si>
    <t xml:space="preserve">/blog/telhado-shingle-vale-a-pena/</t>
  </si>
  <si>
    <t xml:space="preserve">M0512</t>
  </si>
  <si>
    <t xml:space="preserve">Telha termoacústica</t>
  </si>
  <si>
    <t xml:space="preserve">Pesquisa sobre telha termoacústica: quer entender vantagens, custo, prazo e se funciona no clima de Florianópolis antes de decidir. Oportunidade de posicionar a Vaff como quem domina vários sistemas.</t>
  </si>
  <si>
    <t xml:space="preserve">/marcas-e-sistemas/sistemas-construtivos/telha-termoacustica/</t>
  </si>
  <si>
    <t xml:space="preserve">M0513</t>
  </si>
  <si>
    <t xml:space="preserve">Execução de telha termoacústica</t>
  </si>
  <si>
    <t xml:space="preserve">Quer incluir telha termoacústica na obra e procura quem execute com detalhamento técnico correto.</t>
  </si>
  <si>
    <t xml:space="preserve">/marcas-e-sistemas/sistemas-construtivos/telha-termoacustica/execucao/</t>
  </si>
  <si>
    <t xml:space="preserve">M0514</t>
  </si>
  <si>
    <t xml:space="preserve">Projeto de telha termoacústica</t>
  </si>
  <si>
    <t xml:space="preserve">Precisa de projeto e detalhamento de telha termoacústica compatível com o restante da edificação.</t>
  </si>
  <si>
    <t xml:space="preserve">/marcas-e-sistemas/sistemas-construtivos/telha-termoacustica/#projeto</t>
  </si>
  <si>
    <t xml:space="preserve">M0515</t>
  </si>
  <si>
    <t xml:space="preserve">Custo de telha termoacústica por metro quadrado</t>
  </si>
  <si>
    <t xml:space="preserve">Compara o custo de telha termoacústica com alternativas antes de decidir.</t>
  </si>
  <si>
    <t xml:space="preserve">/marcas-e-sistemas/sistemas-construtivos/telha-termoacustica/#custo-por-metro-quadrado</t>
  </si>
  <si>
    <t xml:space="preserve">M0516</t>
  </si>
  <si>
    <t xml:space="preserve">Laudo de telha termoacústica</t>
  </si>
  <si>
    <t xml:space="preserve">Tem telha termoacústica com falha ou dúvida de desempenho e precisa de avaliação técnica.</t>
  </si>
  <si>
    <t xml:space="preserve">/marcas-e-sistemas/sistemas-construtivos/telha-termoacustica/#laudo</t>
  </si>
  <si>
    <t xml:space="preserve">M0517</t>
  </si>
  <si>
    <t xml:space="preserve">Telha termoacústica vale a pena</t>
  </si>
  <si>
    <t xml:space="preserve">Topo de funil: pessoa avaliando telha termoacústica. Artigo neutro e técnico que leva à página do sistema.</t>
  </si>
  <si>
    <t xml:space="preserve">/blog/telha-termoacustica-vale-a-pena/</t>
  </si>
  <si>
    <t xml:space="preserve">M0518</t>
  </si>
  <si>
    <t xml:space="preserve">Porto Seguro</t>
  </si>
  <si>
    <t xml:space="preserve">Seguradoras</t>
  </si>
  <si>
    <t xml:space="preserve">Laudo de sinistro Porto Seguro</t>
  </si>
  <si>
    <t xml:space="preserve">Segurado com dano no imóvel que precisa de laudo independente para comprovar e quantificar o prejuízo junto à Porto Seguro, ou para contestar uma indenização negada ou reduzida.</t>
  </si>
  <si>
    <t xml:space="preserve">/laudos-tecnicos/laudo-sinistro/porto-seguro/</t>
  </si>
  <si>
    <t xml:space="preserve">M0519</t>
  </si>
  <si>
    <t xml:space="preserve">Azul Seguros</t>
  </si>
  <si>
    <t xml:space="preserve">Laudo de sinistro Azul Seguros</t>
  </si>
  <si>
    <t xml:space="preserve">Segurado com dano no imóvel que precisa de laudo independente para comprovar e quantificar o prejuízo junto à Azul Seguros, ou para contestar uma indenização negada ou reduzida.</t>
  </si>
  <si>
    <t xml:space="preserve">/laudos-tecnicos/laudo-sinistro/azul-seguros/</t>
  </si>
  <si>
    <t xml:space="preserve">M0520</t>
  </si>
  <si>
    <t xml:space="preserve">Itaú Seguros</t>
  </si>
  <si>
    <t xml:space="preserve">Laudo de sinistro Itaú Seguros</t>
  </si>
  <si>
    <t xml:space="preserve">Segurado com dano no imóvel que precisa de laudo independente para comprovar e quantificar o prejuízo junto à Itaú Seguros, ou para contestar uma indenização negada ou reduzida.</t>
  </si>
  <si>
    <t xml:space="preserve">/laudos-tecnicos/laudo-sinistro/itau-seguros/</t>
  </si>
  <si>
    <t xml:space="preserve">M0521</t>
  </si>
  <si>
    <t xml:space="preserve">Bradesco Seguros</t>
  </si>
  <si>
    <t xml:space="preserve">Laudo de sinistro Bradesco Seguros</t>
  </si>
  <si>
    <t xml:space="preserve">Segurado com dano no imóvel que precisa de laudo independente para comprovar e quantificar o prejuízo junto à Bradesco Seguros, ou para contestar uma indenização negada ou reduzida.</t>
  </si>
  <si>
    <t xml:space="preserve">/laudos-tecnicos/laudo-sinistro/bradesco-seguros/</t>
  </si>
  <si>
    <t xml:space="preserve">M0522</t>
  </si>
  <si>
    <t xml:space="preserve">Caixa Seguradora</t>
  </si>
  <si>
    <t xml:space="preserve">Laudo de sinistro Caixa Seguradora</t>
  </si>
  <si>
    <t xml:space="preserve">Segurado com dano no imóvel que precisa de laudo independente para comprovar e quantificar o prejuízo junto à Caixa Seguradora, ou para contestar uma indenização negada ou reduzida.</t>
  </si>
  <si>
    <t xml:space="preserve">/laudos-tecnicos/laudo-sinistro/caixa-seguradora/</t>
  </si>
  <si>
    <t xml:space="preserve">M0523</t>
  </si>
  <si>
    <t xml:space="preserve">BB Seguros</t>
  </si>
  <si>
    <t xml:space="preserve">Laudo de sinistro BB Seguros</t>
  </si>
  <si>
    <t xml:space="preserve">Segurado com dano no imóvel que precisa de laudo independente para comprovar e quantificar o prejuízo junto à BB Seguros, ou para contestar uma indenização negada ou reduzida.</t>
  </si>
  <si>
    <t xml:space="preserve">/laudos-tecnicos/laudo-sinistro/bb-seguros/</t>
  </si>
  <si>
    <t xml:space="preserve">M0524</t>
  </si>
  <si>
    <t xml:space="preserve">Brasilseg</t>
  </si>
  <si>
    <t xml:space="preserve">Laudo de sinistro Brasilseg</t>
  </si>
  <si>
    <t xml:space="preserve">Segurado com dano no imóvel que precisa de laudo independente para comprovar e quantificar o prejuízo junto à Brasilseg, ou para contestar uma indenização negada ou reduzida.</t>
  </si>
  <si>
    <t xml:space="preserve">/laudos-tecnicos/laudo-sinistro/brasilseg/</t>
  </si>
  <si>
    <t xml:space="preserve">M0525</t>
  </si>
  <si>
    <t xml:space="preserve">SulAmérica</t>
  </si>
  <si>
    <t xml:space="preserve">Laudo de sinistro SulAmérica</t>
  </si>
  <si>
    <t xml:space="preserve">Segurado com dano no imóvel que precisa de laudo independente para comprovar e quantificar o prejuízo junto à SulAmérica, ou para contestar uma indenização negada ou reduzida.</t>
  </si>
  <si>
    <t xml:space="preserve">/laudos-tecnicos/laudo-sinistro/sulamerica/</t>
  </si>
  <si>
    <t xml:space="preserve">M0526</t>
  </si>
  <si>
    <t xml:space="preserve">Allianz</t>
  </si>
  <si>
    <t xml:space="preserve">Laudo de sinistro Allianz</t>
  </si>
  <si>
    <t xml:space="preserve">Segurado com dano no imóvel que precisa de laudo independente para comprovar e quantificar o prejuízo junto à Allianz, ou para contestar uma indenização negada ou reduzida.</t>
  </si>
  <si>
    <t xml:space="preserve">/laudos-tecnicos/laudo-sinistro/allianz/</t>
  </si>
  <si>
    <t xml:space="preserve">M0527</t>
  </si>
  <si>
    <t xml:space="preserve">Tokio Marine</t>
  </si>
  <si>
    <t xml:space="preserve">Laudo de sinistro Tokio Marine</t>
  </si>
  <si>
    <t xml:space="preserve">Segurado com dano no imóvel que precisa de laudo independente para comprovar e quantificar o prejuízo junto à Tokio Marine, ou para contestar uma indenização negada ou reduzida.</t>
  </si>
  <si>
    <t xml:space="preserve">/laudos-tecnicos/laudo-sinistro/tokio-marine/</t>
  </si>
  <si>
    <t xml:space="preserve">M0528</t>
  </si>
  <si>
    <t xml:space="preserve">HDI Seguros</t>
  </si>
  <si>
    <t xml:space="preserve">Laudo de sinistro HDI Seguros</t>
  </si>
  <si>
    <t xml:space="preserve">Segurado com dano no imóvel que precisa de laudo independente para comprovar e quantificar o prejuízo junto à HDI Seguros, ou para contestar uma indenização negada ou reduzida.</t>
  </si>
  <si>
    <t xml:space="preserve">/laudos-tecnicos/laudo-sinistro/hdi-seguros/</t>
  </si>
  <si>
    <t xml:space="preserve">M0529</t>
  </si>
  <si>
    <t xml:space="preserve">Yelum Seguros</t>
  </si>
  <si>
    <t xml:space="preserve">Laudo de sinistro Yelum Seguros</t>
  </si>
  <si>
    <t xml:space="preserve">Segurado com dano no imóvel que precisa de laudo independente para comprovar e quantificar o prejuízo junto à Yelum Seguros, ou para contestar uma indenização negada ou reduzida.</t>
  </si>
  <si>
    <t xml:space="preserve">/laudos-tecnicos/laudo-sinistro/yelum-seguros/</t>
  </si>
  <si>
    <t xml:space="preserve">M0530</t>
  </si>
  <si>
    <t xml:space="preserve">Liberty Seguros</t>
  </si>
  <si>
    <t xml:space="preserve">Laudo de sinistro Liberty Seguros</t>
  </si>
  <si>
    <t xml:space="preserve">Segurado com dano no imóvel que precisa de laudo independente para comprovar e quantificar o prejuízo junto à Liberty Seguros, ou para contestar uma indenização negada ou reduzida.</t>
  </si>
  <si>
    <t xml:space="preserve">/laudos-tecnicos/laudo-sinistro/liberty-seguros/</t>
  </si>
  <si>
    <t xml:space="preserve">M0531</t>
  </si>
  <si>
    <t xml:space="preserve">Mapfre</t>
  </si>
  <si>
    <t xml:space="preserve">Laudo de sinistro Mapfre</t>
  </si>
  <si>
    <t xml:space="preserve">Segurado com dano no imóvel que precisa de laudo independente para comprovar e quantificar o prejuízo junto à Mapfre, ou para contestar uma indenização negada ou reduzida.</t>
  </si>
  <si>
    <t xml:space="preserve">/laudos-tecnicos/laudo-sinistro/mapfre/</t>
  </si>
  <si>
    <t xml:space="preserve">M0532</t>
  </si>
  <si>
    <t xml:space="preserve">Zurich</t>
  </si>
  <si>
    <t xml:space="preserve">Laudo de sinistro Zurich</t>
  </si>
  <si>
    <t xml:space="preserve">Segurado com dano no imóvel que precisa de laudo independente para comprovar e quantificar o prejuízo junto à Zurich, ou para contestar uma indenização negada ou reduzida.</t>
  </si>
  <si>
    <t xml:space="preserve">/laudos-tecnicos/laudo-sinistro/zurich/</t>
  </si>
  <si>
    <t xml:space="preserve">M0533</t>
  </si>
  <si>
    <t xml:space="preserve">Sompo Seguros</t>
  </si>
  <si>
    <t xml:space="preserve">Laudo de sinistro Sompo Seguros</t>
  </si>
  <si>
    <t xml:space="preserve">Segurado com dano no imóvel que precisa de laudo independente para comprovar e quantificar o prejuízo junto à Sompo Seguros, ou para contestar uma indenização negada ou reduzida.</t>
  </si>
  <si>
    <t xml:space="preserve">/laudos-tecnicos/laudo-sinistro/sompo-seguros/</t>
  </si>
  <si>
    <t xml:space="preserve">M0534</t>
  </si>
  <si>
    <t xml:space="preserve">Chubb</t>
  </si>
  <si>
    <t xml:space="preserve">Laudo de sinistro Chubb</t>
  </si>
  <si>
    <t xml:space="preserve">Segurado com dano no imóvel que precisa de laudo independente para comprovar e quantificar o prejuízo junto à Chubb, ou para contestar uma indenização negada ou reduzida.</t>
  </si>
  <si>
    <t xml:space="preserve">/laudos-tecnicos/laudo-sinistro/chubb/</t>
  </si>
  <si>
    <t xml:space="preserve">M0535</t>
  </si>
  <si>
    <t xml:space="preserve">AXA</t>
  </si>
  <si>
    <t xml:space="preserve">Laudo de sinistro AXA</t>
  </si>
  <si>
    <t xml:space="preserve">Segurado com dano no imóvel que precisa de laudo independente para comprovar e quantificar o prejuízo junto à AXA, ou para contestar uma indenização negada ou reduzida.</t>
  </si>
  <si>
    <t xml:space="preserve">/laudos-tecnicos/laudo-sinistro/axa/</t>
  </si>
  <si>
    <t xml:space="preserve">M0536</t>
  </si>
  <si>
    <t xml:space="preserve">Mitsui Sumitomo Seguros</t>
  </si>
  <si>
    <t xml:space="preserve">Laudo de sinistro Mitsui Sumitomo Seguros</t>
  </si>
  <si>
    <t xml:space="preserve">Segurado com dano no imóvel que precisa de laudo independente para comprovar e quantificar o prejuízo junto à Mitsui Sumitomo Seguros, ou para contestar uma indenização negada ou reduzida.</t>
  </si>
  <si>
    <t xml:space="preserve">/laudos-tecnicos/laudo-sinistro/mitsui-sumitomo-seguros/</t>
  </si>
  <si>
    <t xml:space="preserve">M0537</t>
  </si>
  <si>
    <t xml:space="preserve">Youse</t>
  </si>
  <si>
    <t xml:space="preserve">Laudo de sinistro Youse</t>
  </si>
  <si>
    <t xml:space="preserve">Segurado com dano no imóvel que precisa de laudo independente para comprovar e quantificar o prejuízo junto à Youse, ou para contestar uma indenização negada ou reduzida.</t>
  </si>
  <si>
    <t xml:space="preserve">/laudos-tecnicos/laudo-sinistro/youse/</t>
  </si>
  <si>
    <t xml:space="preserve">M0538</t>
  </si>
  <si>
    <t xml:space="preserve">Ezze Seguros</t>
  </si>
  <si>
    <t xml:space="preserve">Laudo de sinistro Ezze Seguros</t>
  </si>
  <si>
    <t xml:space="preserve">Segurado com dano no imóvel que precisa de laudo independente para comprovar e quantificar o prejuízo junto à Ezze Seguros, ou para contestar uma indenização negada ou reduzida.</t>
  </si>
  <si>
    <t xml:space="preserve">/laudos-tecnicos/laudo-sinistro/ezze-seguros/</t>
  </si>
  <si>
    <t xml:space="preserve">M0539</t>
  </si>
  <si>
    <t xml:space="preserve">Fairfax Brasil</t>
  </si>
  <si>
    <t xml:space="preserve">Laudo de sinistro Fairfax Brasil</t>
  </si>
  <si>
    <t xml:space="preserve">Segurado com dano no imóvel que precisa de laudo independente para comprovar e quantificar o prejuízo junto à Fairfax Brasil, ou para contestar uma indenização negada ou reduzida.</t>
  </si>
  <si>
    <t xml:space="preserve">/laudos-tecnicos/laudo-sinistro/fairfax-brasil/</t>
  </si>
  <si>
    <t xml:space="preserve">M0540</t>
  </si>
  <si>
    <t xml:space="preserve">Sicredi Seguros</t>
  </si>
  <si>
    <t xml:space="preserve">Laudo de sinistro Sicredi Seguros</t>
  </si>
  <si>
    <t xml:space="preserve">Segurado com dano no imóvel que precisa de laudo independente para comprovar e quantificar o prejuízo junto à Sicredi Seguros, ou para contestar uma indenização negada ou reduzida.</t>
  </si>
  <si>
    <t xml:space="preserve">/laudos-tecnicos/laudo-sinistro/sicredi-seguros/</t>
  </si>
  <si>
    <t xml:space="preserve">M0541</t>
  </si>
  <si>
    <t xml:space="preserve">Pottencial Seguradora</t>
  </si>
  <si>
    <t xml:space="preserve">Laudo técnico para seguro garantia Pottencial Seguradora</t>
  </si>
  <si>
    <t xml:space="preserve">Contratante ou construtora acionando seguro garantia de obra com a Pottencial Seguradora; precisa demonstrar tecnicamente o inadimplemento ou o dano.</t>
  </si>
  <si>
    <t xml:space="preserve">Incorporador Enxuto, Síndico Profissional</t>
  </si>
  <si>
    <t xml:space="preserve">/laudos-tecnicos/laudo-sinistro/#pottencial-seguradora</t>
  </si>
  <si>
    <t xml:space="preserve">M0542</t>
  </si>
  <si>
    <t xml:space="preserve">Junto Seguros</t>
  </si>
  <si>
    <t xml:space="preserve">Laudo técnico para seguro garantia Junto Seguros</t>
  </si>
  <si>
    <t xml:space="preserve">Contratante ou construtora acionando seguro garantia de obra com a Junto Seguros; precisa demonstrar tecnicamente o inadimplemento ou o dano.</t>
  </si>
  <si>
    <t xml:space="preserve">/laudos-tecnicos/laudo-sinistro/#junto-seguros</t>
  </si>
  <si>
    <t xml:space="preserve">M0543</t>
  </si>
  <si>
    <t xml:space="preserve">Crawford</t>
  </si>
  <si>
    <t xml:space="preserve">Reguladoras de sinistro</t>
  </si>
  <si>
    <t xml:space="preserve">Termos de reguladora</t>
  </si>
  <si>
    <t xml:space="preserve">Contestar laudo de regulação Crawford</t>
  </si>
  <si>
    <t xml:space="preserve">Reguladora</t>
  </si>
  <si>
    <t xml:space="preserve">Recebeu um parecer da reguladora Crawford que considera injusto e quer uma segunda opinião técnica para contestar.</t>
  </si>
  <si>
    <t xml:space="preserve">Vítima de Sinistro</t>
  </si>
  <si>
    <t xml:space="preserve">/blog/contestar-laudo-regulacao-crawford/</t>
  </si>
  <si>
    <t xml:space="preserve">M0544</t>
  </si>
  <si>
    <t xml:space="preserve">McLarens</t>
  </si>
  <si>
    <t xml:space="preserve">Contestar laudo de regulação McLarens</t>
  </si>
  <si>
    <t xml:space="preserve">Recebeu um parecer da reguladora McLarens que considera injusto e quer uma segunda opinião técnica para contestar.</t>
  </si>
  <si>
    <t xml:space="preserve">/blog/contestar-laudo-regulacao-mclarens/</t>
  </si>
  <si>
    <t xml:space="preserve">M0545</t>
  </si>
  <si>
    <t xml:space="preserve">Charles Taylor</t>
  </si>
  <si>
    <t xml:space="preserve">Contestar laudo de regulação Charles Taylor</t>
  </si>
  <si>
    <t xml:space="preserve">Recebeu um parecer da reguladora Charles Taylor que considera injusto e quer uma segunda opinião técnica para contestar.</t>
  </si>
  <si>
    <t xml:space="preserve">/blog/contestar-laudo-regulacao-charles-taylor/</t>
  </si>
  <si>
    <t xml:space="preserve">M0546</t>
  </si>
  <si>
    <t xml:space="preserve">Mondial Assistance</t>
  </si>
  <si>
    <t xml:space="preserve">Assistências residenciais</t>
  </si>
  <si>
    <t xml:space="preserve">Termos de assistência</t>
  </si>
  <si>
    <t xml:space="preserve">Laudo após atendimento Mondial Assistance</t>
  </si>
  <si>
    <t xml:space="preserve">Assistência</t>
  </si>
  <si>
    <t xml:space="preserve">Usou a assistência residencial Mondial Assistance para um reparo emergencial e percebe que o problema é maior e precisa de avaliação técnica.</t>
  </si>
  <si>
    <t xml:space="preserve">/blog/laudo-apos-atendimento-mondial-assistance/</t>
  </si>
  <si>
    <t xml:space="preserve">M0547</t>
  </si>
  <si>
    <t xml:space="preserve">Europ Assistance</t>
  </si>
  <si>
    <t xml:space="preserve">Laudo após atendimento Europ Assistance</t>
  </si>
  <si>
    <t xml:space="preserve">Usou a assistência residencial Europ Assistance para um reparo emergencial e percebe que o problema é maior e precisa de avaliação técnica.</t>
  </si>
  <si>
    <t xml:space="preserve">/blog/laudo-apos-atendimento-europ-assistance/</t>
  </si>
  <si>
    <t xml:space="preserve">M0548</t>
  </si>
  <si>
    <t xml:space="preserve">Caixa Econômica Federal</t>
  </si>
  <si>
    <t xml:space="preserve">Bancos e financeiras</t>
  </si>
  <si>
    <t xml:space="preserve">Avaliação de imóvel para financiamento Caixa Econômica Federal</t>
  </si>
  <si>
    <t xml:space="preserve">Precisa atender exigência do Caixa Econômica Federal para financiar, ou discorda do valor atribuído pela avaliação do banco. Observação: bancos costumam usar avaliadores próprios; o laudo independente serve para contestação, planejamento e home equity.</t>
  </si>
  <si>
    <t xml:space="preserve">Comprador Cauteloso, Recém-Chegado, Patrimonialista Ocupado</t>
  </si>
  <si>
    <t xml:space="preserve">/pericias-e-avaliacoes/avaliacao-para-garantia-bancaria/caixa-economica-federal/</t>
  </si>
  <si>
    <t xml:space="preserve">M0549</t>
  </si>
  <si>
    <t xml:space="preserve">Banco do Brasil</t>
  </si>
  <si>
    <t xml:space="preserve">Avaliação de imóvel para financiamento Banco do Brasil</t>
  </si>
  <si>
    <t xml:space="preserve">Precisa atender exigência do Banco do Brasil para financiar, ou discorda do valor atribuído pela avaliação do banco. Observação: bancos costumam usar avaliadores próprios; o laudo independente serve para contestação, planejamento e home equity.</t>
  </si>
  <si>
    <t xml:space="preserve">/pericias-e-avaliacoes/avaliacao-para-garantia-bancaria/banco-brasil/</t>
  </si>
  <si>
    <t xml:space="preserve">M0550</t>
  </si>
  <si>
    <t xml:space="preserve">Itaú</t>
  </si>
  <si>
    <t xml:space="preserve">Avaliação de imóvel para financiamento Itaú</t>
  </si>
  <si>
    <t xml:space="preserve">Precisa atender exigência do Itaú para financiar, ou discorda do valor atribuído pela avaliação do banco. Observação: bancos costumam usar avaliadores próprios; o laudo independente serve para contestação, planejamento e home equity.</t>
  </si>
  <si>
    <t xml:space="preserve">/pericias-e-avaliacoes/avaliacao-para-garantia-bancaria/itau/</t>
  </si>
  <si>
    <t xml:space="preserve">M0551</t>
  </si>
  <si>
    <t xml:space="preserve">Bradesco</t>
  </si>
  <si>
    <t xml:space="preserve">Avaliação de imóvel para financiamento Bradesco</t>
  </si>
  <si>
    <t xml:space="preserve">Precisa atender exigência do Bradesco para financiar, ou discorda do valor atribuído pela avaliação do banco. Observação: bancos costumam usar avaliadores próprios; o laudo independente serve para contestação, planejamento e home equity.</t>
  </si>
  <si>
    <t xml:space="preserve">/pericias-e-avaliacoes/avaliacao-para-garantia-bancaria/bradesco/</t>
  </si>
  <si>
    <t xml:space="preserve">M0552</t>
  </si>
  <si>
    <t xml:space="preserve">Santander</t>
  </si>
  <si>
    <t xml:space="preserve">Avaliação de imóvel para financiamento Santander</t>
  </si>
  <si>
    <t xml:space="preserve">Precisa atender exigência do Santander para financiar, ou discorda do valor atribuído pela avaliação do banco. Observação: bancos costumam usar avaliadores próprios; o laudo independente serve para contestação, planejamento e home equity.</t>
  </si>
  <si>
    <t xml:space="preserve">/pericias-e-avaliacoes/avaliacao-para-garantia-bancaria/santander/</t>
  </si>
  <si>
    <t xml:space="preserve">M0553</t>
  </si>
  <si>
    <t xml:space="preserve">Sicredi</t>
  </si>
  <si>
    <t xml:space="preserve">Avaliação de imóvel para financiamento Sicredi</t>
  </si>
  <si>
    <t xml:space="preserve">Precisa atender exigência do Sicredi para financiar, ou discorda do valor atribuído pela avaliação do banco. Observação: bancos costumam usar avaliadores próprios; o laudo independente serve para contestação, planejamento e home equity.</t>
  </si>
  <si>
    <t xml:space="preserve">/pericias-e-avaliacoes/avaliacao-para-garantia-bancaria/sicredi/</t>
  </si>
  <si>
    <t xml:space="preserve">M0554</t>
  </si>
  <si>
    <t xml:space="preserve">Sicoob</t>
  </si>
  <si>
    <t xml:space="preserve">Avaliação de imóvel para financiamento Sicoob</t>
  </si>
  <si>
    <t xml:space="preserve">Precisa atender exigência do Sicoob para financiar, ou discorda do valor atribuído pela avaliação do banco. Observação: bancos costumam usar avaliadores próprios; o laudo independente serve para contestação, planejamento e home equity.</t>
  </si>
  <si>
    <t xml:space="preserve">/pericias-e-avaliacoes/avaliacao-para-garantia-bancaria/sicoob/</t>
  </si>
  <si>
    <t xml:space="preserve">M0555</t>
  </si>
  <si>
    <t xml:space="preserve">Banrisul</t>
  </si>
  <si>
    <t xml:space="preserve">Avaliação de imóvel para financiamento Banrisul</t>
  </si>
  <si>
    <t xml:space="preserve">Precisa atender exigência do Banrisul para financiar, ou discorda do valor atribuído pela avaliação do banco. Observação: bancos costumam usar avaliadores próprios; o laudo independente serve para contestação, planejamento e home equity.</t>
  </si>
  <si>
    <t xml:space="preserve">/pericias-e-avaliacoes/avaliacao-para-garantia-bancaria/banrisul/</t>
  </si>
  <si>
    <t xml:space="preserve">M0556</t>
  </si>
  <si>
    <t xml:space="preserve">Banco Inter</t>
  </si>
  <si>
    <t xml:space="preserve">Avaliação de imóvel para financiamento Banco Inter</t>
  </si>
  <si>
    <t xml:space="preserve">Precisa atender exigência do Banco Inter para financiar, ou discorda do valor atribuído pela avaliação do banco. Observação: bancos costumam usar avaliadores próprios; o laudo independente serve para contestação, planejamento e home equity.</t>
  </si>
  <si>
    <t xml:space="preserve">/pericias-e-avaliacoes/avaliacao-para-garantia-bancaria/banco-inter/</t>
  </si>
  <si>
    <t xml:space="preserve">M0557</t>
  </si>
  <si>
    <t xml:space="preserve">BTG Pactual</t>
  </si>
  <si>
    <t xml:space="preserve">Avaliação de imóvel para financiamento BTG Pactual</t>
  </si>
  <si>
    <t xml:space="preserve">Precisa atender exigência do BTG Pactual para financiar, ou discorda do valor atribuído pela avaliação do banco. Observação: bancos costumam usar avaliadores próprios; o laudo independente serve para contestação, planejamento e home equity.</t>
  </si>
  <si>
    <t xml:space="preserve">/pericias-e-avaliacoes/avaliacao-para-garantia-bancaria/btg-pactual/</t>
  </si>
  <si>
    <t xml:space="preserve">M0558</t>
  </si>
  <si>
    <t xml:space="preserve">Creditas</t>
  </si>
  <si>
    <t xml:space="preserve">Avaliação de imóvel para financiamento Creditas</t>
  </si>
  <si>
    <t xml:space="preserve">Precisa atender exigência do Creditas para financiar, ou discorda do valor atribuído pela avaliação do banco. Observação: bancos costumam usar avaliadores próprios; o laudo independente serve para contestação, planejamento e home equity.</t>
  </si>
  <si>
    <t xml:space="preserve">/pericias-e-avaliacoes/avaliacao-para-garantia-bancaria/creditas/</t>
  </si>
  <si>
    <t xml:space="preserve">M0559</t>
  </si>
  <si>
    <t xml:space="preserve">Medição de obra para financiamento Caixa Econômica Federal</t>
  </si>
  <si>
    <t xml:space="preserve">Está construindo com financiamento do Caixa Econômica Federal e precisa de relatórios de medição e acompanhamento para liberar as parcelas.</t>
  </si>
  <si>
    <t xml:space="preserve">Construtor por Paixão, Incorporador Enxuto</t>
  </si>
  <si>
    <t xml:space="preserve">/gestao-de-obras/fiscalizacao-obra-para-banco/#caixa-economica-federal</t>
  </si>
  <si>
    <t xml:space="preserve">M0560</t>
  </si>
  <si>
    <t xml:space="preserve">Medição de obra para financiamento Banco do Brasil</t>
  </si>
  <si>
    <t xml:space="preserve">Está construindo com financiamento do Banco do Brasil e precisa de relatórios de medição e acompanhamento para liberar as parcelas.</t>
  </si>
  <si>
    <t xml:space="preserve">/gestao-de-obras/fiscalizacao-obra-para-banco/#banco-brasil</t>
  </si>
  <si>
    <t xml:space="preserve">M0561</t>
  </si>
  <si>
    <t xml:space="preserve">Medição de obra para financiamento Sicredi</t>
  </si>
  <si>
    <t xml:space="preserve">Está construindo com financiamento do Sicredi e precisa de relatórios de medição e acompanhamento para liberar as parcelas.</t>
  </si>
  <si>
    <t xml:space="preserve">/gestao-de-obras/fiscalizacao-obra-para-banco/#sicredi</t>
  </si>
  <si>
    <t xml:space="preserve">M0562</t>
  </si>
  <si>
    <t xml:space="preserve">Medição de obra para financiamento Sicoob</t>
  </si>
  <si>
    <t xml:space="preserve">Está construindo com financiamento do Sicoob e precisa de relatórios de medição e acompanhamento para liberar as parcelas.</t>
  </si>
  <si>
    <t xml:space="preserve">/gestao-de-obras/fiscalizacao-obra-para-banco/#sicoob</t>
  </si>
  <si>
    <t xml:space="preserve">M0563</t>
  </si>
  <si>
    <t xml:space="preserve">BRDE</t>
  </si>
  <si>
    <t xml:space="preserve">Medição de obra para financiamento BRDE</t>
  </si>
  <si>
    <t xml:space="preserve">Está construindo com financiamento do BRDE e precisa de relatórios de medição e acompanhamento para liberar as parcelas.</t>
  </si>
  <si>
    <t xml:space="preserve">/gestao-de-obras/fiscalizacao-obra-para-banco/#brde</t>
  </si>
  <si>
    <t xml:space="preserve">M0564</t>
  </si>
  <si>
    <t xml:space="preserve">Badesc</t>
  </si>
  <si>
    <t xml:space="preserve">Medição de obra para financiamento Badesc</t>
  </si>
  <si>
    <t xml:space="preserve">Está construindo com financiamento do Badesc e precisa de relatórios de medição e acompanhamento para liberar as parcelas.</t>
  </si>
  <si>
    <t xml:space="preserve">/gestao-de-obras/fiscalizacao-obra-para-banco/#badesc</t>
  </si>
  <si>
    <t xml:space="preserve">M0565</t>
  </si>
  <si>
    <t xml:space="preserve">Hantei</t>
  </si>
  <si>
    <t xml:space="preserve">Construtoras e incorporadoras</t>
  </si>
  <si>
    <t xml:space="preserve">Termos de construtora</t>
  </si>
  <si>
    <t xml:space="preserve">Vistoria de entrega de apartamento Hantei</t>
  </si>
  <si>
    <t xml:space="preserve">Construtora</t>
  </si>
  <si>
    <t xml:space="preserve">Comprador de imóvel da Hantei prestes a receber as chaves que quer um engenheiro independente na vistoria de entrega.</t>
  </si>
  <si>
    <t xml:space="preserve">Recebedor de Chaves</t>
  </si>
  <si>
    <t xml:space="preserve">/vistorias-e-inspecoes/vistoria-entrega-apartamento/hantei/</t>
  </si>
  <si>
    <t xml:space="preserve">M0566</t>
  </si>
  <si>
    <t xml:space="preserve">AMS Construtora</t>
  </si>
  <si>
    <t xml:space="preserve">Vistoria de entrega de apartamento AMS Construtora</t>
  </si>
  <si>
    <t xml:space="preserve">Comprador de imóvel da AMS Construtora prestes a receber as chaves que quer um engenheiro independente na vistoria de entrega.</t>
  </si>
  <si>
    <t xml:space="preserve">/vistorias-e-inspecoes/vistoria-entrega-apartamento/ams-construtora/</t>
  </si>
  <si>
    <t xml:space="preserve">M0567</t>
  </si>
  <si>
    <t xml:space="preserve">Cota Construtora</t>
  </si>
  <si>
    <t xml:space="preserve">Vistoria de entrega de apartamento Cota Construtora</t>
  </si>
  <si>
    <t xml:space="preserve">Comprador de imóvel da Cota Construtora prestes a receber as chaves que quer um engenheiro independente na vistoria de entrega.</t>
  </si>
  <si>
    <t xml:space="preserve">/vistorias-e-inspecoes/vistoria-entrega-apartamento/cota-construtora/</t>
  </si>
  <si>
    <t xml:space="preserve">M0568</t>
  </si>
  <si>
    <t xml:space="preserve">Dimas Construtora</t>
  </si>
  <si>
    <t xml:space="preserve">Vistoria de entrega de apartamento Dimas Construtora</t>
  </si>
  <si>
    <t xml:space="preserve">Comprador de imóvel da Dimas Construtora prestes a receber as chaves que quer um engenheiro independente na vistoria de entrega.</t>
  </si>
  <si>
    <t xml:space="preserve">/vistorias-e-inspecoes/vistoria-entrega-apartamento/dimas-construtora/</t>
  </si>
  <si>
    <t xml:space="preserve">M0569</t>
  </si>
  <si>
    <t xml:space="preserve">Lumis Construtora</t>
  </si>
  <si>
    <t xml:space="preserve">Vistoria de entrega de apartamento Lumis Construtora</t>
  </si>
  <si>
    <t xml:space="preserve">Comprador de imóvel da Lumis Construtora prestes a receber as chaves que quer um engenheiro independente na vistoria de entrega.</t>
  </si>
  <si>
    <t xml:space="preserve">/vistorias-e-inspecoes/vistoria-entrega-apartamento/lumis-construtora/</t>
  </si>
  <si>
    <t xml:space="preserve">M0570</t>
  </si>
  <si>
    <t xml:space="preserve">CFL Construtora</t>
  </si>
  <si>
    <t xml:space="preserve">Vistoria de entrega de apartamento CFL Construtora</t>
  </si>
  <si>
    <t xml:space="preserve">Comprador de imóvel da CFL Construtora prestes a receber as chaves que quer um engenheiro independente na vistoria de entrega.</t>
  </si>
  <si>
    <t xml:space="preserve">/vistorias-e-inspecoes/vistoria-entrega-apartamento/cfl-construtora/</t>
  </si>
  <si>
    <t xml:space="preserve">M0571</t>
  </si>
  <si>
    <t xml:space="preserve">CSA Construtora</t>
  </si>
  <si>
    <t xml:space="preserve">Vistoria de entrega de apartamento CSA Construtora</t>
  </si>
  <si>
    <t xml:space="preserve">Comprador de imóvel da CSA Construtora prestes a receber as chaves que quer um engenheiro independente na vistoria de entrega.</t>
  </si>
  <si>
    <t xml:space="preserve">/vistorias-e-inspecoes/vistoria-entrega-apartamento/csa-construtora/</t>
  </si>
  <si>
    <t xml:space="preserve">M0572</t>
  </si>
  <si>
    <t xml:space="preserve">Cadema</t>
  </si>
  <si>
    <t xml:space="preserve">Vistoria de entrega de apartamento Cadema</t>
  </si>
  <si>
    <t xml:space="preserve">Comprador de imóvel da Cadema prestes a receber as chaves que quer um engenheiro independente na vistoria de entrega.</t>
  </si>
  <si>
    <t xml:space="preserve">/vistorias-e-inspecoes/vistoria-entrega-apartamento/cadema/</t>
  </si>
  <si>
    <t xml:space="preserve">M0573</t>
  </si>
  <si>
    <t xml:space="preserve">Lev-Vel</t>
  </si>
  <si>
    <t xml:space="preserve">Vistoria de entrega de apartamento Lev-Vel</t>
  </si>
  <si>
    <t xml:space="preserve">Comprador de imóvel da Lev-Vel prestes a receber as chaves que quer um engenheiro independente na vistoria de entrega.</t>
  </si>
  <si>
    <t xml:space="preserve">/vistorias-e-inspecoes/vistoria-entrega-apartamento/lev-vel/</t>
  </si>
  <si>
    <t xml:space="preserve">M0574</t>
  </si>
  <si>
    <t xml:space="preserve">Placon</t>
  </si>
  <si>
    <t xml:space="preserve">Vistoria de entrega de apartamento Placon</t>
  </si>
  <si>
    <t xml:space="preserve">Comprador de imóvel da Placon prestes a receber as chaves que quer um engenheiro independente na vistoria de entrega.</t>
  </si>
  <si>
    <t xml:space="preserve">/vistorias-e-inspecoes/vistoria-entrega-apartamento/placon/</t>
  </si>
  <si>
    <t xml:space="preserve">M0575</t>
  </si>
  <si>
    <t xml:space="preserve">Medlim</t>
  </si>
  <si>
    <t xml:space="preserve">Vistoria de entrega de apartamento Medlim</t>
  </si>
  <si>
    <t xml:space="preserve">Comprador de imóvel da Medlim prestes a receber as chaves que quer um engenheiro independente na vistoria de entrega.</t>
  </si>
  <si>
    <t xml:space="preserve">/vistorias-e-inspecoes/vistoria-entrega-apartamento/medlim/</t>
  </si>
  <si>
    <t xml:space="preserve">M0576</t>
  </si>
  <si>
    <t xml:space="preserve">Elevaz</t>
  </si>
  <si>
    <t xml:space="preserve">Vistoria de entrega de apartamento Elevaz</t>
  </si>
  <si>
    <t xml:space="preserve">Comprador de imóvel da Elevaz prestes a receber as chaves que quer um engenheiro independente na vistoria de entrega.</t>
  </si>
  <si>
    <t xml:space="preserve">/vistorias-e-inspecoes/vistoria-entrega-apartamento/elevaz/</t>
  </si>
  <si>
    <t xml:space="preserve">M0577</t>
  </si>
  <si>
    <t xml:space="preserve">Construtora Maresia</t>
  </si>
  <si>
    <t xml:space="preserve">Vistoria de entrega de apartamento Construtora Maresia</t>
  </si>
  <si>
    <t xml:space="preserve">Comprador de imóvel da Construtora Maresia prestes a receber as chaves que quer um engenheiro independente na vistoria de entrega.</t>
  </si>
  <si>
    <t xml:space="preserve">/vistorias-e-inspecoes/vistoria-entrega-apartamento/construtora-maresia/</t>
  </si>
  <si>
    <t xml:space="preserve">M0578</t>
  </si>
  <si>
    <t xml:space="preserve">Cardona</t>
  </si>
  <si>
    <t xml:space="preserve">Vistoria de entrega de apartamento Cardona</t>
  </si>
  <si>
    <t xml:space="preserve">Comprador de imóvel da Cardona prestes a receber as chaves que quer um engenheiro independente na vistoria de entrega.</t>
  </si>
  <si>
    <t xml:space="preserve">/vistorias-e-inspecoes/vistoria-entrega-apartamento/cardona/</t>
  </si>
  <si>
    <t xml:space="preserve">M0579</t>
  </si>
  <si>
    <t xml:space="preserve">Império Real Construtora</t>
  </si>
  <si>
    <t xml:space="preserve">Vistoria de entrega de apartamento Império Real Construtora</t>
  </si>
  <si>
    <t xml:space="preserve">Comprador de imóvel da Império Real Construtora prestes a receber as chaves que quer um engenheiro independente na vistoria de entrega.</t>
  </si>
  <si>
    <t xml:space="preserve">/vistorias-e-inspecoes/vistoria-entrega-apartamento/imperio-real-construtora/</t>
  </si>
  <si>
    <t xml:space="preserve">M0580</t>
  </si>
  <si>
    <t xml:space="preserve">Allianca Construtora</t>
  </si>
  <si>
    <t xml:space="preserve">Vistoria de entrega de apartamento Allianca Construtora</t>
  </si>
  <si>
    <t xml:space="preserve">Comprador de imóvel da Allianca Construtora prestes a receber as chaves que quer um engenheiro independente na vistoria de entrega.</t>
  </si>
  <si>
    <t xml:space="preserve">/vistorias-e-inspecoes/vistoria-entrega-apartamento/allianca-construtora/</t>
  </si>
  <si>
    <t xml:space="preserve">M0581</t>
  </si>
  <si>
    <t xml:space="preserve">Priori Construtora</t>
  </si>
  <si>
    <t xml:space="preserve">Vistoria de entrega de apartamento Priori Construtora</t>
  </si>
  <si>
    <t xml:space="preserve">Comprador de imóvel da Priori Construtora prestes a receber as chaves que quer um engenheiro independente na vistoria de entrega.</t>
  </si>
  <si>
    <t xml:space="preserve">/vistorias-e-inspecoes/vistoria-entrega-apartamento/priori-construtora/</t>
  </si>
  <si>
    <t xml:space="preserve">M0582</t>
  </si>
  <si>
    <t xml:space="preserve">Habitasul</t>
  </si>
  <si>
    <t xml:space="preserve">Vistoria de entrega de apartamento Habitasul</t>
  </si>
  <si>
    <t xml:space="preserve">Comprador de imóvel da Habitasul prestes a receber as chaves que quer um engenheiro independente na vistoria de entrega.</t>
  </si>
  <si>
    <t xml:space="preserve">/vistorias-e-inspecoes/vistoria-entrega-apartamento/habitasul/</t>
  </si>
  <si>
    <t xml:space="preserve">M0583</t>
  </si>
  <si>
    <t xml:space="preserve">Rogga</t>
  </si>
  <si>
    <t xml:space="preserve">Vistoria de entrega de apartamento Rogga</t>
  </si>
  <si>
    <t xml:space="preserve">Comprador de imóvel da Rogga prestes a receber as chaves que quer um engenheiro independente na vistoria de entrega.</t>
  </si>
  <si>
    <t xml:space="preserve">/vistorias-e-inspecoes/vistoria-entrega-apartamento/rogga/</t>
  </si>
  <si>
    <t xml:space="preserve">M0584</t>
  </si>
  <si>
    <t xml:space="preserve">FG Empreendimentos</t>
  </si>
  <si>
    <t xml:space="preserve">Vistoria de entrega de apartamento FG Empreendimentos</t>
  </si>
  <si>
    <t xml:space="preserve">Comprador de imóvel da FG Empreendimentos prestes a receber as chaves que quer um engenheiro independente na vistoria de entrega.</t>
  </si>
  <si>
    <t xml:space="preserve">/vistorias-e-inspecoes/vistoria-entrega-apartamento/fg-empreendimentos/</t>
  </si>
  <si>
    <t xml:space="preserve">M0585</t>
  </si>
  <si>
    <t xml:space="preserve">Embraed</t>
  </si>
  <si>
    <t xml:space="preserve">Vistoria de entrega de apartamento Embraed</t>
  </si>
  <si>
    <t xml:space="preserve">Comprador de imóvel da Embraed prestes a receber as chaves que quer um engenheiro independente na vistoria de entrega.</t>
  </si>
  <si>
    <t xml:space="preserve">/vistorias-e-inspecoes/vistoria-entrega-apartamento/embraed/</t>
  </si>
  <si>
    <t xml:space="preserve">M0586</t>
  </si>
  <si>
    <t xml:space="preserve">Pasqualotto</t>
  </si>
  <si>
    <t xml:space="preserve">Vistoria de entrega de apartamento Pasqualotto</t>
  </si>
  <si>
    <t xml:space="preserve">Comprador de imóvel da Pasqualotto prestes a receber as chaves que quer um engenheiro independente na vistoria de entrega.</t>
  </si>
  <si>
    <t xml:space="preserve">/vistorias-e-inspecoes/vistoria-entrega-apartamento/pasqualotto/</t>
  </si>
  <si>
    <t xml:space="preserve">M0587</t>
  </si>
  <si>
    <t xml:space="preserve">Reforma de apartamento novo Hantei</t>
  </si>
  <si>
    <t xml:space="preserve">Acabou de receber um apartamento da Hantei e quer personalizar antes de mudar. Busca quem conheça o padrão construtivo e as regras do empreendimento.</t>
  </si>
  <si>
    <t xml:space="preserve">Recebedor de Chaves, Recém-Chegado</t>
  </si>
  <si>
    <t xml:space="preserve">/blog/reforma-apartamento-novo-hantei/</t>
  </si>
  <si>
    <t xml:space="preserve">M0588</t>
  </si>
  <si>
    <t xml:space="preserve">Reforma de apartamento novo Cota Construtora</t>
  </si>
  <si>
    <t xml:space="preserve">Acabou de receber um apartamento da Cota Construtora e quer personalizar antes de mudar. Busca quem conheça o padrão construtivo e as regras do empreendimento.</t>
  </si>
  <si>
    <t xml:space="preserve">/blog/reforma-apartamento-novo-cota-construtora/</t>
  </si>
  <si>
    <t xml:space="preserve">M0589</t>
  </si>
  <si>
    <t xml:space="preserve">Reforma de apartamento novo Dimas Construtora</t>
  </si>
  <si>
    <t xml:space="preserve">Acabou de receber um apartamento da Dimas Construtora e quer personalizar antes de mudar. Busca quem conheça o padrão construtivo e as regras do empreendimento.</t>
  </si>
  <si>
    <t xml:space="preserve">/blog/reforma-apartamento-novo-dimas-construtora/</t>
  </si>
  <si>
    <t xml:space="preserve">M0590</t>
  </si>
  <si>
    <t xml:space="preserve">Reforma de apartamento novo CFL Construtora</t>
  </si>
  <si>
    <t xml:space="preserve">Acabou de receber um apartamento da CFL Construtora e quer personalizar antes de mudar. Busca quem conheça o padrão construtivo e as regras do empreendimento.</t>
  </si>
  <si>
    <t xml:space="preserve">/blog/reforma-apartamento-novo-cfl-construtora/</t>
  </si>
  <si>
    <t xml:space="preserve">M0591</t>
  </si>
  <si>
    <t xml:space="preserve">Reforma de apartamento novo CSA Construtora</t>
  </si>
  <si>
    <t xml:space="preserve">Acabou de receber um apartamento da CSA Construtora e quer personalizar antes de mudar. Busca quem conheça o padrão construtivo e as regras do empreendimento.</t>
  </si>
  <si>
    <t xml:space="preserve">/blog/reforma-apartamento-novo-csa-construtora/</t>
  </si>
  <si>
    <t xml:space="preserve">M0592</t>
  </si>
  <si>
    <t xml:space="preserve">Reforma de apartamento novo Cadema</t>
  </si>
  <si>
    <t xml:space="preserve">Acabou de receber um apartamento da Cadema e quer personalizar antes de mudar. Busca quem conheça o padrão construtivo e as regras do empreendimento.</t>
  </si>
  <si>
    <t xml:space="preserve">/blog/reforma-apartamento-novo-cadema/</t>
  </si>
  <si>
    <t xml:space="preserve">M0593</t>
  </si>
  <si>
    <t xml:space="preserve">Leroy Merlin</t>
  </si>
  <si>
    <t xml:space="preserve">Lojas e home centers</t>
  </si>
  <si>
    <t xml:space="preserve">Termos de loja</t>
  </si>
  <si>
    <t xml:space="preserve">Engenheiro para obra com material da Leroy Merlin</t>
  </si>
  <si>
    <t xml:space="preserve">Loja</t>
  </si>
  <si>
    <t xml:space="preserve">Cliente comprando material na Leroy Merlin que procura mão de obra; baixa aderência ao posicionamento premium.</t>
  </si>
  <si>
    <t xml:space="preserve">Fora</t>
  </si>
  <si>
    <t xml:space="preserve">M0594</t>
  </si>
  <si>
    <t xml:space="preserve">Cassol Centerlar</t>
  </si>
  <si>
    <t xml:space="preserve">Engenheiro para obra com material da Cassol Centerlar</t>
  </si>
  <si>
    <t xml:space="preserve">Cliente comprando material na Cassol Centerlar que procura mão de obra; baixa aderência ao posicionamento premium.</t>
  </si>
  <si>
    <t xml:space="preserve">M0595</t>
  </si>
  <si>
    <t xml:space="preserve">Koerich</t>
  </si>
  <si>
    <t xml:space="preserve">Engenheiro para obra com material da Koerich</t>
  </si>
  <si>
    <t xml:space="preserve">Cliente comprando material na Koerich que procura mão de obra; baixa aderência ao posicionamento premium.</t>
  </si>
  <si>
    <t xml:space="preserve">M0596</t>
  </si>
  <si>
    <t xml:space="preserve">Balaroti</t>
  </si>
  <si>
    <t xml:space="preserve">Engenheiro para obra com material da Balaroti</t>
  </si>
  <si>
    <t xml:space="preserve">Cliente comprando material na Balaroti que procura mão de obra; baixa aderência ao posicionamento premium.</t>
  </si>
  <si>
    <t xml:space="preserve">M0597</t>
  </si>
  <si>
    <t xml:space="preserve">Obramax</t>
  </si>
  <si>
    <t xml:space="preserve">Engenheiro para obra com material da Obramax</t>
  </si>
  <si>
    <t xml:space="preserve">Cliente comprando material na Obramax que procura mão de obra; baixa aderência ao posicionamento premium.</t>
  </si>
  <si>
    <t xml:space="preserve">M0598</t>
  </si>
  <si>
    <t xml:space="preserve">Celesc</t>
  </si>
  <si>
    <t xml:space="preserve">Concessionárias</t>
  </si>
  <si>
    <t xml:space="preserve">Termos de concessionária</t>
  </si>
  <si>
    <t xml:space="preserve">Projeto de entrada de energia Celesc</t>
  </si>
  <si>
    <t xml:space="preserve">Concessionária</t>
  </si>
  <si>
    <t xml:space="preserve">Precisa de ligação nova ou aumento de carga aprovado pela Celesc; o projeto é o que trava a obra ou a mudança.</t>
  </si>
  <si>
    <t xml:space="preserve">/projetos/projeto-entrada-energia/celesc/</t>
  </si>
  <si>
    <t xml:space="preserve">M0599</t>
  </si>
  <si>
    <t xml:space="preserve">Aumento de carga Celesc</t>
  </si>
  <si>
    <t xml:space="preserve">Vai instalar ar-condicionado, elevador, carregador ou piscina aquecida e precisa aumentar a carga junto à Celesc.</t>
  </si>
  <si>
    <t xml:space="preserve">/instalacoes/aumento-carga-eletrica/celesc/</t>
  </si>
  <si>
    <t xml:space="preserve">M0600</t>
  </si>
  <si>
    <t xml:space="preserve">Casan</t>
  </si>
  <si>
    <t xml:space="preserve">Projeto hidrossanitário para Casan</t>
  </si>
  <si>
    <t xml:space="preserve">Precisa de ligação de água e esgoto aprovada pela Casan para concluir a obra ou obter habite-se.</t>
  </si>
  <si>
    <t xml:space="preserve">Travado pela Burocracia, Patrimonialista Ocupado</t>
  </si>
  <si>
    <t xml:space="preserve">/projetos/projeto-hidrossanitario/casan/</t>
  </si>
  <si>
    <t xml:space="preserve">M0601</t>
  </si>
  <si>
    <t xml:space="preserve">Companhia Águas de Joinville</t>
  </si>
  <si>
    <t xml:space="preserve">Projeto hidrossanitário para Companhia Águas de Joinville</t>
  </si>
  <si>
    <t xml:space="preserve">Precisa de ligação de água e esgoto aprovada pela Companhia Águas de Joinville para concluir a obra ou obter habite-se.</t>
  </si>
  <si>
    <t xml:space="preserve">/projetos/projeto-hidrossanitario/companhia-aguas-joinville/</t>
  </si>
  <si>
    <t xml:space="preserve">M0602</t>
  </si>
  <si>
    <t xml:space="preserve">SAMAE Blumenau</t>
  </si>
  <si>
    <t xml:space="preserve">Projeto hidrossanitário para SAMAE Blumenau</t>
  </si>
  <si>
    <t xml:space="preserve">Precisa de ligação de água e esgoto aprovada pela SAMAE Blumenau para concluir a obra ou obter habite-se.</t>
  </si>
  <si>
    <t xml:space="preserve">/projetos/projeto-hidrossanitario/samae-blumenau/</t>
  </si>
  <si>
    <t xml:space="preserve">M0603</t>
  </si>
  <si>
    <t xml:space="preserve">SCGÁS</t>
  </si>
  <si>
    <t xml:space="preserve">Projeto de gás natural SCGÁS</t>
  </si>
  <si>
    <t xml:space="preserve">Quer ligar gás canalizado da SCGÁS e precisa de projeto e rede internos aprovados.</t>
  </si>
  <si>
    <t xml:space="preserve">/projetos/projeto-gas-natural/scgas/</t>
  </si>
  <si>
    <t xml:space="preserve">M0604</t>
  </si>
  <si>
    <t xml:space="preserve">Prefeitura de Florianópolis</t>
  </si>
  <si>
    <t xml:space="preserve">Órgãos públicos</t>
  </si>
  <si>
    <t xml:space="preserve">Termos de órgão público</t>
  </si>
  <si>
    <t xml:space="preserve">Alvará de construção Prefeitura de Florianópolis</t>
  </si>
  <si>
    <t xml:space="preserve">Órgão público</t>
  </si>
  <si>
    <t xml:space="preserve">Precisa aprovar projeto e tirar alvará na Prefeitura de Florianópolis; quer saber prazos, documentos e quem conduz o processo.</t>
  </si>
  <si>
    <t xml:space="preserve">Travado pela Burocracia, Patrimonialista Ocupado, Recém-Chegado</t>
  </si>
  <si>
    <t xml:space="preserve">/regularizacao/obtencao-alvara-construcao/prefeitura-florianopolis/</t>
  </si>
  <si>
    <t xml:space="preserve">M0605</t>
  </si>
  <si>
    <t xml:space="preserve">Prefeitura de São José</t>
  </si>
  <si>
    <t xml:space="preserve">Alvará de construção Prefeitura de São José</t>
  </si>
  <si>
    <t xml:space="preserve">Precisa aprovar projeto e tirar alvará na Prefeitura de São José; quer saber prazos, documentos e quem conduz o processo.</t>
  </si>
  <si>
    <t xml:space="preserve">/regularizacao/obtencao-alvara-construcao/prefeitura-sao-jose/</t>
  </si>
  <si>
    <t xml:space="preserve">M0606</t>
  </si>
  <si>
    <t xml:space="preserve">Prefeitura de Palhoça</t>
  </si>
  <si>
    <t xml:space="preserve">Alvará de construção Prefeitura de Palhoça</t>
  </si>
  <si>
    <t xml:space="preserve">Precisa aprovar projeto e tirar alvará na Prefeitura de Palhoça; quer saber prazos, documentos e quem conduz o processo.</t>
  </si>
  <si>
    <t xml:space="preserve">/regularizacao/obtencao-alvara-construcao/prefeitura-palhoca/</t>
  </si>
  <si>
    <t xml:space="preserve">M0607</t>
  </si>
  <si>
    <t xml:space="preserve">Prefeitura de Biguaçu</t>
  </si>
  <si>
    <t xml:space="preserve">Alvará de construção Prefeitura de Biguaçu</t>
  </si>
  <si>
    <t xml:space="preserve">Precisa aprovar projeto e tirar alvará na Prefeitura de Biguaçu; quer saber prazos, documentos e quem conduz o processo.</t>
  </si>
  <si>
    <t xml:space="preserve">/regularizacao/obtencao-alvara-construcao/prefeitura-biguacu/</t>
  </si>
  <si>
    <t xml:space="preserve">M0608</t>
  </si>
  <si>
    <t xml:space="preserve">Prefeitura de Governador Celso Ramos</t>
  </si>
  <si>
    <t xml:space="preserve">Alvará de construção Prefeitura de Governador Celso Ramos</t>
  </si>
  <si>
    <t xml:space="preserve">Precisa aprovar projeto e tirar alvará na Prefeitura de Governador Celso Ramos; quer saber prazos, documentos e quem conduz o processo.</t>
  </si>
  <si>
    <t xml:space="preserve">/regularizacao/obtencao-alvara-construcao/prefeitura-governador-celso-ramos/</t>
  </si>
  <si>
    <t xml:space="preserve">M0609</t>
  </si>
  <si>
    <t xml:space="preserve">Prefeitura de Joinville</t>
  </si>
  <si>
    <t xml:space="preserve">Alvará de construção Prefeitura de Joinville</t>
  </si>
  <si>
    <t xml:space="preserve">Precisa aprovar projeto e tirar alvará na Prefeitura de Joinville; quer saber prazos, documentos e quem conduz o processo.</t>
  </si>
  <si>
    <t xml:space="preserve">/regularizacao/obtencao-alvara-construcao/prefeitura-joinville/</t>
  </si>
  <si>
    <t xml:space="preserve">M0610</t>
  </si>
  <si>
    <t xml:space="preserve">Prefeitura de Blumenau</t>
  </si>
  <si>
    <t xml:space="preserve">Alvará de construção Prefeitura de Blumenau</t>
  </si>
  <si>
    <t xml:space="preserve">Precisa aprovar projeto e tirar alvará na Prefeitura de Blumenau; quer saber prazos, documentos e quem conduz o processo.</t>
  </si>
  <si>
    <t xml:space="preserve">/regularizacao/obtencao-alvara-construcao/prefeitura-blumenau/</t>
  </si>
  <si>
    <t xml:space="preserve">M0611</t>
  </si>
  <si>
    <t xml:space="preserve">Prefeitura de Balneário Camboriú</t>
  </si>
  <si>
    <t xml:space="preserve">Alvará de construção Prefeitura de Balneário Camboriú</t>
  </si>
  <si>
    <t xml:space="preserve">Precisa aprovar projeto e tirar alvará na Prefeitura de Balneário Camboriú; quer saber prazos, documentos e quem conduz o processo.</t>
  </si>
  <si>
    <t xml:space="preserve">/regularizacao/obtencao-alvara-construcao/prefeitura-balneario-camboriu/</t>
  </si>
  <si>
    <t xml:space="preserve">M0612</t>
  </si>
  <si>
    <t xml:space="preserve">Habite-se Prefeitura de Florianópolis</t>
  </si>
  <si>
    <t xml:space="preserve">Terminou a obra e precisa do habite-se na Prefeitura de Florianópolis para morar, averbar, vender ou financiar.</t>
  </si>
  <si>
    <t xml:space="preserve">/regularizacao/obtencao-habite-se/prefeitura-florianopolis/</t>
  </si>
  <si>
    <t xml:space="preserve">M0613</t>
  </si>
  <si>
    <t xml:space="preserve">Habite-se Prefeitura de São José</t>
  </si>
  <si>
    <t xml:space="preserve">Terminou a obra e precisa do habite-se na Prefeitura de São José para morar, averbar, vender ou financiar.</t>
  </si>
  <si>
    <t xml:space="preserve">/regularizacao/obtencao-habite-se/prefeitura-sao-jose/</t>
  </si>
  <si>
    <t xml:space="preserve">M0614</t>
  </si>
  <si>
    <t xml:space="preserve">Habite-se Prefeitura de Palhoça</t>
  </si>
  <si>
    <t xml:space="preserve">Terminou a obra e precisa do habite-se na Prefeitura de Palhoça para morar, averbar, vender ou financiar.</t>
  </si>
  <si>
    <t xml:space="preserve">/regularizacao/obtencao-habite-se/prefeitura-palhoca/</t>
  </si>
  <si>
    <t xml:space="preserve">M0615</t>
  </si>
  <si>
    <t xml:space="preserve">Corpo de Bombeiros Militar de Santa Catarina</t>
  </si>
  <si>
    <t xml:space="preserve">Projeto preventivo aprovado no Corpo de Bombeiros Militar de Santa Catarina</t>
  </si>
  <si>
    <t xml:space="preserve">Está com processo parado ou reprovado no Corpo de Bombeiros Militar de Santa Catarina e precisa de projeto e acompanhamento até a aprovação.</t>
  </si>
  <si>
    <t xml:space="preserve">/regularizacao/aprovacao-no-corpo-bombeiros/corpo-bombeiros-militar-santa-catarina/</t>
  </si>
  <si>
    <t xml:space="preserve">M0616</t>
  </si>
  <si>
    <t xml:space="preserve">Floram</t>
  </si>
  <si>
    <t xml:space="preserve">Licenciamento ambiental Floram</t>
  </si>
  <si>
    <t xml:space="preserve">Obra ou terreno que depende de licença da Floram; teme embargo e atraso.</t>
  </si>
  <si>
    <t xml:space="preserve">Recém-Chegado, Incorporador Enxuto</t>
  </si>
  <si>
    <t xml:space="preserve">/regularizacao/licenciamento-ambiental-obra/#floram</t>
  </si>
  <si>
    <t xml:space="preserve">M0617</t>
  </si>
  <si>
    <t xml:space="preserve">IMA</t>
  </si>
  <si>
    <t xml:space="preserve">Licenciamento ambiental IMA</t>
  </si>
  <si>
    <t xml:space="preserve">Obra ou terreno que depende de licença da IMA; teme embargo e atraso.</t>
  </si>
  <si>
    <t xml:space="preserve">/regularizacao/licenciamento-ambiental-obra/#ima</t>
  </si>
  <si>
    <t xml:space="preserve">M0618</t>
  </si>
  <si>
    <t xml:space="preserve">SPU</t>
  </si>
  <si>
    <t xml:space="preserve">Terreno de marinha SPU</t>
  </si>
  <si>
    <t xml:space="preserve">Descobriu que o terreno pode estar em área da União administrada pela SPU e quer entender impacto e regularização.</t>
  </si>
  <si>
    <t xml:space="preserve">Recém-Chegado, Comprador Cauteloso</t>
  </si>
  <si>
    <t xml:space="preserve">/blog/terreno-marinha-spu/</t>
  </si>
  <si>
    <t xml:space="preserve">M0619</t>
  </si>
  <si>
    <t xml:space="preserve">IPUF</t>
  </si>
  <si>
    <t xml:space="preserve">Plano diretor IPUF</t>
  </si>
  <si>
    <t xml:space="preserve">Quer saber o que pode construir no terreno segundo as regras do IPUF.</t>
  </si>
  <si>
    <t xml:space="preserve">Incorporador Enxuto, Recém-Chegado</t>
  </si>
  <si>
    <t xml:space="preserve">/blog/plano-diretor-ipuf/</t>
  </si>
  <si>
    <t xml:space="preserve">M0620</t>
  </si>
  <si>
    <t xml:space="preserve">Receita Federal</t>
  </si>
  <si>
    <t xml:space="preserve">CNO de obra Receita Federal</t>
  </si>
  <si>
    <t xml:space="preserve">Precisa inscrever a obra ou regularizar a situação previdenciária junto à Receita Federal para averbar a construção.</t>
  </si>
  <si>
    <t xml:space="preserve">/blog/cno-obra-receita-federal/</t>
  </si>
  <si>
    <t xml:space="preserve">M0621</t>
  </si>
  <si>
    <t xml:space="preserve">INSS</t>
  </si>
  <si>
    <t xml:space="preserve">Contribuição de obra INSS</t>
  </si>
  <si>
    <t xml:space="preserve">Descobriu que haverá cobrança previdenciária sobre a obra e quer entender como reduzir ou regularizar junto ao INSS.</t>
  </si>
  <si>
    <t xml:space="preserve">/blog/contribuicao-obra-inss/</t>
  </si>
  <si>
    <t xml:space="preserve">M0622</t>
  </si>
  <si>
    <t xml:space="preserve">Vigilância Sanitária de Florianópolis</t>
  </si>
  <si>
    <t xml:space="preserve">Aprovação de clínica na Vigilância Sanitária de Florianópolis</t>
  </si>
  <si>
    <t xml:space="preserve">Profissional de saúde que precisa aprovar o espaço na Vigilância Sanitária de Florianópolis para abrir ou renovar licença.</t>
  </si>
  <si>
    <t xml:space="preserve">/regularizacao/regularizacao-junto-a-vigilancia-sanitaria/vigilancia-sanitaria-florianopolis/</t>
  </si>
  <si>
    <t xml:space="preserve">M0623</t>
  </si>
  <si>
    <t xml:space="preserve">Anvisa</t>
  </si>
  <si>
    <t xml:space="preserve">Adequação à RDC 50 da Anvisa</t>
  </si>
  <si>
    <t xml:space="preserve">Quer entender as exigências da Anvisa para estabelecimentos de saúde antes de projetar ou reformar.</t>
  </si>
  <si>
    <t xml:space="preserve">/blog/adequacao-a-rdc-50-anvisa/</t>
  </si>
  <si>
    <t xml:space="preserve">M0624</t>
  </si>
  <si>
    <t xml:space="preserve">Defesa Civil de Florianópolis</t>
  </si>
  <si>
    <t xml:space="preserve">Laudo técnico para Defesa Civil de Florianópolis</t>
  </si>
  <si>
    <t xml:space="preserve">Imóvel vistoriado ou notificado pela Defesa Civil de Florianópolis após evento climático ou risco; precisa de laudo para desinterditar ou comprovar segurança.</t>
  </si>
  <si>
    <t xml:space="preserve">Assustado, Síndico Profissional, Vítima de Sinistro</t>
  </si>
  <si>
    <t xml:space="preserve">/laudos-tecnicos/laudo-interdicao/#defesa-civil-florianopolis</t>
  </si>
  <si>
    <t xml:space="preserve">M0625</t>
  </si>
  <si>
    <t xml:space="preserve">Defesa Civil de Santa Catarina</t>
  </si>
  <si>
    <t xml:space="preserve">Laudo técnico para Defesa Civil de Santa Catarina</t>
  </si>
  <si>
    <t xml:space="preserve">Imóvel vistoriado ou notificado pela Defesa Civil de Santa Catarina após evento climático ou risco; precisa de laudo para desinterditar ou comprovar segurança.</t>
  </si>
  <si>
    <t xml:space="preserve">/laudos-tecnicos/laudo-interdicao/#defesa-civil-santa-catarina</t>
  </si>
  <si>
    <t xml:space="preserve">M0626</t>
  </si>
  <si>
    <t xml:space="preserve">Cartório de Registro de Imóveis</t>
  </si>
  <si>
    <t xml:space="preserve">Averbação de construção no Cartório de Registro de Imóveis</t>
  </si>
  <si>
    <t xml:space="preserve">Precisa registrar a construção no Cartório de Registro de Imóveis para vender, financiar ou inventariar o imóvel.</t>
  </si>
  <si>
    <t xml:space="preserve">Patrimonialista Ocupado, Herdeiros</t>
  </si>
  <si>
    <t xml:space="preserve">/blog/averbacao-construcao-no-cartorio-registro-imoveis/</t>
  </si>
  <si>
    <t xml:space="preserve">M0627</t>
  </si>
  <si>
    <t xml:space="preserve">Procon SC</t>
  </si>
  <si>
    <t xml:space="preserve">Laudo para reclamação no Procon SC</t>
  </si>
  <si>
    <t xml:space="preserve">Consumidor em conflito com construtora ou prestador que quer sustentar a reclamação no Procon SC com laudo técnico.</t>
  </si>
  <si>
    <t xml:space="preserve">Recebedor de Chaves, Traído</t>
  </si>
  <si>
    <t xml:space="preserve">/blog/laudo-para-reclamacao-no-procon-sc/</t>
  </si>
  <si>
    <t xml:space="preserve">M0628</t>
  </si>
  <si>
    <t xml:space="preserve">Tribunal de Justiça de Santa Catarina</t>
  </si>
  <si>
    <t xml:space="preserve">Assistente técnico em perícia no Tribunal de Justiça de Santa Catarina</t>
  </si>
  <si>
    <t xml:space="preserve">Advogado ou parte em processo no Tribunal de Justiça de Santa Catarina que precisa de engenheiro assistente técnico.</t>
  </si>
  <si>
    <t xml:space="preserve">/pericias-e-avaliacoes/assistencia-tecnica-em-pericia-judicial/#tribunal-justica-santa-catarina</t>
  </si>
  <si>
    <t xml:space="preserve">M0629</t>
  </si>
  <si>
    <t xml:space="preserve">Sinduscon Grande Florianópolis</t>
  </si>
  <si>
    <t xml:space="preserve">Entidades e conselhos</t>
  </si>
  <si>
    <t xml:space="preserve">Termos de entidade</t>
  </si>
  <si>
    <t xml:space="preserve">CUB SC Sinduscon Grande Florianópolis</t>
  </si>
  <si>
    <t xml:space="preserve">Entidade</t>
  </si>
  <si>
    <t xml:space="preserve">Pesquisa o custo unitário básico divulgado pelo Sinduscon Grande Florianópolis para estimar o investimento na obra. Termo de alto volume e ótimo para captar topo de funil.</t>
  </si>
  <si>
    <t xml:space="preserve">Patrimonialista Ocupado, Incorporador Enxuto, Recém-Chegado</t>
  </si>
  <si>
    <t xml:space="preserve">/blog/cub-sc-sinduscon-grande-florianopolis/</t>
  </si>
  <si>
    <t xml:space="preserve">M0630</t>
  </si>
  <si>
    <t xml:space="preserve">CREA SC</t>
  </si>
  <si>
    <t xml:space="preserve">Consultar engenheiro no CREA SC</t>
  </si>
  <si>
    <t xml:space="preserve">Quer confirmar se o engenheiro ou a empresa tem registro ativo no CREA SC antes de contratar.</t>
  </si>
  <si>
    <t xml:space="preserve">Patrimonialista Ocupado, Assustado</t>
  </si>
  <si>
    <t xml:space="preserve">/sobre/#crea-sc</t>
  </si>
  <si>
    <t xml:space="preserve">M0631</t>
  </si>
  <si>
    <t xml:space="preserve">Confea</t>
  </si>
  <si>
    <t xml:space="preserve">Consultar engenheiro no Confea</t>
  </si>
  <si>
    <t xml:space="preserve">Quer confirmar se o engenheiro ou a empresa tem registro ativo no Confea antes de contratar.</t>
  </si>
  <si>
    <t xml:space="preserve">/sobre/#confea</t>
  </si>
  <si>
    <t xml:space="preserve">M0632</t>
  </si>
  <si>
    <t xml:space="preserve">IBAPE</t>
  </si>
  <si>
    <t xml:space="preserve">Perito avaliador IBAPE</t>
  </si>
  <si>
    <t xml:space="preserve">Procura perito vinculado ao IBAPE para dar credibilidade à avaliação ou perícia.</t>
  </si>
  <si>
    <t xml:space="preserve">/pericias-e-avaliacoes/avaliacao-imovel/#ibape</t>
  </si>
  <si>
    <t xml:space="preserve">M0633</t>
  </si>
  <si>
    <t xml:space="preserve">IBAPE SC</t>
  </si>
  <si>
    <t xml:space="preserve">Perito avaliador IBAPE SC</t>
  </si>
  <si>
    <t xml:space="preserve">Procura perito vinculado ao IBAPE SC para dar credibilidade à avaliação ou perícia.</t>
  </si>
  <si>
    <t xml:space="preserve">/pericias-e-avaliacoes/avaliacao-imovel/#ibape-sc</t>
  </si>
  <si>
    <t xml:space="preserve">M0634</t>
  </si>
  <si>
    <t xml:space="preserve">CAU SC</t>
  </si>
  <si>
    <t xml:space="preserve">Parceria com arquitetos CAU SC</t>
  </si>
  <si>
    <t xml:space="preserve">Busca institucional sobre o CAU SC; baixa intenção de contratação da Vaff.</t>
  </si>
  <si>
    <t xml:space="preserve">M0635</t>
  </si>
  <si>
    <t xml:space="preserve">Construtora associada ao Sinduscon Grande Florianópolis</t>
  </si>
  <si>
    <t xml:space="preserve">Quer uma empresa ligada à entidade Sinduscon Grande Florianópolis como sinal de solidez.</t>
  </si>
  <si>
    <t xml:space="preserve">/sobre/reconhecimentos/#sinduscon-grande-florianopolis</t>
  </si>
  <si>
    <t xml:space="preserve">M0636</t>
  </si>
  <si>
    <t xml:space="preserve">CBIC</t>
  </si>
  <si>
    <t xml:space="preserve">Construtora associada ao CBIC</t>
  </si>
  <si>
    <t xml:space="preserve">Quer uma empresa ligada à entidade CBIC como sinal de solidez.</t>
  </si>
  <si>
    <t xml:space="preserve">/sobre/reconhecimentos/#cbic</t>
  </si>
  <si>
    <t xml:space="preserve">M0637</t>
  </si>
  <si>
    <t xml:space="preserve">Secovi</t>
  </si>
  <si>
    <t xml:space="preserve">Construtora associada ao Secovi</t>
  </si>
  <si>
    <t xml:space="preserve">Quer uma empresa ligada à entidade Secovi como sinal de solidez.</t>
  </si>
  <si>
    <t xml:space="preserve">/sobre/reconhecimentos/#secovi</t>
  </si>
  <si>
    <t xml:space="preserve">M0638</t>
  </si>
  <si>
    <t xml:space="preserve">Airbnb</t>
  </si>
  <si>
    <t xml:space="preserve">Plataformas</t>
  </si>
  <si>
    <t xml:space="preserve">Termos de plataforma</t>
  </si>
  <si>
    <t xml:space="preserve">Reforma para Airbnb em Florianópolis</t>
  </si>
  <si>
    <t xml:space="preserve">Plataforma</t>
  </si>
  <si>
    <t xml:space="preserve">Investidor que aluga pelo Airbnb e quer reformar rápido, com acabamento durável e que gere boas avaliações.</t>
  </si>
  <si>
    <t xml:space="preserve">Investidor de Renda, Proprietário à Distância</t>
  </si>
  <si>
    <t xml:space="preserve">/reformas/reforma-para-locacao-por-temporada/airbnb/</t>
  </si>
  <si>
    <t xml:space="preserve">M0639</t>
  </si>
  <si>
    <t xml:space="preserve">Booking</t>
  </si>
  <si>
    <t xml:space="preserve">Reforma para Booking em Florianópolis</t>
  </si>
  <si>
    <t xml:space="preserve">Investidor que aluga pelo Booking e quer reformar rápido, com acabamento durável e que gere boas avaliações.</t>
  </si>
  <si>
    <t xml:space="preserve">/reformas/reforma-para-locacao-por-temporada/booking/</t>
  </si>
  <si>
    <t xml:space="preserve">M0640</t>
  </si>
  <si>
    <t xml:space="preserve">QuintoAndar</t>
  </si>
  <si>
    <t xml:space="preserve">Vistoria de imóvel QuintoAndar</t>
  </si>
  <si>
    <t xml:space="preserve">Locador ou locatário em negociação pelo QuintoAndar que quer vistoria técnica independente além da vistoria padrão da plataforma.</t>
  </si>
  <si>
    <t xml:space="preserve">Investidor de Renda, Comprador Cauteloso</t>
  </si>
  <si>
    <t xml:space="preserve">/blog/vistoria-imovel-quintoandar/</t>
  </si>
  <si>
    <t xml:space="preserve">M0641</t>
  </si>
  <si>
    <t xml:space="preserve">Loft</t>
  </si>
  <si>
    <t xml:space="preserve">Vistoria de imóvel Loft</t>
  </si>
  <si>
    <t xml:space="preserve">Locador ou locatário em negociação pelo Loft que quer vistoria técnica independente além da vistoria padrão da plataforma.</t>
  </si>
  <si>
    <t xml:space="preserve">/blog/vistoria-imovel-loft/</t>
  </si>
  <si>
    <t xml:space="preserve">M0642</t>
  </si>
  <si>
    <t xml:space="preserve">Zap Imóveis</t>
  </si>
  <si>
    <t xml:space="preserve">Vistoria de imóvel anunciado no Zap Imóveis</t>
  </si>
  <si>
    <t xml:space="preserve">Achou imóvel no Zap Imóveis e quer vistoriar antes de fechar; atender com a página de vistoria de compra.</t>
  </si>
  <si>
    <t xml:space="preserve">Comprador Cauteloso</t>
  </si>
  <si>
    <t xml:space="preserve">M0643</t>
  </si>
  <si>
    <t xml:space="preserve">Viva Real</t>
  </si>
  <si>
    <t xml:space="preserve">Vistoria de imóvel anunciado no Viva Real</t>
  </si>
  <si>
    <t xml:space="preserve">Achou imóvel no Viva Real e quer vistoriar antes de fechar; atender com a página de vistoria de compra.</t>
  </si>
  <si>
    <t xml:space="preserve">M0644</t>
  </si>
  <si>
    <t xml:space="preserve">OLX</t>
  </si>
  <si>
    <t xml:space="preserve">Vistoria de imóvel anunciado no OLX</t>
  </si>
  <si>
    <t xml:space="preserve">Achou imóvel no OLX e quer vistoriar antes de fechar; atender com a página de vistoria de compra.</t>
  </si>
  <si>
    <t xml:space="preserve">M0645</t>
  </si>
  <si>
    <t xml:space="preserve">GetNinjas</t>
  </si>
  <si>
    <t xml:space="preserve">Engenheiro civil GetNinjas</t>
  </si>
  <si>
    <t xml:space="preserve">Busca por marketplace GetNinjas; público sensível a preço, fora do ICP. Apenas monitorar.</t>
  </si>
  <si>
    <t xml:space="preserve">Travado pela Burocracia</t>
  </si>
  <si>
    <t xml:space="preserve">M0646</t>
  </si>
  <si>
    <t xml:space="preserve">Cronoshare</t>
  </si>
  <si>
    <t xml:space="preserve">Engenheiro civil Cronoshare</t>
  </si>
  <si>
    <t xml:space="preserve">Busca por marketplace Cronoshare; público sensível a preço, fora do ICP. Apenas monitorar.</t>
  </si>
  <si>
    <t xml:space="preserve">M0647</t>
  </si>
  <si>
    <t xml:space="preserve">BNI</t>
  </si>
  <si>
    <t xml:space="preserve">Redes empresariais</t>
  </si>
  <si>
    <t xml:space="preserve">Termos de rede empresarial</t>
  </si>
  <si>
    <t xml:space="preserve">Construtora membro do BNI</t>
  </si>
  <si>
    <t xml:space="preserve">Rede empresarial</t>
  </si>
  <si>
    <t xml:space="preserve">Empresário da rede BNI que valida a Vaff antes de contratar ou indicar. Vínculo real, pode ser citado abertamente.</t>
  </si>
  <si>
    <t xml:space="preserve">/sobre/reconhecimentos/#bni</t>
  </si>
  <si>
    <t xml:space="preserve">M0648</t>
  </si>
  <si>
    <t xml:space="preserve">Clube M</t>
  </si>
  <si>
    <t xml:space="preserve">Construtora membro do Clube M</t>
  </si>
  <si>
    <t xml:space="preserve">Empresário da rede Clube M que valida a Vaff antes de contratar ou indicar. Vínculo real, pode ser citado abertamente.</t>
  </si>
  <si>
    <t xml:space="preserve">/sobre/reconhecimentos/#clube-m</t>
  </si>
  <si>
    <t xml:space="preserve">M0649</t>
  </si>
  <si>
    <t xml:space="preserve">ACIF</t>
  </si>
  <si>
    <t xml:space="preserve">Construtora membro do ACIF</t>
  </si>
  <si>
    <t xml:space="preserve">Empresário da rede ACIF que valida a Vaff antes de contratar ou indicar. Vínculo real, pode ser citado abertamente.</t>
  </si>
  <si>
    <t xml:space="preserve">/sobre/reconhecimentos/#acif</t>
  </si>
  <si>
    <t xml:space="preserve">M0650</t>
  </si>
  <si>
    <t xml:space="preserve">CDL Florianópolis</t>
  </si>
  <si>
    <t xml:space="preserve">Construtora membro do CDL Florianópolis</t>
  </si>
  <si>
    <t xml:space="preserve">Empresário da rede CDL Florianópolis que valida a Vaff antes de contratar ou indicar. Vínculo real, pode ser citado abertamente.</t>
  </si>
  <si>
    <t xml:space="preserve">/sobre/reconhecimentos/#cdl-florianopolis</t>
  </si>
  <si>
    <t xml:space="preserve">M0651</t>
  </si>
  <si>
    <t xml:space="preserve">CASACOR Santa Catarina</t>
  </si>
  <si>
    <t xml:space="preserve">Construtora membro do CASACOR Santa Catarina</t>
  </si>
  <si>
    <t xml:space="preserve">Empresário da rede CASACOR Santa Catarina que valida a Vaff antes de contratar ou indicar. Vínculo real, pode ser citado abertamente.</t>
  </si>
  <si>
    <t xml:space="preserve">/sobre/reconhecimentos/#casacor-santa-catarina</t>
  </si>
  <si>
    <t xml:space="preserve">Grupo</t>
  </si>
  <si>
    <t xml:space="preserve">Padrão da palavra-chave</t>
  </si>
  <si>
    <t xml:space="preserve">Exemplo real</t>
  </si>
  <si>
    <t xml:space="preserve">Serviço âncora</t>
  </si>
  <si>
    <t xml:space="preserve">Hub do serviço âncora</t>
  </si>
  <si>
    <t xml:space="preserve">Marcas aplicáveis</t>
  </si>
  <si>
    <t xml:space="preserve">Termos da categoria no mapa</t>
  </si>
  <si>
    <t xml:space="preserve">P001</t>
  </si>
  <si>
    <t xml:space="preserve">Tubos e conexões [marca]</t>
  </si>
  <si>
    <t xml:space="preserve">Pessoa que tem, comprou ou avalia produtos de tubos e conexões de uma marca específica e procura quem projete, execute ou avalie com ela.</t>
  </si>
  <si>
    <t xml:space="preserve">/marcas-e-sistemas/tubos-e-conexoes/[marca]/</t>
  </si>
  <si>
    <t xml:space="preserve">Página da marca: sempre criar para marcas aprovadas, reunindo os serviços da categoria.</t>
  </si>
  <si>
    <t xml:space="preserve">P002</t>
  </si>
  <si>
    <t xml:space="preserve">Projeto hidrossanitário com [marca]</t>
  </si>
  <si>
    <t xml:space="preserve">Quer um projeto de água e esgoto especificado com o sistema da marca, geralmente por indicação do arquiteto ou por padronização da obra.</t>
  </si>
  <si>
    <t xml:space="preserve">/marcas-e-sistemas/tubos-e-conexoes/[marca]/projeto-hidrossanitario/</t>
  </si>
  <si>
    <t xml:space="preserve">Página própria apenas para marcas com prioridade Média ou Alta e conteúdo único, como obras, fotos e especificação técnica.</t>
  </si>
  <si>
    <t xml:space="preserve">P003</t>
  </si>
  <si>
    <t xml:space="preserve">Instalação hidráulica com [marca]</t>
  </si>
  <si>
    <t xml:space="preserve">Vai executar ou refazer a rede hidráulica com da marca e quer instalação que preserve a garantia do fabricante.</t>
  </si>
  <si>
    <t xml:space="preserve">/marcas-e-sistemas/tubos-e-conexoes/[marca]/#instalacao-hidraulica</t>
  </si>
  <si>
    <t xml:space="preserve">Seção dentro da página da marca, com link para a página do serviço âncora.</t>
  </si>
  <si>
    <t xml:space="preserve">P004</t>
  </si>
  <si>
    <t xml:space="preserve">Troca de prumada com [marca]</t>
  </si>
  <si>
    <t xml:space="preserve">Condomínio ou proprietário com prumada antiga que quer substituir por tubulação da marca com o mínimo de quebra.</t>
  </si>
  <si>
    <t xml:space="preserve">/marcas-e-sistemas/tubos-e-conexoes/[marca]/#troca-prumada</t>
  </si>
  <si>
    <t xml:space="preserve">P005</t>
  </si>
  <si>
    <t xml:space="preserve">Laudo de vazamento em tubulação [marca]</t>
  </si>
  <si>
    <t xml:space="preserve">Tem vazamento em tubulação da marca e precisa saber se é defeito do produto ou da instalação para acionar garantia ou cobrar o executor.</t>
  </si>
  <si>
    <t xml:space="preserve">/marcas-e-sistemas/tubos-e-conexoes/[marca]/#laudo-vazamento-em-tubulacao</t>
  </si>
  <si>
    <t xml:space="preserve">P006</t>
  </si>
  <si>
    <t xml:space="preserve">Cimento [marca]</t>
  </si>
  <si>
    <t xml:space="preserve">Pessoa que tem, comprou ou avalia produtos de cimento e concreto de uma marca específica e procura quem projete, execute ou avalie com ela.</t>
  </si>
  <si>
    <t xml:space="preserve">/marcas-e-sistemas/cimento-e-concreto/[marca]/</t>
  </si>
  <si>
    <t xml:space="preserve">P007</t>
  </si>
  <si>
    <t xml:space="preserve">Estrutura de concreto com cimento [marca]</t>
  </si>
  <si>
    <t xml:space="preserve">Quer entender se o cimento da marca atende à especificação do projeto estrutural e como garantir a qualidade do concreto na obra.</t>
  </si>
  <si>
    <t xml:space="preserve">/marcas-e-sistemas/cimento-e-concreto/[marca]/#estrutura-concreto</t>
  </si>
  <si>
    <t xml:space="preserve">P008</t>
  </si>
  <si>
    <t xml:space="preserve">Laudo de resistência do concreto [marca]</t>
  </si>
  <si>
    <t xml:space="preserve">Desconfia da resistência do concreto executado com cimento da marca e precisa de ensaio e laudo para comprovar.</t>
  </si>
  <si>
    <t xml:space="preserve">/marcas-e-sistemas/cimento-e-concreto/[marca]/laudo-resistencia-concreto/</t>
  </si>
  <si>
    <t xml:space="preserve">P009</t>
  </si>
  <si>
    <t xml:space="preserve">Recuperação de concreto com [marca]</t>
  </si>
  <si>
    <t xml:space="preserve">Estrutura com patologia que precisa ser recuperada com produtos da marca especificados tecnicamente.</t>
  </si>
  <si>
    <t xml:space="preserve">/marcas-e-sistemas/cimento-e-concreto/[marca]/#recuperacao-concreto</t>
  </si>
  <si>
    <t xml:space="preserve">P010</t>
  </si>
  <si>
    <t xml:space="preserve">Aço [marca]</t>
  </si>
  <si>
    <t xml:space="preserve">Pessoa que tem, comprou ou avalia produtos de aço para construção de uma marca específica e procura quem projete, execute ou avalie com ela.</t>
  </si>
  <si>
    <t xml:space="preserve">/marcas-e-sistemas/aco-para-construcao/[marca]/</t>
  </si>
  <si>
    <t xml:space="preserve">P011</t>
  </si>
  <si>
    <t xml:space="preserve">Projeto estrutural com aço [marca]</t>
  </si>
  <si>
    <t xml:space="preserve">Quer projeto estrutural especificado com aço da marca, com otimização de consumo sem perder segurança.</t>
  </si>
  <si>
    <t xml:space="preserve">/marcas-e-sistemas/aco-para-construcao/[marca]/#projeto-estrutural</t>
  </si>
  <si>
    <t xml:space="preserve">P012</t>
  </si>
  <si>
    <t xml:space="preserve">Estrutura metálica com aço [marca]</t>
  </si>
  <si>
    <t xml:space="preserve">Avalia construir em estrutura metálica com perfis e aço da marca e procura quem projete e execute.</t>
  </si>
  <si>
    <t xml:space="preserve">/marcas-e-sistemas/aco-para-construcao/[marca]/estrutura-metalica/</t>
  </si>
  <si>
    <t xml:space="preserve">P013</t>
  </si>
  <si>
    <t xml:space="preserve">Laudo de corrosão em armadura [marca]</t>
  </si>
  <si>
    <t xml:space="preserve">/marcas-e-sistemas/aco-para-construcao/[marca]/#laudo-corrosao-em-armadura</t>
  </si>
  <si>
    <t xml:space="preserve">P014</t>
  </si>
  <si>
    <t xml:space="preserve">Reforço estrutural com aço [marca]</t>
  </si>
  <si>
    <t xml:space="preserve">Precisa reforçar viga, pilar ou laje com estrutura metálica em aço da marca.</t>
  </si>
  <si>
    <t xml:space="preserve">/marcas-e-sistemas/aco-para-construcao/[marca]/#reforco-estrutural</t>
  </si>
  <si>
    <t xml:space="preserve">P015</t>
  </si>
  <si>
    <t xml:space="preserve">Porcelanato [marca]</t>
  </si>
  <si>
    <t xml:space="preserve">Pessoa que tem, comprou ou avalia produtos de revestimentos cerâmicos de uma marca específica e procura quem projete, execute ou avalie com ela.</t>
  </si>
  <si>
    <t xml:space="preserve">/marcas-e-sistemas/revestimentos-ceramicos/[marca]/</t>
  </si>
  <si>
    <t xml:space="preserve">P016</t>
  </si>
  <si>
    <t xml:space="preserve">Assentamento de porcelanato [marca]</t>
  </si>
  <si>
    <t xml:space="preserve">Comprou porcelanato da marca, muitas vezes de grande formato, e quer assentamento perfeito que não comprometa a garantia.</t>
  </si>
  <si>
    <t xml:space="preserve">/marcas-e-sistemas/revestimentos-ceramicos/[marca]/assentamento-porcelanato/</t>
  </si>
  <si>
    <t xml:space="preserve">P017</t>
  </si>
  <si>
    <t xml:space="preserve">Laudo de descolamento de porcelanato [marca]</t>
  </si>
  <si>
    <t xml:space="preserve">Peças da marca soltando, trincando ou com som oco; quer saber se é defeito do produto ou do assentamento para acionar a garantia ou cobrar o executor.</t>
  </si>
  <si>
    <t xml:space="preserve">/marcas-e-sistemas/revestimentos-ceramicos/[marca]/laudo-descolamento-porcelanato/</t>
  </si>
  <si>
    <t xml:space="preserve">P018</t>
  </si>
  <si>
    <t xml:space="preserve">Reforma com porcelanato [marca]</t>
  </si>
  <si>
    <t xml:space="preserve">Está planejando reforma de alto padrão com revestimentos da marca e busca quem execute com acabamento à altura.</t>
  </si>
  <si>
    <t xml:space="preserve">/marcas-e-sistemas/revestimentos-ceramicos/[marca]/#reforma-com-porcelanato</t>
  </si>
  <si>
    <t xml:space="preserve">P019</t>
  </si>
  <si>
    <t xml:space="preserve">Revestimento de fachada [marca]</t>
  </si>
  <si>
    <t xml:space="preserve">Condomínio ou proprietário avaliando revestir ou trocar a fachada com cerâmica da marca.</t>
  </si>
  <si>
    <t xml:space="preserve">/marcas-e-sistemas/revestimentos-ceramicos/[marca]/#revestimento-fachada</t>
  </si>
  <si>
    <t xml:space="preserve">P020</t>
  </si>
  <si>
    <t xml:space="preserve">Metais [marca]</t>
  </si>
  <si>
    <t xml:space="preserve">Pessoa que tem, comprou ou avalia produtos de metais e louças de uma marca específica e procura quem projete, execute ou avalie com ela.</t>
  </si>
  <si>
    <t xml:space="preserve">/marcas-e-sistemas/metais-e-loucas/[marca]/</t>
  </si>
  <si>
    <t xml:space="preserve">P021</t>
  </si>
  <si>
    <t xml:space="preserve">Instalação de metais [marca]</t>
  </si>
  <si>
    <t xml:space="preserve">Comprou metais e louças da marca e quer instalação correta, sem vazamento e preservando a garantia.</t>
  </si>
  <si>
    <t xml:space="preserve">/marcas-e-sistemas/metais-e-loucas/[marca]/#instalacao-metais</t>
  </si>
  <si>
    <t xml:space="preserve">P022</t>
  </si>
  <si>
    <t xml:space="preserve">Reforma de banheiro com [marca]</t>
  </si>
  <si>
    <t xml:space="preserve">Quer reformar o banheiro com produtos da marca e procura quem entregue o padrão da marca na execução.</t>
  </si>
  <si>
    <t xml:space="preserve">/marcas-e-sistemas/metais-e-loucas/[marca]/reforma-banheiro/</t>
  </si>
  <si>
    <t xml:space="preserve">P023</t>
  </si>
  <si>
    <t xml:space="preserve">Laudo de vazamento em metais [marca]</t>
  </si>
  <si>
    <t xml:space="preserve">Tem vazamento ou falha em metal da marca e precisa comprovar a causa para acionar a garantia.</t>
  </si>
  <si>
    <t xml:space="preserve">/marcas-e-sistemas/metais-e-loucas/[marca]/#laudo-vazamento-em-metais</t>
  </si>
  <si>
    <t xml:space="preserve">P024</t>
  </si>
  <si>
    <t xml:space="preserve">Argamassa [marca]</t>
  </si>
  <si>
    <t xml:space="preserve">Pessoa que tem, comprou ou avalia produtos de argamassas e rejuntes de uma marca específica e procura quem projete, execute ou avalie com ela.</t>
  </si>
  <si>
    <t xml:space="preserve">/marcas-e-sistemas/argamassas-e-rejuntes/[marca]/</t>
  </si>
  <si>
    <t xml:space="preserve">P025</t>
  </si>
  <si>
    <t xml:space="preserve">Assentamento com argamassa [marca]</t>
  </si>
  <si>
    <t xml:space="preserve">Quer assentamento com a argamassa da marca indicada para o formato e o ambiente, evitando descolamento.</t>
  </si>
  <si>
    <t xml:space="preserve">/marcas-e-sistemas/argamassas-e-rejuntes/[marca]/#assentamento-com-argamassa</t>
  </si>
  <si>
    <t xml:space="preserve">P026</t>
  </si>
  <si>
    <t xml:space="preserve">Laudo de descolamento com argamassa [marca]</t>
  </si>
  <si>
    <t xml:space="preserve">Revestimento soltando com argamassa da marca; quer identificar se a falha é do produto, da especificação ou da aplicação.</t>
  </si>
  <si>
    <t xml:space="preserve">/marcas-e-sistemas/argamassas-e-rejuntes/[marca]/#laudo-descolamento-com-argamassa</t>
  </si>
  <si>
    <t xml:space="preserve">P027</t>
  </si>
  <si>
    <t xml:space="preserve">Impermeabilizante [marca]</t>
  </si>
  <si>
    <t xml:space="preserve">Pessoa que tem, comprou ou avalia produtos de impermeabilizantes de uma marca específica e procura quem projete, execute ou avalie com ela.</t>
  </si>
  <si>
    <t xml:space="preserve">/marcas-e-sistemas/impermeabilizantes/[marca]/</t>
  </si>
  <si>
    <t xml:space="preserve">P028</t>
  </si>
  <si>
    <t xml:space="preserve">Impermeabilização com [marca]</t>
  </si>
  <si>
    <t xml:space="preserve">Pesquisou o sistema da marca e quer aplicação tecnicamente correta, com garantia e sem voltar a infiltrar.</t>
  </si>
  <si>
    <t xml:space="preserve">/marcas-e-sistemas/impermeabilizantes/[marca]/impermeabilizacao/</t>
  </si>
  <si>
    <t xml:space="preserve">P029</t>
  </si>
  <si>
    <t xml:space="preserve">Impermeabilização de laje com [marca]</t>
  </si>
  <si>
    <t xml:space="preserve">Laje ou cobertura com infiltração que precisa de sistema da marca bem especificado e aplicado.</t>
  </si>
  <si>
    <t xml:space="preserve">/marcas-e-sistemas/impermeabilizantes/[marca]/#impermeabilizacao-laje</t>
  </si>
  <si>
    <t xml:space="preserve">P030</t>
  </si>
  <si>
    <t xml:space="preserve">Projeto de impermeabilização com [marca]</t>
  </si>
  <si>
    <t xml:space="preserve">Quer projeto que especifique os produtos da marca por área, evitando improviso na obra.</t>
  </si>
  <si>
    <t xml:space="preserve">/marcas-e-sistemas/impermeabilizantes/[marca]/#projeto-impermeabilizacao</t>
  </si>
  <si>
    <t xml:space="preserve">P031</t>
  </si>
  <si>
    <t xml:space="preserve">Laudo de falha de impermeabilização [marca]</t>
  </si>
  <si>
    <t xml:space="preserve">A impermeabilização com da marca falhou e é preciso saber se foi o produto ou a aplicação para cobrar o responsável.</t>
  </si>
  <si>
    <t xml:space="preserve">/marcas-e-sistemas/impermeabilizantes/[marca]/laudo-falha-impermeabilizacao/</t>
  </si>
  <si>
    <t xml:space="preserve">P032</t>
  </si>
  <si>
    <t xml:space="preserve">Tinta [marca]</t>
  </si>
  <si>
    <t xml:space="preserve">Pessoa que tem, comprou ou avalia produtos de tintas de uma marca específica e procura quem projete, execute ou avalie com ela.</t>
  </si>
  <si>
    <t xml:space="preserve">/marcas-e-sistemas/tintas/[marca]/</t>
  </si>
  <si>
    <t xml:space="preserve">P033</t>
  </si>
  <si>
    <t xml:space="preserve">Pintura de fachada [marca]</t>
  </si>
  <si>
    <t xml:space="preserve">Condomínio avaliando sistema de pintura da marca para a fachada e querendo especificação e fiscalização corretas.</t>
  </si>
  <si>
    <t xml:space="preserve">/marcas-e-sistemas/tintas/[marca]/#pintura-fachada</t>
  </si>
  <si>
    <t xml:space="preserve">P034</t>
  </si>
  <si>
    <t xml:space="preserve">Pintura de alto padrão [marca]</t>
  </si>
  <si>
    <t xml:space="preserve">Quer pintura interna impecável com produtos da marca e preparo de superfície correto.</t>
  </si>
  <si>
    <t xml:space="preserve">/marcas-e-sistemas/tintas/[marca]/#pintura-alto-padrao</t>
  </si>
  <si>
    <t xml:space="preserve">P035</t>
  </si>
  <si>
    <t xml:space="preserve">Laudo de pintura descascando [marca]</t>
  </si>
  <si>
    <t xml:space="preserve">Pintura com da marca descascando ou manchando; quer saber a causa antes de repintar.</t>
  </si>
  <si>
    <t xml:space="preserve">/marcas-e-sistemas/tintas/[marca]/#laudo-pintura-descascando</t>
  </si>
  <si>
    <t xml:space="preserve">P036</t>
  </si>
  <si>
    <t xml:space="preserve">Drywall [marca]</t>
  </si>
  <si>
    <t xml:space="preserve">Pessoa que tem, comprou ou avalia produtos de drywall e forros de uma marca específica e procura quem projete, execute ou avalie com ela.</t>
  </si>
  <si>
    <t xml:space="preserve">/marcas-e-sistemas/drywall-e-forros/[marca]/</t>
  </si>
  <si>
    <t xml:space="preserve">P037</t>
  </si>
  <si>
    <t xml:space="preserve">Execução de drywall [marca]</t>
  </si>
  <si>
    <t xml:space="preserve">Quer paredes com o sistema da marca executadas conforme o manual do fabricante.</t>
  </si>
  <si>
    <t xml:space="preserve">/marcas-e-sistemas/drywall-e-forros/[marca]/#execucao-drywall</t>
  </si>
  <si>
    <t xml:space="preserve">P038</t>
  </si>
  <si>
    <t xml:space="preserve">Forro de gesso [marca]</t>
  </si>
  <si>
    <t xml:space="preserve">Busca forro da marca com acabamento liso e integração com iluminação e ar-condicionado.</t>
  </si>
  <si>
    <t xml:space="preserve">/marcas-e-sistemas/drywall-e-forros/[marca]/#forro-gesso</t>
  </si>
  <si>
    <t xml:space="preserve">P039</t>
  </si>
  <si>
    <t xml:space="preserve">Isolamento acústico com [marca]</t>
  </si>
  <si>
    <t xml:space="preserve">Quer desempenho acústico real entre ambientes usando o sistema da marca.</t>
  </si>
  <si>
    <t xml:space="preserve">/marcas-e-sistemas/drywall-e-forros/[marca]/#isolamento-acustico</t>
  </si>
  <si>
    <t xml:space="preserve">P040</t>
  </si>
  <si>
    <t xml:space="preserve">Telhas [marca]</t>
  </si>
  <si>
    <t xml:space="preserve">Pessoa que tem, comprou ou avalia produtos de telhas e coberturas de uma marca específica e procura quem projete, execute ou avalie com ela.</t>
  </si>
  <si>
    <t xml:space="preserve">/marcas-e-sistemas/telhas-e-coberturas/[marca]/</t>
  </si>
  <si>
    <t xml:space="preserve">P041</t>
  </si>
  <si>
    <t xml:space="preserve">Reforma de telhado com [marca]</t>
  </si>
  <si>
    <t xml:space="preserve">Quer trocar ou reformar o telhado com telhas da marca e estrutura adequada.</t>
  </si>
  <si>
    <t xml:space="preserve">/marcas-e-sistemas/telhas-e-coberturas/[marca]/#reforma-telhado</t>
  </si>
  <si>
    <t xml:space="preserve">P042</t>
  </si>
  <si>
    <t xml:space="preserve">Laudo de telhado [marca]</t>
  </si>
  <si>
    <t xml:space="preserve">Telhado da marca com vazamento, telhas quebradas ou dano de vendaval; precisa de diagnóstico e, às vezes, de laudo para seguradora.</t>
  </si>
  <si>
    <t xml:space="preserve">/marcas-e-sistemas/telhas-e-coberturas/[marca]/#laudo-telhado</t>
  </si>
  <si>
    <t xml:space="preserve">P043</t>
  </si>
  <si>
    <t xml:space="preserve">Manutenção de telhado [marca]</t>
  </si>
  <si>
    <t xml:space="preserve">Quer manutenção preventiva do telhado da marca, sobretudo antes do verão e da temporada de chuvas.</t>
  </si>
  <si>
    <t xml:space="preserve">/marcas-e-sistemas/telhas-e-coberturas/[marca]/#manutencao-telhado</t>
  </si>
  <si>
    <t xml:space="preserve">P044</t>
  </si>
  <si>
    <t xml:space="preserve">Piso [marca]</t>
  </si>
  <si>
    <t xml:space="preserve">Pessoa que tem, comprou ou avalia produtos de pisos de madeira e vinílicos de uma marca específica e procura quem projete, execute ou avalie com ela.</t>
  </si>
  <si>
    <t xml:space="preserve">/marcas-e-sistemas/pisos-madeira-e-vinilicos/[marca]/</t>
  </si>
  <si>
    <t xml:space="preserve">P045</t>
  </si>
  <si>
    <t xml:space="preserve">Instalação de piso [marca]</t>
  </si>
  <si>
    <t xml:space="preserve">Escolheu piso da marca e quer instalação com contrapiso e umidade controlados.</t>
  </si>
  <si>
    <t xml:space="preserve">/marcas-e-sistemas/pisos-madeira-e-vinilicos/[marca]/#instalacao-piso</t>
  </si>
  <si>
    <t xml:space="preserve">P046</t>
  </si>
  <si>
    <t xml:space="preserve">Laudo de piso [marca] descolando</t>
  </si>
  <si>
    <t xml:space="preserve">Piso da marca descolando, empenando ou estufando; precisa saber a causa para acionar garantia.</t>
  </si>
  <si>
    <t xml:space="preserve">/marcas-e-sistemas/pisos-madeira-e-vinilicos/[marca]/#laudo-piso-descolando</t>
  </si>
  <si>
    <t xml:space="preserve">P047</t>
  </si>
  <si>
    <t xml:space="preserve">Superfície [marca]</t>
  </si>
  <si>
    <t xml:space="preserve">Pessoa que tem, comprou ou avalia produtos de superfícies e pedras de uma marca específica e procura quem projete, execute ou avalie com ela.</t>
  </si>
  <si>
    <t xml:space="preserve">/marcas-e-sistemas/superficies-e-pedras/[marca]/</t>
  </si>
  <si>
    <t xml:space="preserve">P048</t>
  </si>
  <si>
    <t xml:space="preserve">Bancada [marca]</t>
  </si>
  <si>
    <t xml:space="preserve">Especificou superfície da marca e quer instalação sem trincas, com apoio estrutural adequado.</t>
  </si>
  <si>
    <t xml:space="preserve">/marcas-e-sistemas/superficies-e-pedras/[marca]/#bancada</t>
  </si>
  <si>
    <t xml:space="preserve">P049</t>
  </si>
  <si>
    <t xml:space="preserve">Revestimento de fachada com [marca]</t>
  </si>
  <si>
    <t xml:space="preserve">Avalia fachada ventilada ou revestimento com placas da marca.</t>
  </si>
  <si>
    <t xml:space="preserve">/marcas-e-sistemas/superficies-e-pedras/[marca]/#revestimento-fachada</t>
  </si>
  <si>
    <t xml:space="preserve">P050</t>
  </si>
  <si>
    <t xml:space="preserve">Vidro [marca]</t>
  </si>
  <si>
    <t xml:space="preserve">Pessoa que tem, comprou ou avalia produtos de vidros de uma marca específica e procura quem projete, execute ou avalie com ela.</t>
  </si>
  <si>
    <t xml:space="preserve">/marcas-e-sistemas/vidros/[marca]/</t>
  </si>
  <si>
    <t xml:space="preserve">P051</t>
  </si>
  <si>
    <t xml:space="preserve">Instalação de vidros [marca]</t>
  </si>
  <si>
    <t xml:space="preserve">Quer instalar vidros da marca com controle solar e segurança em casa ou empresa.</t>
  </si>
  <si>
    <t xml:space="preserve">/marcas-e-sistemas/vidros/[marca]/#instalacao-vidros</t>
  </si>
  <si>
    <t xml:space="preserve">P052</t>
  </si>
  <si>
    <t xml:space="preserve">Pele de vidro [marca]</t>
  </si>
  <si>
    <t xml:space="preserve">Avalia fachada em pele de vidro com produtos da marca.</t>
  </si>
  <si>
    <t xml:space="preserve">/marcas-e-sistemas/vidros/[marca]/#pele-vidro</t>
  </si>
  <si>
    <t xml:space="preserve">P053</t>
  </si>
  <si>
    <t xml:space="preserve">Guarda-corpo de vidro [marca]</t>
  </si>
  <si>
    <t xml:space="preserve">Precisa de guarda-corpo de vidro da marca seguro e dentro da norma.</t>
  </si>
  <si>
    <t xml:space="preserve">/marcas-e-sistemas/vidros/[marca]/#guarda-corpo-vidro</t>
  </si>
  <si>
    <t xml:space="preserve">P054</t>
  </si>
  <si>
    <t xml:space="preserve">MDF [marca]</t>
  </si>
  <si>
    <t xml:space="preserve">Pessoa que tem, comprou ou avalia produtos de painéis de madeira de uma marca específica e procura quem projete, execute ou avalie com ela.</t>
  </si>
  <si>
    <t xml:space="preserve">/marcas-e-sistemas/paineis-madeira/[marca]/</t>
  </si>
  <si>
    <t xml:space="preserve">P055</t>
  </si>
  <si>
    <t xml:space="preserve">Marcenaria com MDF [marca]</t>
  </si>
  <si>
    <t xml:space="preserve">Marcenaria especificada com MDF da marca; quer gestão que garanta prazo, medidas e integração com a obra.</t>
  </si>
  <si>
    <t xml:space="preserve">/marcas-e-sistemas/paineis-madeira/[marca]/#marcenaria-com-mdf</t>
  </si>
  <si>
    <t xml:space="preserve">P056</t>
  </si>
  <si>
    <t xml:space="preserve">Elevador [marca]</t>
  </si>
  <si>
    <t xml:space="preserve">Pessoa que tem, comprou ou avalia produtos de elevadores de uma marca específica e procura quem projete, execute ou avalie com ela.</t>
  </si>
  <si>
    <t xml:space="preserve">/marcas-e-sistemas/elevadores/[marca]/</t>
  </si>
  <si>
    <t xml:space="preserve">P057</t>
  </si>
  <si>
    <t xml:space="preserve">Elevador residencial [marca]</t>
  </si>
  <si>
    <t xml:space="preserve">Quer instalar elevador da marca em casa, geralmente por acessibilidade, e precisa da obra civil e da viabilidade estrutural.</t>
  </si>
  <si>
    <t xml:space="preserve">/marcas-e-sistemas/elevadores/[marca]/elevador-residencial/</t>
  </si>
  <si>
    <t xml:space="preserve">P058</t>
  </si>
  <si>
    <t xml:space="preserve">Obra civil para elevador [marca]</t>
  </si>
  <si>
    <t xml:space="preserve">Já contratou o elevador da marca e precisa do poço, da casa de máquinas e dos ajustes estruturais.</t>
  </si>
  <si>
    <t xml:space="preserve">/marcas-e-sistemas/elevadores/[marca]/#obra-civil-para-elevador</t>
  </si>
  <si>
    <t xml:space="preserve">P059</t>
  </si>
  <si>
    <t xml:space="preserve">Projeto para elevador [marca]</t>
  </si>
  <si>
    <t xml:space="preserve">Precisa do projeto civil e estrutural compatível com o elevador da marca.</t>
  </si>
  <si>
    <t xml:space="preserve">/marcas-e-sistemas/elevadores/[marca]/#projeto-para-elevador</t>
  </si>
  <si>
    <t xml:space="preserve">P060</t>
  </si>
  <si>
    <t xml:space="preserve">Ar-condicionado [marca]</t>
  </si>
  <si>
    <t xml:space="preserve">Pessoa que tem, comprou ou avalia produtos de climatização de uma marca específica e procura quem projete, execute ou avalie com ela.</t>
  </si>
  <si>
    <t xml:space="preserve">/marcas-e-sistemas/climatizacao/[marca]/</t>
  </si>
  <si>
    <t xml:space="preserve">P061</t>
  </si>
  <si>
    <t xml:space="preserve">Infraestrutura para ar-condicionado [marca]</t>
  </si>
  <si>
    <t xml:space="preserve">Vai instalar equipamentos da marca e quer infraestrutura elétrica, drenos e tubulação embutidos na obra.</t>
  </si>
  <si>
    <t xml:space="preserve">/marcas-e-sistemas/climatizacao/[marca]/#infraestrutura-para-ar-condicionado</t>
  </si>
  <si>
    <t xml:space="preserve">P062</t>
  </si>
  <si>
    <t xml:space="preserve">Projeto de climatização com [marca]</t>
  </si>
  <si>
    <t xml:space="preserve">Quer projeto de climatização dimensionado para equipamentos da marca, integrado ao forro e à arquitetura.</t>
  </si>
  <si>
    <t xml:space="preserve">/marcas-e-sistemas/climatizacao/[marca]/#projeto-climatizacao</t>
  </si>
  <si>
    <t xml:space="preserve">P063</t>
  </si>
  <si>
    <t xml:space="preserve">Aquecedor [marca]</t>
  </si>
  <si>
    <t xml:space="preserve">Pessoa que tem, comprou ou avalia produtos de aquecimento a gás de uma marca específica e procura quem projete, execute ou avalie com ela.</t>
  </si>
  <si>
    <t xml:space="preserve">/marcas-e-sistemas/aquecimento-a-gas/[marca]/</t>
  </si>
  <si>
    <t xml:space="preserve">P064</t>
  </si>
  <si>
    <t xml:space="preserve">Instalação de aquecedor a gás [marca]</t>
  </si>
  <si>
    <t xml:space="preserve">Tem ou comprou aquecedor da marca e precisa de instalação segura, com exaustão e rede de gás adequadas.</t>
  </si>
  <si>
    <t xml:space="preserve">/marcas-e-sistemas/aquecimento-a-gas/[marca]/#instalacao-aquecedor-a-gas</t>
  </si>
  <si>
    <t xml:space="preserve">P065</t>
  </si>
  <si>
    <t xml:space="preserve">Projeto de água quente com [marca]</t>
  </si>
  <si>
    <t xml:space="preserve">Quer projeto de água quente dimensionado para o aquecedor da marca.</t>
  </si>
  <si>
    <t xml:space="preserve">/marcas-e-sistemas/aquecimento-a-gas/[marca]/#projeto-agua-quente</t>
  </si>
  <si>
    <t xml:space="preserve">P066</t>
  </si>
  <si>
    <t xml:space="preserve">Gerador [marca]</t>
  </si>
  <si>
    <t xml:space="preserve">Pessoa que tem, comprou ou avalia produtos de geradores de uma marca específica e procura quem projete, execute ou avalie com ela.</t>
  </si>
  <si>
    <t xml:space="preserve">/marcas-e-sistemas/geradores/[marca]/</t>
  </si>
  <si>
    <t xml:space="preserve">P067</t>
  </si>
  <si>
    <t xml:space="preserve">Instalação de gerador [marca]</t>
  </si>
  <si>
    <t xml:space="preserve">Precisa de autonomia energética com gerador da marca e busca projeto e instalação corretos.</t>
  </si>
  <si>
    <t xml:space="preserve">/marcas-e-sistemas/geradores/[marca]/#instalacao-gerador</t>
  </si>
  <si>
    <t xml:space="preserve">P068</t>
  </si>
  <si>
    <t xml:space="preserve">Projeto de gerador [marca]</t>
  </si>
  <si>
    <t xml:space="preserve">Quer projeto elétrico que integre o gerador da marca com segurança.</t>
  </si>
  <si>
    <t xml:space="preserve">/marcas-e-sistemas/geradores/[marca]/#projeto-gerador</t>
  </si>
  <si>
    <t xml:space="preserve">P069</t>
  </si>
  <si>
    <t xml:space="preserve">Energia solar [marca]</t>
  </si>
  <si>
    <t xml:space="preserve">Pessoa que tem, comprou ou avalia produtos de energia solar de uma marca específica e procura quem projete, execute ou avalie com ela.</t>
  </si>
  <si>
    <t xml:space="preserve">/marcas-e-sistemas/energia-solar/[marca]/</t>
  </si>
  <si>
    <t xml:space="preserve">P070</t>
  </si>
  <si>
    <t xml:space="preserve">Instalação de sistema fotovoltaico [marca]</t>
  </si>
  <si>
    <t xml:space="preserve">Comparando equipamentos da marca; quer instalação que não comprometa telhado nem impermeabilização.</t>
  </si>
  <si>
    <t xml:space="preserve">/marcas-e-sistemas/energia-solar/[marca]/#instalacao-sistema-fotovoltaico</t>
  </si>
  <si>
    <t xml:space="preserve">P071</t>
  </si>
  <si>
    <t xml:space="preserve">Laudo de telhado para energia solar [marca]</t>
  </si>
  <si>
    <t xml:space="preserve">Precisa confirmar que o telhado suporta os painéis da marca antes de instalar.</t>
  </si>
  <si>
    <t xml:space="preserve">/marcas-e-sistemas/energia-solar/[marca]/#laudo-telhado-para-energia-solar</t>
  </si>
  <si>
    <t xml:space="preserve">P072</t>
  </si>
  <si>
    <t xml:space="preserve">Automação [marca]</t>
  </si>
  <si>
    <t xml:space="preserve">Pessoa que tem, comprou ou avalia produtos de automação de uma marca específica e procura quem projete, execute ou avalie com ela.</t>
  </si>
  <si>
    <t xml:space="preserve">/marcas-e-sistemas/automacao/[marca]/</t>
  </si>
  <si>
    <t xml:space="preserve">P073</t>
  </si>
  <si>
    <t xml:space="preserve">Automação residencial [marca]</t>
  </si>
  <si>
    <t xml:space="preserve">Quer casa inteligente com o sistema da marca e infraestrutura planejada desde a obra.</t>
  </si>
  <si>
    <t xml:space="preserve">/marcas-e-sistemas/automacao/[marca]/#automacao-residencial</t>
  </si>
  <si>
    <t xml:space="preserve">P074</t>
  </si>
  <si>
    <t xml:space="preserve">Projeto de automação [marca]</t>
  </si>
  <si>
    <t xml:space="preserve">Precisa de projeto de infraestrutura compatível com o sistema da marca.</t>
  </si>
  <si>
    <t xml:space="preserve">/marcas-e-sistemas/automacao/[marca]/#projeto-automacao</t>
  </si>
  <si>
    <t xml:space="preserve">P075</t>
  </si>
  <si>
    <t xml:space="preserve">Segurança eletrônica [marca]</t>
  </si>
  <si>
    <t xml:space="preserve">Pessoa que tem, comprou ou avalia produtos de segurança eletrônica de uma marca específica e procura quem projete, execute ou avalie com ela.</t>
  </si>
  <si>
    <t xml:space="preserve">/marcas-e-sistemas/seguranca-eletronica/[marca]/</t>
  </si>
  <si>
    <t xml:space="preserve">P076</t>
  </si>
  <si>
    <t xml:space="preserve">Instalação de CFTV [marca]</t>
  </si>
  <si>
    <t xml:space="preserve">Quer câmeras da marca com cabeamento embutido e pontos planejados.</t>
  </si>
  <si>
    <t xml:space="preserve">/marcas-e-sistemas/seguranca-eletronica/[marca]/#instalacao-cftv</t>
  </si>
  <si>
    <t xml:space="preserve">P077</t>
  </si>
  <si>
    <t xml:space="preserve">Projeto de CFTV [marca]</t>
  </si>
  <si>
    <t xml:space="preserve">Precisa de projeto de segurança eletrônica com equipamentos da marca.</t>
  </si>
  <si>
    <t xml:space="preserve">/marcas-e-sistemas/seguranca-eletronica/[marca]/#projeto-cftv</t>
  </si>
  <si>
    <t xml:space="preserve">P078</t>
  </si>
  <si>
    <t xml:space="preserve">Material elétrico [marca]</t>
  </si>
  <si>
    <t xml:space="preserve">Pessoa que tem, comprou ou avalia produtos de material elétrico de uma marca específica e procura quem projete, execute ou avalie com ela.</t>
  </si>
  <si>
    <t xml:space="preserve">/marcas-e-sistemas/material-eletrico/[marca]/</t>
  </si>
  <si>
    <t xml:space="preserve">P079</t>
  </si>
  <si>
    <t xml:space="preserve">Quadro elétrico [marca]</t>
  </si>
  <si>
    <t xml:space="preserve">Vai trocar ou adequar o quadro com componentes da marca dentro da norma.</t>
  </si>
  <si>
    <t xml:space="preserve">/marcas-e-sistemas/material-eletrico/[marca]/#quadro-eletrico</t>
  </si>
  <si>
    <t xml:space="preserve">P080</t>
  </si>
  <si>
    <t xml:space="preserve">Reforma elétrica com [marca]</t>
  </si>
  <si>
    <t xml:space="preserve">Quer refazer a instalação elétrica com material da marca.</t>
  </si>
  <si>
    <t xml:space="preserve">/marcas-e-sistemas/material-eletrico/[marca]/#reforma-eletrica</t>
  </si>
  <si>
    <t xml:space="preserve">P081</t>
  </si>
  <si>
    <t xml:space="preserve">Equipamentos de piscina [marca]</t>
  </si>
  <si>
    <t xml:space="preserve">Pessoa que tem, comprou ou avalia produtos de piscinas de uma marca específica e procura quem projete, execute ou avalie com ela.</t>
  </si>
  <si>
    <t xml:space="preserve">/marcas-e-sistemas/piscinas/[marca]/</t>
  </si>
  <si>
    <t xml:space="preserve">P082</t>
  </si>
  <si>
    <t xml:space="preserve">Construção de piscina com [marca]</t>
  </si>
  <si>
    <t xml:space="preserve">Escolheu equipamentos da marca e precisa da obra civil, impermeabilização e casa de máquinas corretas.</t>
  </si>
  <si>
    <t xml:space="preserve">/marcas-e-sistemas/piscinas/[marca]/#construcao-piscina</t>
  </si>
  <si>
    <t xml:space="preserve">P083</t>
  </si>
  <si>
    <t xml:space="preserve">Reforma de piscina com [marca]</t>
  </si>
  <si>
    <t xml:space="preserve">Quer reformar a piscina e atualizar equipamentos para da marca.</t>
  </si>
  <si>
    <t xml:space="preserve">/marcas-e-sistemas/piscinas/[marca]/#reforma-piscina</t>
  </si>
  <si>
    <t xml:space="preserve">P084</t>
  </si>
  <si>
    <t xml:space="preserve">Construção em [sistema]</t>
  </si>
  <si>
    <t xml:space="preserve">Quer construir usando o sistema e procura quem tenha domínio técnico do sistema, com prazo e custo previsíveis.</t>
  </si>
  <si>
    <t xml:space="preserve">/marcas-e-sistemas/sistemas-construtivos/[sistema]/construcao/</t>
  </si>
  <si>
    <t xml:space="preserve">Steel frame, Wood frame, Estrutura metálica, Concreto armado, Alvenaria estrutural, Madeira laminada cruzada, Pré-moldado de concreto, Paredes de concreto, Concreto protendido, Construção a seco, Casa modular, Bloco de concreto celular, Painel de EPS, Tijolo ecológico</t>
  </si>
  <si>
    <t xml:space="preserve">P085</t>
  </si>
  <si>
    <t xml:space="preserve">Projeto em [sistema]</t>
  </si>
  <si>
    <t xml:space="preserve">Precisa de projeto estrutural e complementares compatíveis com o sistema.</t>
  </si>
  <si>
    <t xml:space="preserve">/marcas-e-sistemas/sistemas-construtivos/[sistema]/#projeto</t>
  </si>
  <si>
    <t xml:space="preserve">P086</t>
  </si>
  <si>
    <t xml:space="preserve">Custo de [sistema] por metro quadrado</t>
  </si>
  <si>
    <t xml:space="preserve">Compara o custo de o sistema com outros sistemas antes de decidir.</t>
  </si>
  <si>
    <t xml:space="preserve">/marcas-e-sistemas/sistemas-construtivos/[sistema]/#custo-por-metro-quadrado</t>
  </si>
  <si>
    <t xml:space="preserve">P087</t>
  </si>
  <si>
    <t xml:space="preserve">Laudo de [sistema]</t>
  </si>
  <si>
    <t xml:space="preserve">Tem imóvel em o sistema com patologia ou dúvida de desempenho e precisa de avaliação técnica.</t>
  </si>
  <si>
    <t xml:space="preserve">/marcas-e-sistemas/sistemas-construtivos/[sistema]/#laudo</t>
  </si>
  <si>
    <t xml:space="preserve">P088</t>
  </si>
  <si>
    <t xml:space="preserve">Reforma de imóvel em [sistema]</t>
  </si>
  <si>
    <t xml:space="preserve">Tem imóvel construído em o sistema e quer reformar ou ampliar sem comprometer o sistema.</t>
  </si>
  <si>
    <t xml:space="preserve">/marcas-e-sistemas/sistemas-construtivos/[sistema]/#reforma-imovel</t>
  </si>
  <si>
    <t xml:space="preserve">P089</t>
  </si>
  <si>
    <t xml:space="preserve">[sistema] vale a pena</t>
  </si>
  <si>
    <t xml:space="preserve">Topo de funil: pessoa comparando o sistema com outras soluções. Artigo neutro e técnico que leva à página do sistema.</t>
  </si>
  <si>
    <t xml:space="preserve">/blog/[sistema]-vale-a-pena/</t>
  </si>
  <si>
    <t xml:space="preserve">Artigo neutro e técnico que linka para a página do sistema.</t>
  </si>
  <si>
    <t xml:space="preserve">P090</t>
  </si>
  <si>
    <t xml:space="preserve">Execução de [sistema]</t>
  </si>
  <si>
    <t xml:space="preserve">Quer incluir o sistema na obra e procura quem execute com detalhamento técnico correto.</t>
  </si>
  <si>
    <t xml:space="preserve">/marcas-e-sistemas/sistemas-construtivos/[sistema]/execucao/</t>
  </si>
  <si>
    <t xml:space="preserve">Laje nervurada, Laje alveolar, Fachada ventilada, Telhado verde, Telhado shingle, Telha termoacústica</t>
  </si>
  <si>
    <t xml:space="preserve">P091</t>
  </si>
  <si>
    <t xml:space="preserve">Projeto de [sistema]</t>
  </si>
  <si>
    <t xml:space="preserve">Precisa de projeto e detalhamento de o sistema compatível com o restante da edificação.</t>
  </si>
  <si>
    <t xml:space="preserve">P092</t>
  </si>
  <si>
    <t xml:space="preserve">Compara o custo de o sistema com alternativas antes de decidir.</t>
  </si>
  <si>
    <t xml:space="preserve">P093</t>
  </si>
  <si>
    <t xml:space="preserve">Tem o sistema com falha ou dúvida de desempenho e precisa de avaliação técnica.</t>
  </si>
  <si>
    <t xml:space="preserve">P094</t>
  </si>
  <si>
    <t xml:space="preserve">Topo de funil: pessoa avaliando o sistema. Artigo neutro e técnico que leva à página do sistema.</t>
  </si>
  <si>
    <t xml:space="preserve">P095</t>
  </si>
  <si>
    <t xml:space="preserve">Companhias e operadoras</t>
  </si>
  <si>
    <t xml:space="preserve">Laudo de sinistro [marca]</t>
  </si>
  <si>
    <t xml:space="preserve">Segurado com dano no imóvel que precisa de laudo independente para comprovar e quantificar o prejuízo junto à da companhia, ou para contestar uma indenização negada ou reduzida.</t>
  </si>
  <si>
    <t xml:space="preserve">/laudos-tecnicos/laudo-sinistro/[marca]/</t>
  </si>
  <si>
    <t xml:space="preserve">Porto Seguro, Azul Seguros, Itaú Seguros, Bradesco Seguros, Caixa Seguradora, BB Seguros, Brasilseg, SulAmérica, Allianz, Tokio Marine, HDI Seguros, Yelum Seguros, Liberty Seguros, Mapfre, Zurich, Sompo Seguros, Chubb, AXA, Mitsui Sumitomo Seguros, Youse, Ezze Seguros, Fairfax Brasil, Sicredi Seguros</t>
  </si>
  <si>
    <t xml:space="preserve">Página própria para as companhias marcadas como destaque; demais como seção até haver demanda.</t>
  </si>
  <si>
    <t xml:space="preserve">P096</t>
  </si>
  <si>
    <t xml:space="preserve">Laudo técnico para seguro garantia [marca]</t>
  </si>
  <si>
    <t xml:space="preserve">Contratante ou construtora acionando seguro garantia de obra com a da companhia; precisa demonstrar tecnicamente o inadimplemento ou o dano.</t>
  </si>
  <si>
    <t xml:space="preserve">/laudos-tecnicos/laudo-sinistro/#[marca]</t>
  </si>
  <si>
    <t xml:space="preserve">Pottencial Seguradora, Junto Seguros</t>
  </si>
  <si>
    <t xml:space="preserve">P097</t>
  </si>
  <si>
    <t xml:space="preserve">Contestar laudo de regulação [marca]</t>
  </si>
  <si>
    <t xml:space="preserve">Recebeu um parecer da reguladora da companhia que considera injusto e quer uma segunda opinião técnica para contestar.</t>
  </si>
  <si>
    <t xml:space="preserve">/blog/contestar-laudo-regulacao-[marca]/</t>
  </si>
  <si>
    <t xml:space="preserve">Crawford, McLarens, Charles Taylor</t>
  </si>
  <si>
    <t xml:space="preserve">P098</t>
  </si>
  <si>
    <t xml:space="preserve">Laudo após atendimento [marca]</t>
  </si>
  <si>
    <t xml:space="preserve">Usou a assistência residencial da companhia para um reparo emergencial e percebe que o problema é maior e precisa de avaliação técnica.</t>
  </si>
  <si>
    <t xml:space="preserve">/blog/laudo-apos-atendimento-[marca]/</t>
  </si>
  <si>
    <t xml:space="preserve">Mondial Assistance, Europ Assistance</t>
  </si>
  <si>
    <t xml:space="preserve">P099</t>
  </si>
  <si>
    <t xml:space="preserve">Avaliação de imóvel para financiamento [marca]</t>
  </si>
  <si>
    <t xml:space="preserve">Precisa atender exigência do da companhia para financiar, ou discorda do valor atribuído pela avaliação do banco. Observação: bancos costumam usar avaliadores próprios; o laudo independente serve para contestação, planejamento e home equity.</t>
  </si>
  <si>
    <t xml:space="preserve">/pericias-e-avaliacoes/avaliacao-para-garantia-bancaria/[marca]/</t>
  </si>
  <si>
    <t xml:space="preserve">Caixa Econômica Federal, Banco do Brasil, Itaú, Bradesco, Santander, Sicredi, Sicoob, Banrisul, Banco Inter, BTG Pactual, Creditas</t>
  </si>
  <si>
    <t xml:space="preserve">P100</t>
  </si>
  <si>
    <t xml:space="preserve">Medição de obra para financiamento [marca]</t>
  </si>
  <si>
    <t xml:space="preserve">Está construindo com financiamento do da companhia e precisa de relatórios de medição e acompanhamento para liberar as parcelas.</t>
  </si>
  <si>
    <t xml:space="preserve">/gestao-de-obras/fiscalizacao-obra-para-banco/#[marca]</t>
  </si>
  <si>
    <t xml:space="preserve">Caixa Econômica Federal, Banco do Brasil, Sicredi, Sicoob, BRDE, Badesc</t>
  </si>
  <si>
    <t xml:space="preserve">P101</t>
  </si>
  <si>
    <t xml:space="preserve">Vistoria de entrega de apartamento [marca]</t>
  </si>
  <si>
    <t xml:space="preserve">Comprador de imóvel da da companhia prestes a receber as chaves que quer um engenheiro independente na vistoria de entrega.</t>
  </si>
  <si>
    <t xml:space="preserve">/vistorias-e-inspecoes/vistoria-entrega-apartamento/[marca]/</t>
  </si>
  <si>
    <t xml:space="preserve">Hantei, AMS Construtora, Cota Construtora, Dimas Construtora, Lumis Construtora, CFL Construtora, CSA Construtora, Cadema, Lev-Vel, Placon, Medlim, Elevaz, Construtora Maresia, Cardona, Império Real Construtora, Allianca Construtora, Priori Construtora, Habitasul, Rogga, FG Empreendimentos, Embraed, Pasqualotto</t>
  </si>
  <si>
    <t xml:space="preserve">P102</t>
  </si>
  <si>
    <t xml:space="preserve">Reforma de apartamento novo [marca]</t>
  </si>
  <si>
    <t xml:space="preserve">Acabou de receber um apartamento da da companhia e quer personalizar antes de mudar. Busca quem conheça o padrão construtivo e as regras do empreendimento.</t>
  </si>
  <si>
    <t xml:space="preserve">/blog/reforma-apartamento-novo-[marca]/</t>
  </si>
  <si>
    <t xml:space="preserve">Hantei, Cota Construtora, Dimas Construtora, CFL Construtora, CSA Construtora, Cadema</t>
  </si>
  <si>
    <t xml:space="preserve">P103</t>
  </si>
  <si>
    <t xml:space="preserve">Engenheiro para obra com material da [marca]</t>
  </si>
  <si>
    <t xml:space="preserve">Cliente comprando material na da companhia que procura mão de obra; baixa aderência ao posicionamento premium.</t>
  </si>
  <si>
    <t xml:space="preserve">Leroy Merlin, Cassol Centerlar, Koerich, Balaroti, Obramax</t>
  </si>
  <si>
    <t xml:space="preserve">Não criar página; apenas monitorar ou mencionar.</t>
  </si>
  <si>
    <t xml:space="preserve">P104</t>
  </si>
  <si>
    <t xml:space="preserve">Projeto de entrada de energia [marca]</t>
  </si>
  <si>
    <t xml:space="preserve">Precisa de ligação nova ou aumento de carga aprovado pela da companhia; o projeto é o que trava a obra ou a mudança.</t>
  </si>
  <si>
    <t xml:space="preserve">/projetos/projeto-entrada-energia/[marca]/</t>
  </si>
  <si>
    <t xml:space="preserve">P105</t>
  </si>
  <si>
    <t xml:space="preserve">Aumento de carga [marca]</t>
  </si>
  <si>
    <t xml:space="preserve">Vai instalar ar-condicionado, elevador, carregador ou piscina aquecida e precisa aumentar a carga junto à da companhia.</t>
  </si>
  <si>
    <t xml:space="preserve">/instalacoes/aumento-carga-eletrica/[marca]/</t>
  </si>
  <si>
    <t xml:space="preserve">P106</t>
  </si>
  <si>
    <t xml:space="preserve">Projeto hidrossanitário para [marca]</t>
  </si>
  <si>
    <t xml:space="preserve">Precisa de ligação de água e esgoto aprovada pela da companhia para concluir a obra ou obter habite-se.</t>
  </si>
  <si>
    <t xml:space="preserve">/projetos/projeto-hidrossanitario/[marca]/</t>
  </si>
  <si>
    <t xml:space="preserve">Casan, Companhia Águas de Joinville, SAMAE Blumenau</t>
  </si>
  <si>
    <t xml:space="preserve">P107</t>
  </si>
  <si>
    <t xml:space="preserve">Projeto de gás natural [marca]</t>
  </si>
  <si>
    <t xml:space="preserve">Quer ligar gás canalizado da da companhia e precisa de projeto e rede internos aprovados.</t>
  </si>
  <si>
    <t xml:space="preserve">/projetos/projeto-gas-natural/[marca]/</t>
  </si>
  <si>
    <t xml:space="preserve">P108</t>
  </si>
  <si>
    <t xml:space="preserve">Alvará de construção [marca]</t>
  </si>
  <si>
    <t xml:space="preserve">Precisa aprovar projeto e tirar alvará na da companhia; quer saber prazos, documentos e quem conduz o processo.</t>
  </si>
  <si>
    <t xml:space="preserve">/regularizacao/obtencao-alvara-construcao/[marca]/</t>
  </si>
  <si>
    <t xml:space="preserve">Prefeitura de Florianópolis, Prefeitura de São José, Prefeitura de Palhoça, Prefeitura de Biguaçu, Prefeitura de Governador Celso Ramos, Prefeitura de Joinville, Prefeitura de Blumenau, Prefeitura de Balneário Camboriú</t>
  </si>
  <si>
    <t xml:space="preserve">Página própria por município, com prazos, documentos e particularidades locais.</t>
  </si>
  <si>
    <t xml:space="preserve">P109</t>
  </si>
  <si>
    <t xml:space="preserve">Habite-se [marca]</t>
  </si>
  <si>
    <t xml:space="preserve">Terminou a obra e precisa do habite-se na da companhia para morar, averbar, vender ou financiar.</t>
  </si>
  <si>
    <t xml:space="preserve">/regularizacao/obtencao-habite-se/[marca]/</t>
  </si>
  <si>
    <t xml:space="preserve">Prefeitura de Florianópolis, Prefeitura de São José, Prefeitura de Palhoça</t>
  </si>
  <si>
    <t xml:space="preserve">P110</t>
  </si>
  <si>
    <t xml:space="preserve">Projeto preventivo aprovado no [marca]</t>
  </si>
  <si>
    <t xml:space="preserve">Está com processo parado ou reprovado no da companhia e precisa de projeto e acompanhamento até a aprovação.</t>
  </si>
  <si>
    <t xml:space="preserve">/regularizacao/aprovacao-no-corpo-bombeiros/[marca]/</t>
  </si>
  <si>
    <t xml:space="preserve">P111</t>
  </si>
  <si>
    <t xml:space="preserve">Licenciamento ambiental [marca]</t>
  </si>
  <si>
    <t xml:space="preserve">Obra ou terreno que depende de licença da da companhia; teme embargo e atraso.</t>
  </si>
  <si>
    <t xml:space="preserve">/regularizacao/licenciamento-ambiental-obra/#[marca]</t>
  </si>
  <si>
    <t xml:space="preserve">Floram, IMA</t>
  </si>
  <si>
    <t xml:space="preserve">P112</t>
  </si>
  <si>
    <t xml:space="preserve">Terreno de marinha [marca]</t>
  </si>
  <si>
    <t xml:space="preserve">Descobriu que o terreno pode estar em área da União administrada pela da companhia e quer entender impacto e regularização.</t>
  </si>
  <si>
    <t xml:space="preserve">/blog/terreno-marinha-[marca]/</t>
  </si>
  <si>
    <t xml:space="preserve">P113</t>
  </si>
  <si>
    <t xml:space="preserve">Plano diretor [marca]</t>
  </si>
  <si>
    <t xml:space="preserve">Quer saber o que pode construir no terreno segundo as regras do da companhia.</t>
  </si>
  <si>
    <t xml:space="preserve">/blog/plano-diretor-[marca]/</t>
  </si>
  <si>
    <t xml:space="preserve">P114</t>
  </si>
  <si>
    <t xml:space="preserve">CNO de obra [marca]</t>
  </si>
  <si>
    <t xml:space="preserve">Precisa inscrever a obra ou regularizar a situação previdenciária junto à da companhia para averbar a construção.</t>
  </si>
  <si>
    <t xml:space="preserve">/blog/cno-obra-[marca]/</t>
  </si>
  <si>
    <t xml:space="preserve">P115</t>
  </si>
  <si>
    <t xml:space="preserve">Contribuição de obra [marca]</t>
  </si>
  <si>
    <t xml:space="preserve">Descobriu que haverá cobrança previdenciária sobre a obra e quer entender como reduzir ou regularizar junto ao da companhia.</t>
  </si>
  <si>
    <t xml:space="preserve">/blog/contribuicao-obra-[marca]/</t>
  </si>
  <si>
    <t xml:space="preserve">P116</t>
  </si>
  <si>
    <t xml:space="preserve">Aprovação de clínica na [marca]</t>
  </si>
  <si>
    <t xml:space="preserve">Profissional de saúde que precisa aprovar o espaço na da companhia para abrir ou renovar licença.</t>
  </si>
  <si>
    <t xml:space="preserve">/regularizacao/regularizacao-junto-a-vigilancia-sanitaria/[marca]/</t>
  </si>
  <si>
    <t xml:space="preserve">P117</t>
  </si>
  <si>
    <t xml:space="preserve">Adequação à RDC 50 da [marca]</t>
  </si>
  <si>
    <t xml:space="preserve">Quer entender as exigências da da companhia para estabelecimentos de saúde antes de projetar ou reformar.</t>
  </si>
  <si>
    <t xml:space="preserve">/blog/adequacao-a-rdc-50-[marca]/</t>
  </si>
  <si>
    <t xml:space="preserve">P118</t>
  </si>
  <si>
    <t xml:space="preserve">Laudo técnico para [marca]</t>
  </si>
  <si>
    <t xml:space="preserve">Imóvel vistoriado ou notificado pela da companhia após evento climático ou risco; precisa de laudo para desinterditar ou comprovar segurança.</t>
  </si>
  <si>
    <t xml:space="preserve">/laudos-tecnicos/laudo-interdicao/#[marca]</t>
  </si>
  <si>
    <t xml:space="preserve">Defesa Civil de Florianópolis, Defesa Civil de Santa Catarina</t>
  </si>
  <si>
    <t xml:space="preserve">P119</t>
  </si>
  <si>
    <t xml:space="preserve">Averbação de construção no [marca]</t>
  </si>
  <si>
    <t xml:space="preserve">Precisa registrar a construção no da companhia para vender, financiar ou inventariar o imóvel.</t>
  </si>
  <si>
    <t xml:space="preserve">/blog/averbacao-construcao-no-[marca]/</t>
  </si>
  <si>
    <t xml:space="preserve">P120</t>
  </si>
  <si>
    <t xml:space="preserve">Laudo para reclamação no [marca]</t>
  </si>
  <si>
    <t xml:space="preserve">Consumidor em conflito com construtora ou prestador que quer sustentar a reclamação no da companhia com laudo técnico.</t>
  </si>
  <si>
    <t xml:space="preserve">/blog/laudo-para-reclamacao-no-[marca]/</t>
  </si>
  <si>
    <t xml:space="preserve">P121</t>
  </si>
  <si>
    <t xml:space="preserve">Assistente técnico em perícia no [marca]</t>
  </si>
  <si>
    <t xml:space="preserve">Advogado ou parte em processo no da companhia que precisa de engenheiro assistente técnico.</t>
  </si>
  <si>
    <t xml:space="preserve">/pericias-e-avaliacoes/assistencia-tecnica-em-pericia-judicial/#[marca]</t>
  </si>
  <si>
    <t xml:space="preserve">P122</t>
  </si>
  <si>
    <t xml:space="preserve">CUB SC [marca]</t>
  </si>
  <si>
    <t xml:space="preserve">Pesquisa o custo unitário básico divulgado pelo da companhia para estimar o investimento na obra. Termo de alto volume e ótimo para captar topo de funil.</t>
  </si>
  <si>
    <t xml:space="preserve">/blog/cub-sc-[marca]/</t>
  </si>
  <si>
    <t xml:space="preserve">P123</t>
  </si>
  <si>
    <t xml:space="preserve">Consultar engenheiro no [marca]</t>
  </si>
  <si>
    <t xml:space="preserve">Quer confirmar se o engenheiro ou a empresa tem registro ativo no da companhia antes de contratar.</t>
  </si>
  <si>
    <t xml:space="preserve">/consultoria/#[marca]</t>
  </si>
  <si>
    <t xml:space="preserve">CREA SC, Confea</t>
  </si>
  <si>
    <t xml:space="preserve">P124</t>
  </si>
  <si>
    <t xml:space="preserve">Perito avaliador [marca]</t>
  </si>
  <si>
    <t xml:space="preserve">Procura perito vinculado ao da companhia para dar credibilidade à avaliação ou perícia.</t>
  </si>
  <si>
    <t xml:space="preserve">/pericias-e-avaliacoes/avaliacao-imovel/#[marca]</t>
  </si>
  <si>
    <t xml:space="preserve">IBAPE, IBAPE SC</t>
  </si>
  <si>
    <t xml:space="preserve">P125</t>
  </si>
  <si>
    <t xml:space="preserve">Parceria com arquitetos [marca]</t>
  </si>
  <si>
    <t xml:space="preserve">Busca institucional sobre o da companhia; baixa intenção de contratação da Vaff.</t>
  </si>
  <si>
    <t xml:space="preserve">P126</t>
  </si>
  <si>
    <t xml:space="preserve">Construtora associada ao [marca]</t>
  </si>
  <si>
    <t xml:space="preserve">Quer uma empresa ligada à entidade da companhia como sinal de solidez.</t>
  </si>
  <si>
    <t xml:space="preserve">/construcao/construcao-casa-alto-padrao/#[marca]</t>
  </si>
  <si>
    <t xml:space="preserve">Sinduscon Grande Florianópolis, CBIC, Secovi</t>
  </si>
  <si>
    <t xml:space="preserve">P127</t>
  </si>
  <si>
    <t xml:space="preserve">Reforma para [marca] em Florianópolis</t>
  </si>
  <si>
    <t xml:space="preserve">Investidor que aluga pelo da companhia e quer reformar rápido, com acabamento durável e que gere boas avaliações.</t>
  </si>
  <si>
    <t xml:space="preserve">/reformas/reforma-para-locacao-por-temporada/[marca]/</t>
  </si>
  <si>
    <t xml:space="preserve">Airbnb, Booking</t>
  </si>
  <si>
    <t xml:space="preserve">P128</t>
  </si>
  <si>
    <t xml:space="preserve">Vistoria de imóvel [marca]</t>
  </si>
  <si>
    <t xml:space="preserve">Locador ou locatário em negociação pelo da companhia que quer vistoria técnica independente além da vistoria padrão da plataforma.</t>
  </si>
  <si>
    <t xml:space="preserve">/blog/vistoria-imovel-[marca]/</t>
  </si>
  <si>
    <t xml:space="preserve">QuintoAndar, Loft</t>
  </si>
  <si>
    <t xml:space="preserve">P129</t>
  </si>
  <si>
    <t xml:space="preserve">Vistoria de imóvel anunciado no [marca]</t>
  </si>
  <si>
    <t xml:space="preserve">Achou imóvel no da companhia e quer vistoriar antes de fechar; atender com a página de vistoria de compra.</t>
  </si>
  <si>
    <t xml:space="preserve">Zap Imóveis, Viva Real, OLX</t>
  </si>
  <si>
    <t xml:space="preserve">P130</t>
  </si>
  <si>
    <t xml:space="preserve">Engenheiro civil [marca]</t>
  </si>
  <si>
    <t xml:space="preserve">Busca por marketplace da companhia; público sensível a preço, fora do ICP. Apenas monitorar.</t>
  </si>
  <si>
    <t xml:space="preserve">GetNinjas, Cronoshare</t>
  </si>
  <si>
    <t xml:space="preserve">P131</t>
  </si>
  <si>
    <t xml:space="preserve">Construtora membro do [marca]</t>
  </si>
  <si>
    <t xml:space="preserve">Empresário da rede da companhia que valida a Vaff antes de contratar ou indicar. Vínculo real, pode ser citado abertamente.</t>
  </si>
  <si>
    <t xml:space="preserve">BNI, Clube M, ACIF, CDL Florianópolis, CASACOR Santa Catarina</t>
  </si>
  <si>
    <t xml:space="preserve">Camada</t>
  </si>
  <si>
    <t xml:space="preserve">Combinação</t>
  </si>
  <si>
    <t xml:space="preserve">Exemplo</t>
  </si>
  <si>
    <t xml:space="preserve">Onde estão as linhas</t>
  </si>
  <si>
    <t xml:space="preserve">Total de combinações</t>
  </si>
  <si>
    <t xml:space="preserve">Conteúdo único mínimo</t>
  </si>
  <si>
    <t xml:space="preserve">Serviço por cidade</t>
  </si>
  <si>
    <t xml:space="preserve">Serviço prioritário + cidade atendida</t>
  </si>
  <si>
    <t xml:space="preserve">Laudo estrutural São José</t>
  </si>
  <si>
    <t xml:space="preserve">Tabela abaixo</t>
  </si>
  <si>
    <t xml:space="preserve">Publicar apenas cidades com obra realizada ou demanda comprovada.</t>
  </si>
  <si>
    <t xml:space="preserve">Obras na cidade, regras da prefeitura, prazo de atendimento, depoimento local.</t>
  </si>
  <si>
    <t xml:space="preserve">Serviço por bairro</t>
  </si>
  <si>
    <t xml:space="preserve">Serviço de obra + bairro de alto padrão</t>
  </si>
  <si>
    <t xml:space="preserve">Reforma de casa Jurerê Internacional</t>
  </si>
  <si>
    <t xml:space="preserve">Publicar apenas bairros com obra da Vaff para mostrar.</t>
  </si>
  <si>
    <t xml:space="preserve">Obra no bairro com fotos, particularidades de solo, vizinhança e regras de condomínio.</t>
  </si>
  <si>
    <t xml:space="preserve">Marca de material por serviço</t>
  </si>
  <si>
    <t xml:space="preserve">Serviço + fabricante de material</t>
  </si>
  <si>
    <t xml:space="preserve">Página da marca sempre; página por serviço só para marcas em destaque.</t>
  </si>
  <si>
    <t xml:space="preserve">Especificação técnica, obra que usou a marca, cuidados de aplicação e garantia.</t>
  </si>
  <si>
    <t xml:space="preserve">Marca de equipamento por serviço</t>
  </si>
  <si>
    <t xml:space="preserve">Serviço + marca de equipamento</t>
  </si>
  <si>
    <t xml:space="preserve">Página da marca com serviços em seções.</t>
  </si>
  <si>
    <t xml:space="preserve">Obra civil necessária, compatibilização com projeto e caso real.</t>
  </si>
  <si>
    <t xml:space="preserve">Sistema construtivo por serviço</t>
  </si>
  <si>
    <t xml:space="preserve">Sistema + construção, projeto, custo, laudo ou reforma</t>
  </si>
  <si>
    <t xml:space="preserve">Página do sistema e página de construção no sistema; demais como seções.</t>
  </si>
  <si>
    <t xml:space="preserve">Comparativo honesto, custo relativo, clima de Florianópolis, obra no sistema.</t>
  </si>
  <si>
    <t xml:space="preserve">Seguradora por sinistro</t>
  </si>
  <si>
    <t xml:space="preserve">Laudo de sinistro + seguradora</t>
  </si>
  <si>
    <t xml:space="preserve">Página própria para as seguradoras em destaque.</t>
  </si>
  <si>
    <t xml:space="preserve">Passo a passo do sinistro, prazos, contraditório técnico, sem sugerir vínculo.</t>
  </si>
  <si>
    <t xml:space="preserve">Banco por avaliação e medição</t>
  </si>
  <si>
    <t xml:space="preserve">Avaliação ou medição + banco</t>
  </si>
  <si>
    <t xml:space="preserve">Página própria para bancos em destaque.</t>
  </si>
  <si>
    <t xml:space="preserve">Exigências do banco, contestação de avaliação, medição de obra.</t>
  </si>
  <si>
    <t xml:space="preserve">Construtora por vistoria</t>
  </si>
  <si>
    <t xml:space="preserve">Vistoria de entrega + construtora</t>
  </si>
  <si>
    <t xml:space="preserve">Página própria para construtoras com empreendimentos em entrega.</t>
  </si>
  <si>
    <t xml:space="preserve">Padrão construtivo, prazos de reclamação, checklist, sem juízo sobre a construtora.</t>
  </si>
  <si>
    <t xml:space="preserve">Órgão público por processo</t>
  </si>
  <si>
    <t xml:space="preserve">Processo + órgão</t>
  </si>
  <si>
    <t xml:space="preserve">Página por município para alvará e habite-se; demais como artigo ou seção.</t>
  </si>
  <si>
    <t xml:space="preserve">Documentos, prazos, etapas reais do processo no órgão.</t>
  </si>
  <si>
    <t xml:space="preserve">Concessionária por projeto</t>
  </si>
  <si>
    <t xml:space="preserve">Projeto + concessionária</t>
  </si>
  <si>
    <t xml:space="preserve">Página própria para Celesc e Casan.</t>
  </si>
  <si>
    <t xml:space="preserve">Etapas de aprovação, documentos e prazos da concessionária.</t>
  </si>
  <si>
    <t xml:space="preserve">COMBINAÇÕES DE SERVIÇO POR CIDADE E POR BAIRRO</t>
  </si>
  <si>
    <t xml:space="preserve">Serviço base</t>
  </si>
  <si>
    <t xml:space="preserve">Local</t>
  </si>
  <si>
    <t xml:space="preserve">Tipo de local</t>
  </si>
  <si>
    <t xml:space="preserve">Cidade</t>
  </si>
  <si>
    <t xml:space="preserve">Construção de casa de alto padrão Florianópolis</t>
  </si>
  <si>
    <t xml:space="preserve">Florianópolis é a praça principal: a própria página do serviço deve ser otimizada para a cidade, sem página local separada.</t>
  </si>
  <si>
    <t xml:space="preserve">Construção de casa de alto padrão São José</t>
  </si>
  <si>
    <t xml:space="preserve">Pessoa em São José buscando o serviço perto dela. Quer saber se a Vaff atende a cidade, se conhece as regras locais e se já tem obras na região.</t>
  </si>
  <si>
    <t xml:space="preserve">/construcao/construcao-casa-alto-padrao/sao-jose/</t>
  </si>
  <si>
    <t xml:space="preserve">Construção de casa de alto padrão Palhoça</t>
  </si>
  <si>
    <t xml:space="preserve">Pessoa em Palhoça buscando o serviço perto dela. Quer saber se a Vaff atende a cidade, se conhece as regras locais e se já tem obras na região.</t>
  </si>
  <si>
    <t xml:space="preserve">/construcao/construcao-casa-alto-padrao/palhoca/</t>
  </si>
  <si>
    <t xml:space="preserve">Construção de casa de alto padrão Biguaçu</t>
  </si>
  <si>
    <t xml:space="preserve">Pessoa em Biguaçu buscando o serviço perto dela. Quer saber se a Vaff atende a cidade, se conhece as regras locais e se já tem obras na região.</t>
  </si>
  <si>
    <t xml:space="preserve">/construcao/construcao-casa-alto-padrao/biguacu/</t>
  </si>
  <si>
    <t xml:space="preserve">Construção de casa de alto padrão Governador Celso Ramos</t>
  </si>
  <si>
    <t xml:space="preserve">Pessoa em Governador Celso Ramos buscando o serviço perto dela. Quer saber se a Vaff atende a cidade, se conhece as regras locais e se já tem obras na região.</t>
  </si>
  <si>
    <t xml:space="preserve">/construcao/construcao-casa-alto-padrao/governador-celso-ramos/</t>
  </si>
  <si>
    <t xml:space="preserve">Construção de casa de alto padrão Santo Amaro da Imperatriz</t>
  </si>
  <si>
    <t xml:space="preserve">Pessoa em Santo Amaro da Imperatriz buscando o serviço perto dela. Quer saber se a Vaff atende a cidade, se conhece as regras locais e se já tem obras na região.</t>
  </si>
  <si>
    <t xml:space="preserve">/construcao/construcao-casa-alto-padrao/santo-amaro-imperatriz/</t>
  </si>
  <si>
    <t xml:space="preserve">Construção de casa de alto padrão Balneário Camboriú</t>
  </si>
  <si>
    <t xml:space="preserve">Pessoa em Balneário Camboriú buscando o serviço perto dela. Quer saber se a Vaff atende a cidade, se conhece as regras locais e se já tem obras na região. Fora da Grande Florianópolis, a página deve deixar claro o porte mínimo de obra para compensar o deslocamento.</t>
  </si>
  <si>
    <t xml:space="preserve">/construcao/construcao-casa-alto-padrao/balneario-camboriu/</t>
  </si>
  <si>
    <t xml:space="preserve">Construção de casa de alto padrão Itajaí</t>
  </si>
  <si>
    <t xml:space="preserve">Pessoa em Itajaí buscando o serviço perto dela. Quer saber se a Vaff atende a cidade, se conhece as regras locais e se já tem obras na região. Fora da Grande Florianópolis, a página deve deixar claro o porte mínimo de obra para compensar o deslocamento.</t>
  </si>
  <si>
    <t xml:space="preserve">/construcao/construcao-casa-alto-padrao/itajai/</t>
  </si>
  <si>
    <t xml:space="preserve">Construção de casa de alto padrão Joinville</t>
  </si>
  <si>
    <t xml:space="preserve">Pessoa em Joinville buscando o serviço perto dela. Quer saber se a Vaff atende a cidade, se conhece as regras locais e se já tem obras na região. Fora da Grande Florianópolis, a página deve deixar claro o porte mínimo de obra para compensar o deslocamento.</t>
  </si>
  <si>
    <t xml:space="preserve">/construcao/construcao-casa-alto-padrao/joinville/</t>
  </si>
  <si>
    <t xml:space="preserve">Construção de casa de alto padrão Blumenau</t>
  </si>
  <si>
    <t xml:space="preserve">Pessoa em Blumenau buscando o serviço perto dela. Quer saber se a Vaff atende a cidade, se conhece as regras locais e se já tem obras na região. Fora da Grande Florianópolis, a página deve deixar claro o porte mínimo de obra para compensar o deslocamento.</t>
  </si>
  <si>
    <t xml:space="preserve">/construcao/construcao-casa-alto-padrao/blumenau/</t>
  </si>
  <si>
    <t xml:space="preserve">Construção de casa de alto padrão Itapema</t>
  </si>
  <si>
    <t xml:space="preserve">Pessoa em Itapema buscando o serviço perto dela. Quer saber se a Vaff atende a cidade, se conhece as regras locais e se já tem obras na região. Fora da Grande Florianópolis, a página deve deixar claro o porte mínimo de obra para compensar o deslocamento.</t>
  </si>
  <si>
    <t xml:space="preserve">/construcao/construcao-casa-alto-padrao/itapema/</t>
  </si>
  <si>
    <t xml:space="preserve">Reforma de apartamento de alto padrão Florianópolis</t>
  </si>
  <si>
    <t xml:space="preserve">Reforma de apartamento de alto padrão São José</t>
  </si>
  <si>
    <t xml:space="preserve">/reformas/reforma-apartamento-alto-padrao/sao-jose/</t>
  </si>
  <si>
    <t xml:space="preserve">Reforma de apartamento de alto padrão Palhoça</t>
  </si>
  <si>
    <t xml:space="preserve">/reformas/reforma-apartamento-alto-padrao/palhoca/</t>
  </si>
  <si>
    <t xml:space="preserve">Reforma de apartamento de alto padrão Biguaçu</t>
  </si>
  <si>
    <t xml:space="preserve">/reformas/reforma-apartamento-alto-padrao/biguacu/</t>
  </si>
  <si>
    <t xml:space="preserve">Reforma de apartamento de alto padrão Governador Celso Ramos</t>
  </si>
  <si>
    <t xml:space="preserve">/reformas/reforma-apartamento-alto-padrao/governador-celso-ramos/</t>
  </si>
  <si>
    <t xml:space="preserve">Reforma de apartamento de alto padrão Santo Amaro da Imperatriz</t>
  </si>
  <si>
    <t xml:space="preserve">/reformas/reforma-apartamento-alto-padrao/santo-amaro-imperatriz/</t>
  </si>
  <si>
    <t xml:space="preserve">Reforma de apartamento de alto padrão Balneário Camboriú</t>
  </si>
  <si>
    <t xml:space="preserve">/reformas/reforma-apartamento-alto-padrao/balneario-camboriu/</t>
  </si>
  <si>
    <t xml:space="preserve">Reforma de apartamento de alto padrão Itajaí</t>
  </si>
  <si>
    <t xml:space="preserve">/reformas/reforma-apartamento-alto-padrao/itajai/</t>
  </si>
  <si>
    <t xml:space="preserve">Reforma de apartamento de alto padrão Joinville</t>
  </si>
  <si>
    <t xml:space="preserve">/reformas/reforma-apartamento-alto-padrao/joinville/</t>
  </si>
  <si>
    <t xml:space="preserve">Reforma de apartamento de alto padrão Blumenau</t>
  </si>
  <si>
    <t xml:space="preserve">/reformas/reforma-apartamento-alto-padrao/blumenau/</t>
  </si>
  <si>
    <t xml:space="preserve">Reforma de apartamento de alto padrão Itapema</t>
  </si>
  <si>
    <t xml:space="preserve">/reformas/reforma-apartamento-alto-padrao/itapema/</t>
  </si>
  <si>
    <t xml:space="preserve">Reforma de casa Florianópolis</t>
  </si>
  <si>
    <t xml:space="preserve">Reforma de casa São José</t>
  </si>
  <si>
    <t xml:space="preserve">/reformas/reforma-casa/sao-jose/</t>
  </si>
  <si>
    <t xml:space="preserve">Reforma de casa Palhoça</t>
  </si>
  <si>
    <t xml:space="preserve">/reformas/reforma-casa/palhoca/</t>
  </si>
  <si>
    <t xml:space="preserve">Reforma de casa Biguaçu</t>
  </si>
  <si>
    <t xml:space="preserve">/reformas/reforma-casa/biguacu/</t>
  </si>
  <si>
    <t xml:space="preserve">Reforma de casa Governador Celso Ramos</t>
  </si>
  <si>
    <t xml:space="preserve">/reformas/reforma-casa/governador-celso-ramos/</t>
  </si>
  <si>
    <t xml:space="preserve">Reforma de casa Santo Amaro da Imperatriz</t>
  </si>
  <si>
    <t xml:space="preserve">/reformas/reforma-casa/santo-amaro-imperatriz/</t>
  </si>
  <si>
    <t xml:space="preserve">Reforma de casa Balneário Camboriú</t>
  </si>
  <si>
    <t xml:space="preserve">/reformas/reforma-casa/balneario-camboriu/</t>
  </si>
  <si>
    <t xml:space="preserve">Reforma de casa Itajaí</t>
  </si>
  <si>
    <t xml:space="preserve">/reformas/reforma-casa/itajai/</t>
  </si>
  <si>
    <t xml:space="preserve">Reforma de casa Joinville</t>
  </si>
  <si>
    <t xml:space="preserve">/reformas/reforma-casa/joinville/</t>
  </si>
  <si>
    <t xml:space="preserve">Reforma de casa Blumenau</t>
  </si>
  <si>
    <t xml:space="preserve">/reformas/reforma-casa/blumenau/</t>
  </si>
  <si>
    <t xml:space="preserve">Reforma de casa Itapema</t>
  </si>
  <si>
    <t xml:space="preserve">/reformas/reforma-casa/itapema/</t>
  </si>
  <si>
    <t xml:space="preserve">Gestão de obras residenciais Florianópolis</t>
  </si>
  <si>
    <t xml:space="preserve">Gestão de obras residenciais São José</t>
  </si>
  <si>
    <t xml:space="preserve">/gestao-de-obras/gestao-obras-residenciais/sao-jose/</t>
  </si>
  <si>
    <t xml:space="preserve">Gestão de obras residenciais Palhoça</t>
  </si>
  <si>
    <t xml:space="preserve">/gestao-de-obras/gestao-obras-residenciais/palhoca/</t>
  </si>
  <si>
    <t xml:space="preserve">Gestão de obras residenciais Biguaçu</t>
  </si>
  <si>
    <t xml:space="preserve">/gestao-de-obras/gestao-obras-residenciais/biguacu/</t>
  </si>
  <si>
    <t xml:space="preserve">Gestão de obras residenciais Governador Celso Ramos</t>
  </si>
  <si>
    <t xml:space="preserve">/gestao-de-obras/gestao-obras-residenciais/governador-celso-ramos/</t>
  </si>
  <si>
    <t xml:space="preserve">Gestão de obras residenciais Santo Amaro da Imperatriz</t>
  </si>
  <si>
    <t xml:space="preserve">/gestao-de-obras/gestao-obras-residenciais/santo-amaro-imperatriz/</t>
  </si>
  <si>
    <t xml:space="preserve">Gestão de obras residenciais Balneário Camboriú</t>
  </si>
  <si>
    <t xml:space="preserve">/gestao-de-obras/gestao-obras-residenciais/balneario-camboriu/</t>
  </si>
  <si>
    <t xml:space="preserve">Gestão de obras residenciais Itajaí</t>
  </si>
  <si>
    <t xml:space="preserve">/gestao-de-obras/gestao-obras-residenciais/itajai/</t>
  </si>
  <si>
    <t xml:space="preserve">Gestão de obras residenciais Joinville</t>
  </si>
  <si>
    <t xml:space="preserve">/gestao-de-obras/gestao-obras-residenciais/joinville/</t>
  </si>
  <si>
    <t xml:space="preserve">Gestão de obras residenciais Blumenau</t>
  </si>
  <si>
    <t xml:space="preserve">/gestao-de-obras/gestao-obras-residenciais/blumenau/</t>
  </si>
  <si>
    <t xml:space="preserve">Gestão de obras residenciais Itapema</t>
  </si>
  <si>
    <t xml:space="preserve">/gestao-de-obras/gestao-obras-residenciais/itapema/</t>
  </si>
  <si>
    <t xml:space="preserve">Laudo estrutural Florianópolis</t>
  </si>
  <si>
    <t xml:space="preserve">/laudos-tecnicos/laudo-estrutural/sao-jose/</t>
  </si>
  <si>
    <t xml:space="preserve">Laudo estrutural Palhoça</t>
  </si>
  <si>
    <t xml:space="preserve">/laudos-tecnicos/laudo-estrutural/palhoca/</t>
  </si>
  <si>
    <t xml:space="preserve">Laudo estrutural Biguaçu</t>
  </si>
  <si>
    <t xml:space="preserve">/laudos-tecnicos/laudo-estrutural/biguacu/</t>
  </si>
  <si>
    <t xml:space="preserve">Laudo estrutural Governador Celso Ramos</t>
  </si>
  <si>
    <t xml:space="preserve">/laudos-tecnicos/laudo-estrutural/governador-celso-ramos/</t>
  </si>
  <si>
    <t xml:space="preserve">Laudo estrutural Santo Amaro da Imperatriz</t>
  </si>
  <si>
    <t xml:space="preserve">/laudos-tecnicos/laudo-estrutural/santo-amaro-imperatriz/</t>
  </si>
  <si>
    <t xml:space="preserve">Laudo estrutural Balneário Camboriú</t>
  </si>
  <si>
    <t xml:space="preserve">/laudos-tecnicos/laudo-estrutural/balneario-camboriu/</t>
  </si>
  <si>
    <t xml:space="preserve">Laudo estrutural Itajaí</t>
  </si>
  <si>
    <t xml:space="preserve">/laudos-tecnicos/laudo-estrutural/itajai/</t>
  </si>
  <si>
    <t xml:space="preserve">Laudo estrutural Joinville</t>
  </si>
  <si>
    <t xml:space="preserve">/laudos-tecnicos/laudo-estrutural/joinville/</t>
  </si>
  <si>
    <t xml:space="preserve">Laudo estrutural Blumenau</t>
  </si>
  <si>
    <t xml:space="preserve">/laudos-tecnicos/laudo-estrutural/blumenau/</t>
  </si>
  <si>
    <t xml:space="preserve">Laudo estrutural Itapema</t>
  </si>
  <si>
    <t xml:space="preserve">/laudos-tecnicos/laudo-estrutural/itapema/</t>
  </si>
  <si>
    <t xml:space="preserve">Laudo de rachaduras Florianópolis</t>
  </si>
  <si>
    <t xml:space="preserve">Laudo de rachaduras São José</t>
  </si>
  <si>
    <t xml:space="preserve">/laudos-tecnicos/laudo-rachaduras/sao-jose/</t>
  </si>
  <si>
    <t xml:space="preserve">Laudo de rachaduras Palhoça</t>
  </si>
  <si>
    <t xml:space="preserve">/laudos-tecnicos/laudo-rachaduras/palhoca/</t>
  </si>
  <si>
    <t xml:space="preserve">Laudo de rachaduras Biguaçu</t>
  </si>
  <si>
    <t xml:space="preserve">/laudos-tecnicos/laudo-rachaduras/biguacu/</t>
  </si>
  <si>
    <t xml:space="preserve">Laudo de rachaduras Governador Celso Ramos</t>
  </si>
  <si>
    <t xml:space="preserve">/laudos-tecnicos/laudo-rachaduras/governador-celso-ramos/</t>
  </si>
  <si>
    <t xml:space="preserve">Laudo de rachaduras Santo Amaro da Imperatriz</t>
  </si>
  <si>
    <t xml:space="preserve">/laudos-tecnicos/laudo-rachaduras/santo-amaro-imperatriz/</t>
  </si>
  <si>
    <t xml:space="preserve">Laudo de rachaduras Balneário Camboriú</t>
  </si>
  <si>
    <t xml:space="preserve">/laudos-tecnicos/laudo-rachaduras/balneario-camboriu/</t>
  </si>
  <si>
    <t xml:space="preserve">Laudo de rachaduras Itajaí</t>
  </si>
  <si>
    <t xml:space="preserve">/laudos-tecnicos/laudo-rachaduras/itajai/</t>
  </si>
  <si>
    <t xml:space="preserve">Laudo de rachaduras Joinville</t>
  </si>
  <si>
    <t xml:space="preserve">/laudos-tecnicos/laudo-rachaduras/joinville/</t>
  </si>
  <si>
    <t xml:space="preserve">Laudo de rachaduras Blumenau</t>
  </si>
  <si>
    <t xml:space="preserve">/laudos-tecnicos/laudo-rachaduras/blumenau/</t>
  </si>
  <si>
    <t xml:space="preserve">Laudo de rachaduras Itapema</t>
  </si>
  <si>
    <t xml:space="preserve">/laudos-tecnicos/laudo-rachaduras/itapema/</t>
  </si>
  <si>
    <t xml:space="preserve">Laudo de infiltração Florianópolis</t>
  </si>
  <si>
    <t xml:space="preserve">Laudo de infiltração São José</t>
  </si>
  <si>
    <t xml:space="preserve">/laudos-tecnicos/laudo-infiltracao/sao-jose/</t>
  </si>
  <si>
    <t xml:space="preserve">Laudo de infiltração Palhoça</t>
  </si>
  <si>
    <t xml:space="preserve">/laudos-tecnicos/laudo-infiltracao/palhoca/</t>
  </si>
  <si>
    <t xml:space="preserve">Laudo de infiltração Biguaçu</t>
  </si>
  <si>
    <t xml:space="preserve">/laudos-tecnicos/laudo-infiltracao/biguacu/</t>
  </si>
  <si>
    <t xml:space="preserve">Laudo de infiltração Governador Celso Ramos</t>
  </si>
  <si>
    <t xml:space="preserve">/laudos-tecnicos/laudo-infiltracao/governador-celso-ramos/</t>
  </si>
  <si>
    <t xml:space="preserve">Laudo de infiltração Santo Amaro da Imperatriz</t>
  </si>
  <si>
    <t xml:space="preserve">/laudos-tecnicos/laudo-infiltracao/santo-amaro-imperatriz/</t>
  </si>
  <si>
    <t xml:space="preserve">Laudo de infiltração Balneário Camboriú</t>
  </si>
  <si>
    <t xml:space="preserve">/laudos-tecnicos/laudo-infiltracao/balneario-camboriu/</t>
  </si>
  <si>
    <t xml:space="preserve">Laudo de infiltração Itajaí</t>
  </si>
  <si>
    <t xml:space="preserve">/laudos-tecnicos/laudo-infiltracao/itajai/</t>
  </si>
  <si>
    <t xml:space="preserve">Laudo de infiltração Joinville</t>
  </si>
  <si>
    <t xml:space="preserve">/laudos-tecnicos/laudo-infiltracao/joinville/</t>
  </si>
  <si>
    <t xml:space="preserve">Laudo de infiltração Blumenau</t>
  </si>
  <si>
    <t xml:space="preserve">/laudos-tecnicos/laudo-infiltracao/blumenau/</t>
  </si>
  <si>
    <t xml:space="preserve">Laudo de infiltração Itapema</t>
  </si>
  <si>
    <t xml:space="preserve">/laudos-tecnicos/laudo-infiltracao/itapema/</t>
  </si>
  <si>
    <t xml:space="preserve">Vistoria de entrega de apartamento Florianópolis</t>
  </si>
  <si>
    <t xml:space="preserve">Vistoria de entrega de apartamento São José</t>
  </si>
  <si>
    <t xml:space="preserve">/vistorias-e-inspecoes/vistoria-entrega-apartamento/sao-jose/</t>
  </si>
  <si>
    <t xml:space="preserve">Vistoria de entrega de apartamento Palhoça</t>
  </si>
  <si>
    <t xml:space="preserve">/vistorias-e-inspecoes/vistoria-entrega-apartamento/palhoca/</t>
  </si>
  <si>
    <t xml:space="preserve">Vistoria de entrega de apartamento Biguaçu</t>
  </si>
  <si>
    <t xml:space="preserve">/vistorias-e-inspecoes/vistoria-entrega-apartamento/biguacu/</t>
  </si>
  <si>
    <t xml:space="preserve">Vistoria de entrega de apartamento Governador Celso Ramos</t>
  </si>
  <si>
    <t xml:space="preserve">/vistorias-e-inspecoes/vistoria-entrega-apartamento/governador-celso-ramos/</t>
  </si>
  <si>
    <t xml:space="preserve">Vistoria de entrega de apartamento Santo Amaro da Imperatriz</t>
  </si>
  <si>
    <t xml:space="preserve">/vistorias-e-inspecoes/vistoria-entrega-apartamento/santo-amaro-imperatriz/</t>
  </si>
  <si>
    <t xml:space="preserve">Vistoria de entrega de apartamento Balneário Camboriú</t>
  </si>
  <si>
    <t xml:space="preserve">/vistorias-e-inspecoes/vistoria-entrega-apartamento/balneario-camboriu/</t>
  </si>
  <si>
    <t xml:space="preserve">Vistoria de entrega de apartamento Itajaí</t>
  </si>
  <si>
    <t xml:space="preserve">/vistorias-e-inspecoes/vistoria-entrega-apartamento/itajai/</t>
  </si>
  <si>
    <t xml:space="preserve">Vistoria de entrega de apartamento Joinville</t>
  </si>
  <si>
    <t xml:space="preserve">/vistorias-e-inspecoes/vistoria-entrega-apartamento/joinville/</t>
  </si>
  <si>
    <t xml:space="preserve">Vistoria de entrega de apartamento Blumenau</t>
  </si>
  <si>
    <t xml:space="preserve">/vistorias-e-inspecoes/vistoria-entrega-apartamento/blumenau/</t>
  </si>
  <si>
    <t xml:space="preserve">Vistoria de entrega de apartamento Itapema</t>
  </si>
  <si>
    <t xml:space="preserve">/vistorias-e-inspecoes/vistoria-entrega-apartamento/itapema/</t>
  </si>
  <si>
    <t xml:space="preserve">Inspeção predial Florianópolis</t>
  </si>
  <si>
    <t xml:space="preserve">Inspeção predial São José</t>
  </si>
  <si>
    <t xml:space="preserve">/vistorias-e-inspecoes/inspecao-predial/sao-jose/</t>
  </si>
  <si>
    <t xml:space="preserve">Inspeção predial Palhoça</t>
  </si>
  <si>
    <t xml:space="preserve">/vistorias-e-inspecoes/inspecao-predial/palhoca/</t>
  </si>
  <si>
    <t xml:space="preserve">Inspeção predial Biguaçu</t>
  </si>
  <si>
    <t xml:space="preserve">/vistorias-e-inspecoes/inspecao-predial/biguacu/</t>
  </si>
  <si>
    <t xml:space="preserve">Inspeção predial Governador Celso Ramos</t>
  </si>
  <si>
    <t xml:space="preserve">/vistorias-e-inspecoes/inspecao-predial/governador-celso-ramos/</t>
  </si>
  <si>
    <t xml:space="preserve">Inspeção predial Santo Amaro da Imperatriz</t>
  </si>
  <si>
    <t xml:space="preserve">/vistorias-e-inspecoes/inspecao-predial/santo-amaro-imperatriz/</t>
  </si>
  <si>
    <t xml:space="preserve">Inspeção predial Balneário Camboriú</t>
  </si>
  <si>
    <t xml:space="preserve">/vistorias-e-inspecoes/inspecao-predial/balneario-camboriu/</t>
  </si>
  <si>
    <t xml:space="preserve">Inspeção predial Itajaí</t>
  </si>
  <si>
    <t xml:space="preserve">/vistorias-e-inspecoes/inspecao-predial/itajai/</t>
  </si>
  <si>
    <t xml:space="preserve">Inspeção predial Joinville</t>
  </si>
  <si>
    <t xml:space="preserve">/vistorias-e-inspecoes/inspecao-predial/joinville/</t>
  </si>
  <si>
    <t xml:space="preserve">Inspeção predial Blumenau</t>
  </si>
  <si>
    <t xml:space="preserve">/vistorias-e-inspecoes/inspecao-predial/blumenau/</t>
  </si>
  <si>
    <t xml:space="preserve">Inspeção predial Itapema</t>
  </si>
  <si>
    <t xml:space="preserve">/vistorias-e-inspecoes/inspecao-predial/itapema/</t>
  </si>
  <si>
    <t xml:space="preserve">Fiscalização de obras de condomínio Florianópolis</t>
  </si>
  <si>
    <t xml:space="preserve">Fiscalização de obras de condomínio São José</t>
  </si>
  <si>
    <t xml:space="preserve">/condominios/fiscalizacao-obras-condominio/sao-jose/</t>
  </si>
  <si>
    <t xml:space="preserve">Fiscalização de obras de condomínio Palhoça</t>
  </si>
  <si>
    <t xml:space="preserve">/condominios/fiscalizacao-obras-condominio/palhoca/</t>
  </si>
  <si>
    <t xml:space="preserve">Fiscalização de obras de condomínio Biguaçu</t>
  </si>
  <si>
    <t xml:space="preserve">/condominios/fiscalizacao-obras-condominio/biguacu/</t>
  </si>
  <si>
    <t xml:space="preserve">Fiscalização de obras de condomínio Governador Celso Ramos</t>
  </si>
  <si>
    <t xml:space="preserve">/condominios/fiscalizacao-obras-condominio/governador-celso-ramos/</t>
  </si>
  <si>
    <t xml:space="preserve">Fiscalização de obras de condomínio Santo Amaro da Imperatriz</t>
  </si>
  <si>
    <t xml:space="preserve">/condominios/fiscalizacao-obras-condominio/santo-amaro-imperatriz/</t>
  </si>
  <si>
    <t xml:space="preserve">Fiscalização de obras de condomínio Balneário Camboriú</t>
  </si>
  <si>
    <t xml:space="preserve">/condominios/fiscalizacao-obras-condominio/balneario-camboriu/</t>
  </si>
  <si>
    <t xml:space="preserve">Fiscalização de obras de condomínio Itajaí</t>
  </si>
  <si>
    <t xml:space="preserve">/condominios/fiscalizacao-obras-condominio/itajai/</t>
  </si>
  <si>
    <t xml:space="preserve">Fiscalização de obras de condomínio Joinville</t>
  </si>
  <si>
    <t xml:space="preserve">/condominios/fiscalizacao-obras-condominio/joinville/</t>
  </si>
  <si>
    <t xml:space="preserve">Fiscalização de obras de condomínio Blumenau</t>
  </si>
  <si>
    <t xml:space="preserve">/condominios/fiscalizacao-obras-condominio/blumenau/</t>
  </si>
  <si>
    <t xml:space="preserve">Fiscalização de obras de condomínio Itapema</t>
  </si>
  <si>
    <t xml:space="preserve">/condominios/fiscalizacao-obras-condominio/itapema/</t>
  </si>
  <si>
    <t xml:space="preserve">Assessoria técnica para síndicos Florianópolis</t>
  </si>
  <si>
    <t xml:space="preserve">Assessoria técnica para síndicos São José</t>
  </si>
  <si>
    <t xml:space="preserve">/condominios/assessoria-tecnica-para-sindicos/sao-jose/</t>
  </si>
  <si>
    <t xml:space="preserve">Assessoria técnica para síndicos Palhoça</t>
  </si>
  <si>
    <t xml:space="preserve">/condominios/assessoria-tecnica-para-sindicos/palhoca/</t>
  </si>
  <si>
    <t xml:space="preserve">Assessoria técnica para síndicos Biguaçu</t>
  </si>
  <si>
    <t xml:space="preserve">/condominios/assessoria-tecnica-para-sindicos/biguacu/</t>
  </si>
  <si>
    <t xml:space="preserve">Assessoria técnica para síndicos Governador Celso Ramos</t>
  </si>
  <si>
    <t xml:space="preserve">/condominios/assessoria-tecnica-para-sindicos/governador-celso-ramos/</t>
  </si>
  <si>
    <t xml:space="preserve">Assessoria técnica para síndicos Santo Amaro da Imperatriz</t>
  </si>
  <si>
    <t xml:space="preserve">/condominios/assessoria-tecnica-para-sindicos/santo-amaro-imperatriz/</t>
  </si>
  <si>
    <t xml:space="preserve">Assessoria técnica para síndicos Balneário Camboriú</t>
  </si>
  <si>
    <t xml:space="preserve">/condominios/assessoria-tecnica-para-sindicos/balneario-camboriu/</t>
  </si>
  <si>
    <t xml:space="preserve">Assessoria técnica para síndicos Itajaí</t>
  </si>
  <si>
    <t xml:space="preserve">/condominios/assessoria-tecnica-para-sindicos/itajai/</t>
  </si>
  <si>
    <t xml:space="preserve">Assessoria técnica para síndicos Joinville</t>
  </si>
  <si>
    <t xml:space="preserve">/condominios/assessoria-tecnica-para-sindicos/joinville/</t>
  </si>
  <si>
    <t xml:space="preserve">Assessoria técnica para síndicos Blumenau</t>
  </si>
  <si>
    <t xml:space="preserve">/condominios/assessoria-tecnica-para-sindicos/blumenau/</t>
  </si>
  <si>
    <t xml:space="preserve">Assessoria técnica para síndicos Itapema</t>
  </si>
  <si>
    <t xml:space="preserve">/condominios/assessoria-tecnica-para-sindicos/itapema/</t>
  </si>
  <si>
    <t xml:space="preserve">Projeto estrutural Florianópolis</t>
  </si>
  <si>
    <t xml:space="preserve">Projeto estrutural São José</t>
  </si>
  <si>
    <t xml:space="preserve">/projetos/projeto-estrutural/sao-jose/</t>
  </si>
  <si>
    <t xml:space="preserve">Projeto estrutural Palhoça</t>
  </si>
  <si>
    <t xml:space="preserve">/projetos/projeto-estrutural/palhoca/</t>
  </si>
  <si>
    <t xml:space="preserve">Projeto estrutural Biguaçu</t>
  </si>
  <si>
    <t xml:space="preserve">/projetos/projeto-estrutural/biguacu/</t>
  </si>
  <si>
    <t xml:space="preserve">Projeto estrutural Governador Celso Ramos</t>
  </si>
  <si>
    <t xml:space="preserve">/projetos/projeto-estrutural/governador-celso-ramos/</t>
  </si>
  <si>
    <t xml:space="preserve">Projeto estrutural Santo Amaro da Imperatriz</t>
  </si>
  <si>
    <t xml:space="preserve">/projetos/projeto-estrutural/santo-amaro-imperatriz/</t>
  </si>
  <si>
    <t xml:space="preserve">Projeto estrutural Balneário Camboriú</t>
  </si>
  <si>
    <t xml:space="preserve">/projetos/projeto-estrutural/balneario-camboriu/</t>
  </si>
  <si>
    <t xml:space="preserve">Projeto estrutural Itajaí</t>
  </si>
  <si>
    <t xml:space="preserve">/projetos/projeto-estrutural/itajai/</t>
  </si>
  <si>
    <t xml:space="preserve">Projeto estrutural Joinville</t>
  </si>
  <si>
    <t xml:space="preserve">/projetos/projeto-estrutural/joinville/</t>
  </si>
  <si>
    <t xml:space="preserve">Projeto estrutural Blumenau</t>
  </si>
  <si>
    <t xml:space="preserve">/projetos/projeto-estrutural/blumenau/</t>
  </si>
  <si>
    <t xml:space="preserve">Projeto estrutural Itapema</t>
  </si>
  <si>
    <t xml:space="preserve">/projetos/projeto-estrutural/itapema/</t>
  </si>
  <si>
    <t xml:space="preserve">Projeto elétrico Florianópolis</t>
  </si>
  <si>
    <t xml:space="preserve">Projeto elétrico São José</t>
  </si>
  <si>
    <t xml:space="preserve">/projetos/projeto-eletrico/sao-jose/</t>
  </si>
  <si>
    <t xml:space="preserve">Projeto elétrico Palhoça</t>
  </si>
  <si>
    <t xml:space="preserve">/projetos/projeto-eletrico/palhoca/</t>
  </si>
  <si>
    <t xml:space="preserve">Projeto elétrico Biguaçu</t>
  </si>
  <si>
    <t xml:space="preserve">/projetos/projeto-eletrico/biguacu/</t>
  </si>
  <si>
    <t xml:space="preserve">Projeto elétrico Governador Celso Ramos</t>
  </si>
  <si>
    <t xml:space="preserve">/projetos/projeto-eletrico/governador-celso-ramos/</t>
  </si>
  <si>
    <t xml:space="preserve">Projeto elétrico Santo Amaro da Imperatriz</t>
  </si>
  <si>
    <t xml:space="preserve">/projetos/projeto-eletrico/santo-amaro-imperatriz/</t>
  </si>
  <si>
    <t xml:space="preserve">Projeto elétrico Balneário Camboriú</t>
  </si>
  <si>
    <t xml:space="preserve">/projetos/projeto-eletrico/balneario-camboriu/</t>
  </si>
  <si>
    <t xml:space="preserve">Projeto elétrico Itajaí</t>
  </si>
  <si>
    <t xml:space="preserve">/projetos/projeto-eletrico/itajai/</t>
  </si>
  <si>
    <t xml:space="preserve">Projeto elétrico Joinville</t>
  </si>
  <si>
    <t xml:space="preserve">/projetos/projeto-eletrico/joinville/</t>
  </si>
  <si>
    <t xml:space="preserve">Projeto elétrico Blumenau</t>
  </si>
  <si>
    <t xml:space="preserve">/projetos/projeto-eletrico/blumenau/</t>
  </si>
  <si>
    <t xml:space="preserve">Projeto elétrico Itapema</t>
  </si>
  <si>
    <t xml:space="preserve">/projetos/projeto-eletrico/itapema/</t>
  </si>
  <si>
    <t xml:space="preserve">Projeto hidrossanitário Florianópolis</t>
  </si>
  <si>
    <t xml:space="preserve">Projeto hidrossanitário São José</t>
  </si>
  <si>
    <t xml:space="preserve">/projetos/projeto-hidrossanitario/sao-jose/</t>
  </si>
  <si>
    <t xml:space="preserve">Projeto hidrossanitário Palhoça</t>
  </si>
  <si>
    <t xml:space="preserve">/projetos/projeto-hidrossanitario/palhoca/</t>
  </si>
  <si>
    <t xml:space="preserve">Projeto hidrossanitário Biguaçu</t>
  </si>
  <si>
    <t xml:space="preserve">/projetos/projeto-hidrossanitario/biguacu/</t>
  </si>
  <si>
    <t xml:space="preserve">Projeto hidrossanitário Governador Celso Ramos</t>
  </si>
  <si>
    <t xml:space="preserve">/projetos/projeto-hidrossanitario/governador-celso-ramos/</t>
  </si>
  <si>
    <t xml:space="preserve">Projeto hidrossanitário Santo Amaro da Imperatriz</t>
  </si>
  <si>
    <t xml:space="preserve">/projetos/projeto-hidrossanitario/santo-amaro-imperatriz/</t>
  </si>
  <si>
    <t xml:space="preserve">Projeto hidrossanitário Balneário Camboriú</t>
  </si>
  <si>
    <t xml:space="preserve">/projetos/projeto-hidrossanitario/balneario-camboriu/</t>
  </si>
  <si>
    <t xml:space="preserve">Projeto hidrossanitário Itajaí</t>
  </si>
  <si>
    <t xml:space="preserve">/projetos/projeto-hidrossanitario/itajai/</t>
  </si>
  <si>
    <t xml:space="preserve">Projeto hidrossanitário Joinville</t>
  </si>
  <si>
    <t xml:space="preserve">/projetos/projeto-hidrossanitario/joinville/</t>
  </si>
  <si>
    <t xml:space="preserve">Projeto hidrossanitário Blumenau</t>
  </si>
  <si>
    <t xml:space="preserve">/projetos/projeto-hidrossanitario/blumenau/</t>
  </si>
  <si>
    <t xml:space="preserve">Projeto hidrossanitário Itapema</t>
  </si>
  <si>
    <t xml:space="preserve">/projetos/projeto-hidrossanitario/itapema/</t>
  </si>
  <si>
    <t xml:space="preserve">Projeto preventivo contra incêndio Florianópolis</t>
  </si>
  <si>
    <t xml:space="preserve">Projeto preventivo contra incêndio São José</t>
  </si>
  <si>
    <t xml:space="preserve">/projetos/projeto-preventivo-contra-incendio/sao-jose/</t>
  </si>
  <si>
    <t xml:space="preserve">Projeto preventivo contra incêndio Palhoça</t>
  </si>
  <si>
    <t xml:space="preserve">/projetos/projeto-preventivo-contra-incendio/palhoca/</t>
  </si>
  <si>
    <t xml:space="preserve">Projeto preventivo contra incêndio Biguaçu</t>
  </si>
  <si>
    <t xml:space="preserve">/projetos/projeto-preventivo-contra-incendio/biguacu/</t>
  </si>
  <si>
    <t xml:space="preserve">Projeto preventivo contra incêndio Governador Celso Ramos</t>
  </si>
  <si>
    <t xml:space="preserve">/projetos/projeto-preventivo-contra-incendio/governador-celso-ramos/</t>
  </si>
  <si>
    <t xml:space="preserve">Projeto preventivo contra incêndio Santo Amaro da Imperatriz</t>
  </si>
  <si>
    <t xml:space="preserve">/projetos/projeto-preventivo-contra-incendio/santo-amaro-imperatriz/</t>
  </si>
  <si>
    <t xml:space="preserve">Projeto preventivo contra incêndio Balneário Camboriú</t>
  </si>
  <si>
    <t xml:space="preserve">/projetos/projeto-preventivo-contra-incendio/balneario-camboriu/</t>
  </si>
  <si>
    <t xml:space="preserve">Projeto preventivo contra incêndio Itajaí</t>
  </si>
  <si>
    <t xml:space="preserve">/projetos/projeto-preventivo-contra-incendio/itajai/</t>
  </si>
  <si>
    <t xml:space="preserve">Projeto preventivo contra incêndio Joinville</t>
  </si>
  <si>
    <t xml:space="preserve">/projetos/projeto-preventivo-contra-incendio/joinville/</t>
  </si>
  <si>
    <t xml:space="preserve">Projeto preventivo contra incêndio Blumenau</t>
  </si>
  <si>
    <t xml:space="preserve">/projetos/projeto-preventivo-contra-incendio/blumenau/</t>
  </si>
  <si>
    <t xml:space="preserve">Projeto preventivo contra incêndio Itapema</t>
  </si>
  <si>
    <t xml:space="preserve">/projetos/projeto-preventivo-contra-incendio/itapema/</t>
  </si>
  <si>
    <t xml:space="preserve">Regularização de obra Florianópolis</t>
  </si>
  <si>
    <t xml:space="preserve">Regularização de obra São José</t>
  </si>
  <si>
    <t xml:space="preserve">/regularizacao/regularizacao-obra/sao-jose/</t>
  </si>
  <si>
    <t xml:space="preserve">Regularização de obra Palhoça</t>
  </si>
  <si>
    <t xml:space="preserve">/regularizacao/regularizacao-obra/palhoca/</t>
  </si>
  <si>
    <t xml:space="preserve">Regularização de obra Biguaçu</t>
  </si>
  <si>
    <t xml:space="preserve">/regularizacao/regularizacao-obra/biguacu/</t>
  </si>
  <si>
    <t xml:space="preserve">Regularização de obra Governador Celso Ramos</t>
  </si>
  <si>
    <t xml:space="preserve">/regularizacao/regularizacao-obra/governador-celso-ramos/</t>
  </si>
  <si>
    <t xml:space="preserve">Regularização de obra Santo Amaro da Imperatriz</t>
  </si>
  <si>
    <t xml:space="preserve">/regularizacao/regularizacao-obra/santo-amaro-imperatriz/</t>
  </si>
  <si>
    <t xml:space="preserve">Regularização de obra Balneário Camboriú</t>
  </si>
  <si>
    <t xml:space="preserve">/regularizacao/regularizacao-obra/balneario-camboriu/</t>
  </si>
  <si>
    <t xml:space="preserve">Regularização de obra Itajaí</t>
  </si>
  <si>
    <t xml:space="preserve">/regularizacao/regularizacao-obra/itajai/</t>
  </si>
  <si>
    <t xml:space="preserve">Regularização de obra Joinville</t>
  </si>
  <si>
    <t xml:space="preserve">/regularizacao/regularizacao-obra/joinville/</t>
  </si>
  <si>
    <t xml:space="preserve">Regularização de obra Blumenau</t>
  </si>
  <si>
    <t xml:space="preserve">/regularizacao/regularizacao-obra/blumenau/</t>
  </si>
  <si>
    <t xml:space="preserve">Regularização de obra Itapema</t>
  </si>
  <si>
    <t xml:space="preserve">/regularizacao/regularizacao-obra/itapema/</t>
  </si>
  <si>
    <t xml:space="preserve">Reforma de fachada Florianópolis</t>
  </si>
  <si>
    <t xml:space="preserve">Reforma de fachada São José</t>
  </si>
  <si>
    <t xml:space="preserve">/recuperacao-e-manutencao/reforma-fachada/sao-jose/</t>
  </si>
  <si>
    <t xml:space="preserve">Reforma de fachada Palhoça</t>
  </si>
  <si>
    <t xml:space="preserve">/recuperacao-e-manutencao/reforma-fachada/palhoca/</t>
  </si>
  <si>
    <t xml:space="preserve">Reforma de fachada Biguaçu</t>
  </si>
  <si>
    <t xml:space="preserve">/recuperacao-e-manutencao/reforma-fachada/biguacu/</t>
  </si>
  <si>
    <t xml:space="preserve">Reforma de fachada Governador Celso Ramos</t>
  </si>
  <si>
    <t xml:space="preserve">/recuperacao-e-manutencao/reforma-fachada/governador-celso-ramos/</t>
  </si>
  <si>
    <t xml:space="preserve">Reforma de fachada Santo Amaro da Imperatriz</t>
  </si>
  <si>
    <t xml:space="preserve">/recuperacao-e-manutencao/reforma-fachada/santo-amaro-imperatriz/</t>
  </si>
  <si>
    <t xml:space="preserve">Reforma de fachada Balneário Camboriú</t>
  </si>
  <si>
    <t xml:space="preserve">/recuperacao-e-manutencao/reforma-fachada/balneario-camboriu/</t>
  </si>
  <si>
    <t xml:space="preserve">Reforma de fachada Itajaí</t>
  </si>
  <si>
    <t xml:space="preserve">/recuperacao-e-manutencao/reforma-fachada/itajai/</t>
  </si>
  <si>
    <t xml:space="preserve">Reforma de fachada Joinville</t>
  </si>
  <si>
    <t xml:space="preserve">/recuperacao-e-manutencao/reforma-fachada/joinville/</t>
  </si>
  <si>
    <t xml:space="preserve">Reforma de fachada Blumenau</t>
  </si>
  <si>
    <t xml:space="preserve">/recuperacao-e-manutencao/reforma-fachada/blumenau/</t>
  </si>
  <si>
    <t xml:space="preserve">Reforma de fachada Itapema</t>
  </si>
  <si>
    <t xml:space="preserve">/recuperacao-e-manutencao/reforma-fachada/itapema/</t>
  </si>
  <si>
    <t xml:space="preserve">Reforma de clínica Florianópolis</t>
  </si>
  <si>
    <t xml:space="preserve">Reforma de clínica São José</t>
  </si>
  <si>
    <t xml:space="preserve">/reformas/reforma-clinica/sao-jose/</t>
  </si>
  <si>
    <t xml:space="preserve">Reforma de clínica Palhoça</t>
  </si>
  <si>
    <t xml:space="preserve">/reformas/reforma-clinica/palhoca/</t>
  </si>
  <si>
    <t xml:space="preserve">Reforma de clínica Biguaçu</t>
  </si>
  <si>
    <t xml:space="preserve">/reformas/reforma-clinica/biguacu/</t>
  </si>
  <si>
    <t xml:space="preserve">Reforma de clínica Governador Celso Ramos</t>
  </si>
  <si>
    <t xml:space="preserve">/reformas/reforma-clinica/governador-celso-ramos/</t>
  </si>
  <si>
    <t xml:space="preserve">Reforma de clínica Santo Amaro da Imperatriz</t>
  </si>
  <si>
    <t xml:space="preserve">/reformas/reforma-clinica/santo-amaro-imperatriz/</t>
  </si>
  <si>
    <t xml:space="preserve">Reforma de clínica Balneário Camboriú</t>
  </si>
  <si>
    <t xml:space="preserve">/reformas/reforma-clinica/balneario-camboriu/</t>
  </si>
  <si>
    <t xml:space="preserve">Reforma de clínica Itajaí</t>
  </si>
  <si>
    <t xml:space="preserve">/reformas/reforma-clinica/itajai/</t>
  </si>
  <si>
    <t xml:space="preserve">Reforma de clínica Joinville</t>
  </si>
  <si>
    <t xml:space="preserve">/reformas/reforma-clinica/joinville/</t>
  </si>
  <si>
    <t xml:space="preserve">Reforma de clínica Blumenau</t>
  </si>
  <si>
    <t xml:space="preserve">/reformas/reforma-clinica/blumenau/</t>
  </si>
  <si>
    <t xml:space="preserve">Reforma de clínica Itapema</t>
  </si>
  <si>
    <t xml:space="preserve">/reformas/reforma-clinica/itapema/</t>
  </si>
  <si>
    <t xml:space="preserve">Jurerê Internacional</t>
  </si>
  <si>
    <t xml:space="preserve">Bairro</t>
  </si>
  <si>
    <t xml:space="preserve">Construção de casa de alto padrão Jurerê Internacional</t>
  </si>
  <si>
    <t xml:space="preserve">Morador ou comprador em Jurerê Internacional, bairro de alto padrão. Busca quem já executou obras no bairro e conhece as regras locais, o solo e a vizinhança.</t>
  </si>
  <si>
    <t xml:space="preserve">/construcao/construcao-casa-alto-padrao/jurere-internacional/</t>
  </si>
  <si>
    <t xml:space="preserve">Cacupé</t>
  </si>
  <si>
    <t xml:space="preserve">Construção de casa de alto padrão Cacupé</t>
  </si>
  <si>
    <t xml:space="preserve">Morador ou comprador em Cacupé, bairro de alto padrão. Busca quem já executou obras no bairro e conhece as regras locais, o solo e a vizinhança.</t>
  </si>
  <si>
    <t xml:space="preserve">/construcao/construcao-casa-alto-padrao/cacupe/</t>
  </si>
  <si>
    <t xml:space="preserve">Santo Antônio de Lisboa</t>
  </si>
  <si>
    <t xml:space="preserve">Construção de casa de alto padrão Santo Antônio de Lisboa</t>
  </si>
  <si>
    <t xml:space="preserve">Morador ou comprador em Santo Antônio de Lisboa, bairro de alto padrão. Busca quem já executou obras no bairro e conhece as regras locais, o solo e a vizinhança.</t>
  </si>
  <si>
    <t xml:space="preserve">/construcao/construcao-casa-alto-padrao/santo-antonio-lisboa/</t>
  </si>
  <si>
    <t xml:space="preserve">Lagoa da Conceição</t>
  </si>
  <si>
    <t xml:space="preserve">Construção de casa de alto padrão Lagoa da Conceição</t>
  </si>
  <si>
    <t xml:space="preserve">Morador ou comprador em Lagoa da Conceição, bairro de alto padrão. Busca quem já executou obras no bairro e conhece as regras locais, o solo e a vizinhança.</t>
  </si>
  <si>
    <t xml:space="preserve">/construcao/construcao-casa-alto-padrao/lagoa-conceicao/</t>
  </si>
  <si>
    <t xml:space="preserve">Campeche</t>
  </si>
  <si>
    <t xml:space="preserve">Construção de casa de alto padrão Campeche</t>
  </si>
  <si>
    <t xml:space="preserve">Morador ou comprador em Campeche, bairro de alto padrão. Busca quem já executou obras no bairro e conhece as regras locais, o solo e a vizinhança.</t>
  </si>
  <si>
    <t xml:space="preserve">/construcao/construcao-casa-alto-padrao/campeche/</t>
  </si>
  <si>
    <t xml:space="preserve">Coqueiros</t>
  </si>
  <si>
    <t xml:space="preserve">Construção de casa de alto padrão Coqueiros</t>
  </si>
  <si>
    <t xml:space="preserve">Morador ou comprador em Coqueiros, bairro de alto padrão. Busca quem já executou obras no bairro e conhece as regras locais, o solo e a vizinhança.</t>
  </si>
  <si>
    <t xml:space="preserve">/construcao/construcao-casa-alto-padrao/coqueiros/</t>
  </si>
  <si>
    <t xml:space="preserve">Agronômica</t>
  </si>
  <si>
    <t xml:space="preserve">Construção de casa de alto padrão Agronômica</t>
  </si>
  <si>
    <t xml:space="preserve">Morador ou comprador em Agronômica, bairro de alto padrão. Busca quem já executou obras no bairro e conhece as regras locais, o solo e a vizinhança.</t>
  </si>
  <si>
    <t xml:space="preserve">/construcao/construcao-casa-alto-padrao/agronomica/</t>
  </si>
  <si>
    <t xml:space="preserve">João Paulo</t>
  </si>
  <si>
    <t xml:space="preserve">Construção de casa de alto padrão João Paulo</t>
  </si>
  <si>
    <t xml:space="preserve">Morador ou comprador em João Paulo, bairro de alto padrão. Busca quem já executou obras no bairro e conhece as regras locais, o solo e a vizinhança.</t>
  </si>
  <si>
    <t xml:space="preserve">/construcao/construcao-casa-alto-padrao/joao-paulo/</t>
  </si>
  <si>
    <t xml:space="preserve">Córrego Grande</t>
  </si>
  <si>
    <t xml:space="preserve">Construção de casa de alto padrão Córrego Grande</t>
  </si>
  <si>
    <t xml:space="preserve">Morador ou comprador em Córrego Grande, bairro de alto padrão. Busca quem já executou obras no bairro e conhece as regras locais, o solo e a vizinhança.</t>
  </si>
  <si>
    <t xml:space="preserve">/construcao/construcao-casa-alto-padrao/corrego-grande/</t>
  </si>
  <si>
    <t xml:space="preserve">Itacorubi</t>
  </si>
  <si>
    <t xml:space="preserve">Construção de casa de alto padrão Itacorubi</t>
  </si>
  <si>
    <t xml:space="preserve">Morador ou comprador em Itacorubi, bairro de alto padrão. Busca quem já executou obras no bairro e conhece as regras locais, o solo e a vizinhança.</t>
  </si>
  <si>
    <t xml:space="preserve">/construcao/construcao-casa-alto-padrao/itacorubi/</t>
  </si>
  <si>
    <t xml:space="preserve">Beira-Mar Norte</t>
  </si>
  <si>
    <t xml:space="preserve">Construção de casa de alto padrão Beira-Mar Norte</t>
  </si>
  <si>
    <t xml:space="preserve">Morador ou comprador em Beira-Mar Norte, bairro de alto padrão. Busca quem já executou obras no bairro e conhece as regras locais, o solo e a vizinhança.</t>
  </si>
  <si>
    <t xml:space="preserve">/construcao/construcao-casa-alto-padrao/beira-mar-norte/</t>
  </si>
  <si>
    <t xml:space="preserve">Pedra Branca</t>
  </si>
  <si>
    <t xml:space="preserve">Construção de casa de alto padrão Pedra Branca</t>
  </si>
  <si>
    <t xml:space="preserve">Morador ou comprador em Pedra Branca, bairro de alto padrão. Busca quem já executou obras no bairro e conhece as regras locais, o solo e a vizinhança.</t>
  </si>
  <si>
    <t xml:space="preserve">/construcao/construcao-casa-alto-padrao/pedra-branca/</t>
  </si>
  <si>
    <t xml:space="preserve">Reforma de apartamento de alto padrão Jurerê Internacional</t>
  </si>
  <si>
    <t xml:space="preserve">/reformas/reforma-apartamento-alto-padrao/jurere-internacional/</t>
  </si>
  <si>
    <t xml:space="preserve">Reforma de apartamento de alto padrão Cacupé</t>
  </si>
  <si>
    <t xml:space="preserve">/reformas/reforma-apartamento-alto-padrao/cacupe/</t>
  </si>
  <si>
    <t xml:space="preserve">Reforma de apartamento de alto padrão Santo Antônio de Lisboa</t>
  </si>
  <si>
    <t xml:space="preserve">/reformas/reforma-apartamento-alto-padrao/santo-antonio-lisboa/</t>
  </si>
  <si>
    <t xml:space="preserve">Reforma de apartamento de alto padrão Lagoa da Conceição</t>
  </si>
  <si>
    <t xml:space="preserve">/reformas/reforma-apartamento-alto-padrao/lagoa-conceicao/</t>
  </si>
  <si>
    <t xml:space="preserve">Reforma de apartamento de alto padrão Campeche</t>
  </si>
  <si>
    <t xml:space="preserve">/reformas/reforma-apartamento-alto-padrao/campeche/</t>
  </si>
  <si>
    <t xml:space="preserve">Reforma de apartamento de alto padrão Coqueiros</t>
  </si>
  <si>
    <t xml:space="preserve">/reformas/reforma-apartamento-alto-padrao/coqueiros/</t>
  </si>
  <si>
    <t xml:space="preserve">Reforma de apartamento de alto padrão Agronômica</t>
  </si>
  <si>
    <t xml:space="preserve">/reformas/reforma-apartamento-alto-padrao/agronomica/</t>
  </si>
  <si>
    <t xml:space="preserve">Reforma de apartamento de alto padrão João Paulo</t>
  </si>
  <si>
    <t xml:space="preserve">/reformas/reforma-apartamento-alto-padrao/joao-paulo/</t>
  </si>
  <si>
    <t xml:space="preserve">Reforma de apartamento de alto padrão Córrego Grande</t>
  </si>
  <si>
    <t xml:space="preserve">/reformas/reforma-apartamento-alto-padrao/corrego-grande/</t>
  </si>
  <si>
    <t xml:space="preserve">Reforma de apartamento de alto padrão Itacorubi</t>
  </si>
  <si>
    <t xml:space="preserve">/reformas/reforma-apartamento-alto-padrao/itacorubi/</t>
  </si>
  <si>
    <t xml:space="preserve">Reforma de apartamento de alto padrão Beira-Mar Norte</t>
  </si>
  <si>
    <t xml:space="preserve">/reformas/reforma-apartamento-alto-padrao/beira-mar-norte/</t>
  </si>
  <si>
    <t xml:space="preserve">Reforma de apartamento de alto padrão Pedra Branca</t>
  </si>
  <si>
    <t xml:space="preserve">/reformas/reforma-apartamento-alto-padrao/pedra-branca/</t>
  </si>
  <si>
    <t xml:space="preserve">/reformas/reforma-casa/jurere-internacional/</t>
  </si>
  <si>
    <t xml:space="preserve">Reforma de casa Cacupé</t>
  </si>
  <si>
    <t xml:space="preserve">/reformas/reforma-casa/cacupe/</t>
  </si>
  <si>
    <t xml:space="preserve">Reforma de casa Santo Antônio de Lisboa</t>
  </si>
  <si>
    <t xml:space="preserve">/reformas/reforma-casa/santo-antonio-lisboa/</t>
  </si>
  <si>
    <t xml:space="preserve">Reforma de casa Lagoa da Conceição</t>
  </si>
  <si>
    <t xml:space="preserve">/reformas/reforma-casa/lagoa-conceicao/</t>
  </si>
  <si>
    <t xml:space="preserve">Reforma de casa Campeche</t>
  </si>
  <si>
    <t xml:space="preserve">/reformas/reforma-casa/campeche/</t>
  </si>
  <si>
    <t xml:space="preserve">Reforma de casa Coqueiros</t>
  </si>
  <si>
    <t xml:space="preserve">/reformas/reforma-casa/coqueiros/</t>
  </si>
  <si>
    <t xml:space="preserve">Reforma de casa Agronômica</t>
  </si>
  <si>
    <t xml:space="preserve">/reformas/reforma-casa/agronomica/</t>
  </si>
  <si>
    <t xml:space="preserve">Reforma de casa João Paulo</t>
  </si>
  <si>
    <t xml:space="preserve">/reformas/reforma-casa/joao-paulo/</t>
  </si>
  <si>
    <t xml:space="preserve">Reforma de casa Córrego Grande</t>
  </si>
  <si>
    <t xml:space="preserve">/reformas/reforma-casa/corrego-grande/</t>
  </si>
  <si>
    <t xml:space="preserve">Reforma de casa Itacorubi</t>
  </si>
  <si>
    <t xml:space="preserve">/reformas/reforma-casa/itacorubi/</t>
  </si>
  <si>
    <t xml:space="preserve">Reforma de casa Beira-Mar Norte</t>
  </si>
  <si>
    <t xml:space="preserve">/reformas/reforma-casa/beira-mar-norte/</t>
  </si>
  <si>
    <t xml:space="preserve">Reforma de casa Pedra Branca</t>
  </si>
  <si>
    <t xml:space="preserve">/reformas/reforma-casa/pedra-branca/</t>
  </si>
  <si>
    <t xml:space="preserve">Gestão de obras residenciais Jurerê Internacional</t>
  </si>
  <si>
    <t xml:space="preserve">/gestao-de-obras/gestao-obras-residenciais/jurere-internacional/</t>
  </si>
  <si>
    <t xml:space="preserve">Gestão de obras residenciais Cacupé</t>
  </si>
  <si>
    <t xml:space="preserve">/gestao-de-obras/gestao-obras-residenciais/cacupe/</t>
  </si>
  <si>
    <t xml:space="preserve">Gestão de obras residenciais Santo Antônio de Lisboa</t>
  </si>
  <si>
    <t xml:space="preserve">/gestao-de-obras/gestao-obras-residenciais/santo-antonio-lisboa/</t>
  </si>
  <si>
    <t xml:space="preserve">Gestão de obras residenciais Lagoa da Conceição</t>
  </si>
  <si>
    <t xml:space="preserve">/gestao-de-obras/gestao-obras-residenciais/lagoa-conceicao/</t>
  </si>
  <si>
    <t xml:space="preserve">Gestão de obras residenciais Campeche</t>
  </si>
  <si>
    <t xml:space="preserve">/gestao-de-obras/gestao-obras-residenciais/campeche/</t>
  </si>
  <si>
    <t xml:space="preserve">Gestão de obras residenciais Coqueiros</t>
  </si>
  <si>
    <t xml:space="preserve">/gestao-de-obras/gestao-obras-residenciais/coqueiros/</t>
  </si>
  <si>
    <t xml:space="preserve">Gestão de obras residenciais Agronômica</t>
  </si>
  <si>
    <t xml:space="preserve">/gestao-de-obras/gestao-obras-residenciais/agronomica/</t>
  </si>
  <si>
    <t xml:space="preserve">Gestão de obras residenciais João Paulo</t>
  </si>
  <si>
    <t xml:space="preserve">/gestao-de-obras/gestao-obras-residenciais/joao-paulo/</t>
  </si>
  <si>
    <t xml:space="preserve">Gestão de obras residenciais Córrego Grande</t>
  </si>
  <si>
    <t xml:space="preserve">/gestao-de-obras/gestao-obras-residenciais/corrego-grande/</t>
  </si>
  <si>
    <t xml:space="preserve">Gestão de obras residenciais Itacorubi</t>
  </si>
  <si>
    <t xml:space="preserve">/gestao-de-obras/gestao-obras-residenciais/itacorubi/</t>
  </si>
  <si>
    <t xml:space="preserve">Gestão de obras residenciais Beira-Mar Norte</t>
  </si>
  <si>
    <t xml:space="preserve">/gestao-de-obras/gestao-obras-residenciais/beira-mar-norte/</t>
  </si>
  <si>
    <t xml:space="preserve">Gestão de obras residenciais Pedra Branca</t>
  </si>
  <si>
    <t xml:space="preserve">/gestao-de-obras/gestao-obras-residenciais/pedra-branca/</t>
  </si>
  <si>
    <t xml:space="preserve">Vistoria de entrega de apartamento Jurerê Internacional</t>
  </si>
  <si>
    <t xml:space="preserve">/vistorias-e-inspecoes/vistoria-entrega-apartamento/jurere-internacional/</t>
  </si>
  <si>
    <t xml:space="preserve">Vistoria de entrega de apartamento Cacupé</t>
  </si>
  <si>
    <t xml:space="preserve">/vistorias-e-inspecoes/vistoria-entrega-apartamento/cacupe/</t>
  </si>
  <si>
    <t xml:space="preserve">Vistoria de entrega de apartamento Santo Antônio de Lisboa</t>
  </si>
  <si>
    <t xml:space="preserve">/vistorias-e-inspecoes/vistoria-entrega-apartamento/santo-antonio-lisboa/</t>
  </si>
  <si>
    <t xml:space="preserve">Vistoria de entrega de apartamento Lagoa da Conceição</t>
  </si>
  <si>
    <t xml:space="preserve">/vistorias-e-inspecoes/vistoria-entrega-apartamento/lagoa-conceicao/</t>
  </si>
  <si>
    <t xml:space="preserve">Vistoria de entrega de apartamento Campeche</t>
  </si>
  <si>
    <t xml:space="preserve">/vistorias-e-inspecoes/vistoria-entrega-apartamento/campeche/</t>
  </si>
  <si>
    <t xml:space="preserve">Vistoria de entrega de apartamento Coqueiros</t>
  </si>
  <si>
    <t xml:space="preserve">/vistorias-e-inspecoes/vistoria-entrega-apartamento/coqueiros/</t>
  </si>
  <si>
    <t xml:space="preserve">Vistoria de entrega de apartamento Agronômica</t>
  </si>
  <si>
    <t xml:space="preserve">/vistorias-e-inspecoes/vistoria-entrega-apartamento/agronomica/</t>
  </si>
  <si>
    <t xml:space="preserve">Vistoria de entrega de apartamento João Paulo</t>
  </si>
  <si>
    <t xml:space="preserve">/vistorias-e-inspecoes/vistoria-entrega-apartamento/joao-paulo/</t>
  </si>
  <si>
    <t xml:space="preserve">Vistoria de entrega de apartamento Córrego Grande</t>
  </si>
  <si>
    <t xml:space="preserve">/vistorias-e-inspecoes/vistoria-entrega-apartamento/corrego-grande/</t>
  </si>
  <si>
    <t xml:space="preserve">Vistoria de entrega de apartamento Itacorubi</t>
  </si>
  <si>
    <t xml:space="preserve">/vistorias-e-inspecoes/vistoria-entrega-apartamento/itacorubi/</t>
  </si>
  <si>
    <t xml:space="preserve">Vistoria de entrega de apartamento Beira-Mar Norte</t>
  </si>
  <si>
    <t xml:space="preserve">/vistorias-e-inspecoes/vistoria-entrega-apartamento/beira-mar-norte/</t>
  </si>
  <si>
    <t xml:space="preserve">Vistoria de entrega de apartamento Pedra Branca</t>
  </si>
  <si>
    <t xml:space="preserve">/vistorias-e-inspecoes/vistoria-entrega-apartamento/pedra-branca/</t>
  </si>
  <si>
    <t xml:space="preserve">Hub(s) onde atua</t>
  </si>
  <si>
    <t xml:space="preserve">Categoria principal</t>
  </si>
  <si>
    <t xml:space="preserve">Exemplo de busca navegacional</t>
  </si>
  <si>
    <t xml:space="preserve">Exemplo de busca avaliativa / comparativa</t>
  </si>
  <si>
    <t xml:space="preserve">Tipo de página recomendada</t>
  </si>
  <si>
    <t xml:space="preserve">Nível de arquitetura</t>
  </si>
  <si>
    <t xml:space="preserve">Outras categorias</t>
  </si>
  <si>
    <t xml:space="preserve">Tipo de marca</t>
  </si>
  <si>
    <t xml:space="preserve">Serviços ligados</t>
  </si>
  <si>
    <t xml:space="preserve">Termos no Mapa de Marcas</t>
  </si>
  <si>
    <t xml:space="preserve">Nota jurídica</t>
  </si>
  <si>
    <t xml:space="preserve">Marcas e Sistemas, Projetos de Engenharia, Instalações e Sistemas, Laudos Técnicos</t>
  </si>
  <si>
    <t xml:space="preserve">Tigre tubos e conexões</t>
  </si>
  <si>
    <t xml:space="preserve">Tigre ou Amanco qual é melhor para instalação hidráulica</t>
  </si>
  <si>
    <t xml:space="preserve">Navegacional, Comercial e Transacional</t>
  </si>
  <si>
    <t xml:space="preserve">Página de marca dentro do hub Marcas e Sistemas, com os serviços da Vaff ligados à marca em seções, orientação técnica neutra, obra que usou a marca e CTA de orçamento</t>
  </si>
  <si>
    <t xml:space="preserve">N3 Hub Marcas e Sistemas &gt; Tubos e conexões &gt; Tigre, paralelo às páginas de serviço</t>
  </si>
  <si>
    <t xml:space="preserve">Projeto hidrossanitário com Tigre, Instalação hidráulica com Tigre, Troca de prumada com Tigre, Laudo de vazamento em tubulação Tigre</t>
  </si>
  <si>
    <t xml:space="preserve">Amanco tubos e conexões</t>
  </si>
  <si>
    <t xml:space="preserve">Amanco ou Krona qual é melhor para instalação hidráulica</t>
  </si>
  <si>
    <t xml:space="preserve">N3 Hub Marcas e Sistemas &gt; Tubos e conexões &gt; Amanco, paralelo às páginas de serviço</t>
  </si>
  <si>
    <t xml:space="preserve">Projeto hidrossanitário com Amanco, Instalação hidráulica com Amanco, Troca de prumada com Amanco, Laudo de vazamento em tubulação Amanco</t>
  </si>
  <si>
    <t xml:space="preserve">Krona tubos e conexões</t>
  </si>
  <si>
    <t xml:space="preserve">Krona ou Tigre qual é melhor para instalação hidráulica</t>
  </si>
  <si>
    <t xml:space="preserve">N3 Hub Marcas e Sistemas &gt; Tubos e conexões &gt; Krona, paralelo às páginas de serviço</t>
  </si>
  <si>
    <t xml:space="preserve">Projeto hidrossanitário com Krona, Instalação hidráulica com Krona, Troca de prumada com Krona, Laudo de vazamento em tubulação Krona</t>
  </si>
  <si>
    <t xml:space="preserve">Marcas e Sistemas, Projetos de Engenharia, Vistorias e Inspeções, Recuperação e Manutenção</t>
  </si>
  <si>
    <t xml:space="preserve">cimento Votorantim</t>
  </si>
  <si>
    <t xml:space="preserve">cimento Votorantim ou Itambé qual usar na estrutura</t>
  </si>
  <si>
    <t xml:space="preserve">N3 Hub Marcas e Sistemas &gt; Cimento e concreto &gt; Votorantim, paralelo às páginas de serviço</t>
  </si>
  <si>
    <t xml:space="preserve">Estrutura de concreto com cimento Votorantim, Laudo de resistência do concreto Votorantim, Recuperação de concreto com Votorantim</t>
  </si>
  <si>
    <t xml:space="preserve">cimento Itambé</t>
  </si>
  <si>
    <t xml:space="preserve">cimento Itambé ou InterCement qual usar na estrutura</t>
  </si>
  <si>
    <t xml:space="preserve">N3 Hub Marcas e Sistemas &gt; Cimento e concreto &gt; Itambé, paralelo às páginas de serviço</t>
  </si>
  <si>
    <t xml:space="preserve">Estrutura de concreto com cimento Itambé, Laudo de resistência do concreto Itambé, Recuperação de concreto com Itambé</t>
  </si>
  <si>
    <t xml:space="preserve">cimento InterCement</t>
  </si>
  <si>
    <t xml:space="preserve">cimento InterCement ou CSN Cimentos qual usar na estrutura</t>
  </si>
  <si>
    <t xml:space="preserve">N3 Hub Marcas e Sistemas &gt; Cimento e concreto &gt; InterCement, paralelo às páginas de serviço</t>
  </si>
  <si>
    <t xml:space="preserve">Estrutura de concreto com cimento InterCement, Laudo de resistência do concreto InterCement, Recuperação de concreto com InterCement</t>
  </si>
  <si>
    <t xml:space="preserve">cimento CSN Cimentos</t>
  </si>
  <si>
    <t xml:space="preserve">cimento CSN Cimentos ou Votorantim qual usar na estrutura</t>
  </si>
  <si>
    <t xml:space="preserve">N3 Hub Marcas e Sistemas &gt; Cimento e concreto &gt; CSN Cimentos, paralelo às páginas de serviço</t>
  </si>
  <si>
    <t xml:space="preserve">Estrutura de concreto com cimento CSN Cimentos, Laudo de resistência do concreto CSN Cimentos, Recuperação de concreto com CSN Cimentos</t>
  </si>
  <si>
    <t xml:space="preserve">Marcas e Sistemas, Projetos de Engenharia, Construção, Laudos Técnicos, Recuperação e Manutenção</t>
  </si>
  <si>
    <t xml:space="preserve">vergalhão Gerdau</t>
  </si>
  <si>
    <t xml:space="preserve">aço Gerdau ou ArcelorMittal qual é melhor</t>
  </si>
  <si>
    <t xml:space="preserve">N3 Hub Marcas e Sistemas &gt; Aço para construção &gt; Gerdau, paralelo às páginas de serviço</t>
  </si>
  <si>
    <t xml:space="preserve">Projeto estrutural com aço Gerdau, Estrutura metálica com aço Gerdau, Laudo de corrosão em armadura Gerdau, Reforço estrutural com aço Gerdau</t>
  </si>
  <si>
    <t xml:space="preserve">vergalhão ArcelorMittal</t>
  </si>
  <si>
    <t xml:space="preserve">aço ArcelorMittal ou CSN qual é melhor</t>
  </si>
  <si>
    <t xml:space="preserve">N3 Hub Marcas e Sistemas &gt; Aço para construção &gt; ArcelorMittal, paralelo às páginas de serviço</t>
  </si>
  <si>
    <t xml:space="preserve">Projeto estrutural com aço ArcelorMittal, Estrutura metálica com aço ArcelorMittal, Laudo de corrosão em armadura ArcelorMittal, Reforço estrutural com aço ArcelorMittal</t>
  </si>
  <si>
    <t xml:space="preserve">vergalhão CSN</t>
  </si>
  <si>
    <t xml:space="preserve">aço CSN ou Gerdau qual é melhor</t>
  </si>
  <si>
    <t xml:space="preserve">N3 Hub Marcas e Sistemas &gt; Aço para construção &gt; CSN, paralelo às páginas de serviço</t>
  </si>
  <si>
    <t xml:space="preserve">Projeto estrutural com aço CSN, Estrutura metálica com aço CSN, Laudo de corrosão em armadura CSN, Reforço estrutural com aço CSN</t>
  </si>
  <si>
    <t xml:space="preserve">Marcas e Sistemas, Reformas, Laudos Técnicos, Recuperação e Manutenção</t>
  </si>
  <si>
    <t xml:space="preserve">porcelanato Portobello</t>
  </si>
  <si>
    <t xml:space="preserve">porcelanato Portobello ou Eliane qual é melhor</t>
  </si>
  <si>
    <t xml:space="preserve">N3 Hub Marcas e Sistemas &gt; Revestimentos cerâmicos &gt; Portobello, paralelo às páginas de serviço</t>
  </si>
  <si>
    <t xml:space="preserve">Assentamento de porcelanato Portobello, Laudo de descolamento de porcelanato Portobello, Reforma com porcelanato Portobello, Revestimento de fachada Portobello</t>
  </si>
  <si>
    <t xml:space="preserve">porcelanato Eliane</t>
  </si>
  <si>
    <t xml:space="preserve">porcelanato Eliane ou Portinari qual é melhor</t>
  </si>
  <si>
    <t xml:space="preserve">N3 Hub Marcas e Sistemas &gt; Revestimentos cerâmicos &gt; Eliane, paralelo às páginas de serviço</t>
  </si>
  <si>
    <t xml:space="preserve">Assentamento de porcelanato Eliane, Laudo de descolamento de porcelanato Eliane, Reforma com porcelanato Eliane, Revestimento de fachada Eliane</t>
  </si>
  <si>
    <t xml:space="preserve">porcelanato Portinari</t>
  </si>
  <si>
    <t xml:space="preserve">porcelanato Portinari ou Decortiles qual é melhor</t>
  </si>
  <si>
    <t xml:space="preserve">N3 Hub Marcas e Sistemas &gt; Revestimentos cerâmicos &gt; Portinari, paralelo às páginas de serviço</t>
  </si>
  <si>
    <t xml:space="preserve">Assentamento de porcelanato Portinari, Laudo de descolamento de porcelanato Portinari, Reforma com porcelanato Portinari, Revestimento de fachada Portinari</t>
  </si>
  <si>
    <t xml:space="preserve">porcelanato Decortiles</t>
  </si>
  <si>
    <t xml:space="preserve">porcelanato Decortiles ou Incepa qual é melhor</t>
  </si>
  <si>
    <t xml:space="preserve">N3 Hub Marcas e Sistemas &gt; Revestimentos cerâmicos &gt; Decortiles, paralelo às páginas de serviço</t>
  </si>
  <si>
    <t xml:space="preserve">Assentamento de porcelanato Decortiles, Laudo de descolamento de porcelanato Decortiles, Reforma com porcelanato Decortiles, Revestimento de fachada Decortiles</t>
  </si>
  <si>
    <t xml:space="preserve">porcelanato Incepa</t>
  </si>
  <si>
    <t xml:space="preserve">porcelanato Incepa ou Roca Cerâmica qual é melhor</t>
  </si>
  <si>
    <t xml:space="preserve">N3 Hub Marcas e Sistemas &gt; Revestimentos cerâmicos &gt; Incepa, paralelo às páginas de serviço</t>
  </si>
  <si>
    <t xml:space="preserve">Assentamento de porcelanato Incepa, Laudo de descolamento de porcelanato Incepa, Reforma com porcelanato Incepa, Revestimento de fachada Incepa</t>
  </si>
  <si>
    <t xml:space="preserve">porcelanato Roca Cerâmica</t>
  </si>
  <si>
    <t xml:space="preserve">porcelanato Roca Cerâmica ou Portobello qual é melhor</t>
  </si>
  <si>
    <t xml:space="preserve">N3 Hub Marcas e Sistemas &gt; Revestimentos cerâmicos &gt; Roca Cerâmica, paralelo às páginas de serviço</t>
  </si>
  <si>
    <t xml:space="preserve">Assentamento de porcelanato Roca Cerâmica, Laudo de descolamento de porcelanato Roca Cerâmica, Reforma com porcelanato Roca Cerâmica, Revestimento de fachada Roca Cerâmica</t>
  </si>
  <si>
    <t xml:space="preserve">Marcas e Sistemas, Reformas, Laudos Técnicos</t>
  </si>
  <si>
    <t xml:space="preserve">metais Deca</t>
  </si>
  <si>
    <t xml:space="preserve">Deca ou Docol qual torneira é melhor</t>
  </si>
  <si>
    <t xml:space="preserve">N3 Hub Marcas e Sistemas &gt; Metais e louças &gt; Deca, paralelo às páginas de serviço</t>
  </si>
  <si>
    <t xml:space="preserve">Instalação de metais Deca, Reforma de banheiro com Deca, Laudo de vazamento em metais Deca</t>
  </si>
  <si>
    <t xml:space="preserve">metais Docol</t>
  </si>
  <si>
    <t xml:space="preserve">Docol ou Lorenzetti qual torneira é melhor</t>
  </si>
  <si>
    <t xml:space="preserve">N3 Hub Marcas e Sistemas &gt; Metais e louças &gt; Docol, paralelo às páginas de serviço</t>
  </si>
  <si>
    <t xml:space="preserve">Instalação de metais Docol, Reforma de banheiro com Docol, Laudo de vazamento em metais Docol</t>
  </si>
  <si>
    <t xml:space="preserve">metais Lorenzetti</t>
  </si>
  <si>
    <t xml:space="preserve">Lorenzetti ou Tramontina qual torneira é melhor</t>
  </si>
  <si>
    <t xml:space="preserve">N3 Hub Marcas e Sistemas &gt; Metais e louças &gt; Lorenzetti, paralelo às páginas de serviço</t>
  </si>
  <si>
    <t xml:space="preserve">Instalação de metais Lorenzetti, Reforma de banheiro com Lorenzetti, Laudo de vazamento em metais Lorenzetti</t>
  </si>
  <si>
    <t xml:space="preserve">metais Tramontina</t>
  </si>
  <si>
    <t xml:space="preserve">Tramontina ou Celite qual torneira é melhor</t>
  </si>
  <si>
    <t xml:space="preserve">N3 Hub Marcas e Sistemas &gt; Metais e louças &gt; Tramontina, paralelo às páginas de serviço</t>
  </si>
  <si>
    <t xml:space="preserve">Instalação de metais Tramontina, Reforma de banheiro com Tramontina, Laudo de vazamento em metais Tramontina</t>
  </si>
  <si>
    <t xml:space="preserve">metais Celite</t>
  </si>
  <si>
    <t xml:space="preserve">Celite ou Roca qual torneira é melhor</t>
  </si>
  <si>
    <t xml:space="preserve">N3 Hub Marcas e Sistemas &gt; Metais e louças &gt; Celite, paralelo às páginas de serviço</t>
  </si>
  <si>
    <t xml:space="preserve">Instalação de metais Celite, Reforma de banheiro com Celite, Laudo de vazamento em metais Celite</t>
  </si>
  <si>
    <t xml:space="preserve">metais Roca</t>
  </si>
  <si>
    <t xml:space="preserve">Roca ou Grohe qual torneira é melhor</t>
  </si>
  <si>
    <t xml:space="preserve">N3 Hub Marcas e Sistemas &gt; Metais e louças &gt; Roca, paralelo às páginas de serviço</t>
  </si>
  <si>
    <t xml:space="preserve">Instalação de metais Roca, Reforma de banheiro com Roca, Laudo de vazamento em metais Roca</t>
  </si>
  <si>
    <t xml:space="preserve">metais Grohe</t>
  </si>
  <si>
    <t xml:space="preserve">Grohe ou Hansgrohe qual torneira é melhor</t>
  </si>
  <si>
    <t xml:space="preserve">N3 Hub Marcas e Sistemas &gt; Metais e louças &gt; Grohe, paralelo às páginas de serviço</t>
  </si>
  <si>
    <t xml:space="preserve">Instalação de metais Grohe, Reforma de banheiro com Grohe, Laudo de vazamento em metais Grohe</t>
  </si>
  <si>
    <t xml:space="preserve">metais Hansgrohe</t>
  </si>
  <si>
    <t xml:space="preserve">Hansgrohe ou Kohler qual torneira é melhor</t>
  </si>
  <si>
    <t xml:space="preserve">N3 Hub Marcas e Sistemas &gt; Metais e louças &gt; Hansgrohe, paralelo às páginas de serviço</t>
  </si>
  <si>
    <t xml:space="preserve">Instalação de metais Hansgrohe, Reforma de banheiro com Hansgrohe, Laudo de vazamento em metais Hansgrohe</t>
  </si>
  <si>
    <t xml:space="preserve">metais Kohler</t>
  </si>
  <si>
    <t xml:space="preserve">Kohler ou Deca qual torneira é melhor</t>
  </si>
  <si>
    <t xml:space="preserve">N3 Hub Marcas e Sistemas &gt; Metais e louças &gt; Kohler, paralelo às páginas de serviço</t>
  </si>
  <si>
    <t xml:space="preserve">Instalação de metais Kohler, Reforma de banheiro com Kohler, Laudo de vazamento em metais Kohler</t>
  </si>
  <si>
    <t xml:space="preserve">Marcas e Sistemas, Reformas, Laudos Técnicos, Recuperação e Manutenção, Projetos de Engenharia</t>
  </si>
  <si>
    <t xml:space="preserve">argamassa Quartzolit</t>
  </si>
  <si>
    <t xml:space="preserve">argamassa Quartzolit ou Votomassa para porcelanato grande</t>
  </si>
  <si>
    <t xml:space="preserve">N3 Hub Marcas e Sistemas &gt; Argamassas e rejuntes &gt; Quartzolit, paralelo às páginas de serviço</t>
  </si>
  <si>
    <t xml:space="preserve">Assentamento com argamassa Quartzolit, Laudo de descolamento com argamassa Quartzolit, Impermeabilização com Quartzolit, Impermeabilização de laje com Quartzolit, Projeto de impermeabilização com Quartzolit, Laudo de falha de impermeabilização Quartzolit</t>
  </si>
  <si>
    <t xml:space="preserve">argamassa Votomassa</t>
  </si>
  <si>
    <t xml:space="preserve">argamassa Votomassa ou Quartzolit para porcelanato grande</t>
  </si>
  <si>
    <t xml:space="preserve">N3 Hub Marcas e Sistemas &gt; Argamassas e rejuntes &gt; Votomassa, paralelo às páginas de serviço</t>
  </si>
  <si>
    <t xml:space="preserve">Assentamento com argamassa Votomassa, Laudo de descolamento com argamassa Votomassa</t>
  </si>
  <si>
    <t xml:space="preserve">Marcas e Sistemas, Recuperação e Manutenção, Projetos de Engenharia, Laudos Técnicos</t>
  </si>
  <si>
    <t xml:space="preserve">impermeabilizante Viapol</t>
  </si>
  <si>
    <t xml:space="preserve">Viapol ou Vedacit qual impermeabilizante usar na laje</t>
  </si>
  <si>
    <t xml:space="preserve">N3 Hub Marcas e Sistemas &gt; Impermeabilizantes &gt; Viapol, paralelo às páginas de serviço</t>
  </si>
  <si>
    <t xml:space="preserve">Impermeabilização com Viapol, Impermeabilização de laje com Viapol, Projeto de impermeabilização com Viapol, Laudo de falha de impermeabilização Viapol</t>
  </si>
  <si>
    <t xml:space="preserve">impermeabilizante Vedacit</t>
  </si>
  <si>
    <t xml:space="preserve">Vedacit ou Sika qual impermeabilizante usar na laje</t>
  </si>
  <si>
    <t xml:space="preserve">N3 Hub Marcas e Sistemas &gt; Impermeabilizantes &gt; Vedacit, paralelo às páginas de serviço</t>
  </si>
  <si>
    <t xml:space="preserve">Impermeabilização com Vedacit, Impermeabilização de laje com Vedacit, Projeto de impermeabilização com Vedacit, Laudo de falha de impermeabilização Vedacit</t>
  </si>
  <si>
    <t xml:space="preserve">impermeabilizante Sika</t>
  </si>
  <si>
    <t xml:space="preserve">Sika ou Denver Impermeabilizantes qual impermeabilizante usar na laje</t>
  </si>
  <si>
    <t xml:space="preserve">N3 Hub Marcas e Sistemas &gt; Impermeabilizantes &gt; Sika, paralelo às páginas de serviço</t>
  </si>
  <si>
    <t xml:space="preserve">Impermeabilização com Sika, Impermeabilização de laje com Sika, Projeto de impermeabilização com Sika, Laudo de falha de impermeabilização Sika</t>
  </si>
  <si>
    <t xml:space="preserve">impermeabilizante Denver Impermeabilizantes</t>
  </si>
  <si>
    <t xml:space="preserve">Denver Impermeabilizantes ou MC-Bauchemie qual impermeabilizante usar na laje</t>
  </si>
  <si>
    <t xml:space="preserve">N3 Hub Marcas e Sistemas &gt; Impermeabilizantes &gt; Denver Impermeabilizantes, paralelo às páginas de serviço</t>
  </si>
  <si>
    <t xml:space="preserve">Impermeabilização com Denver Impermeabilizantes, Impermeabilização de laje com Denver Impermeabilizantes, Projeto de impermeabilização com Denver Impermeabilizantes, Laudo de falha de impermeabilização Denver Impermeabilizantes</t>
  </si>
  <si>
    <t xml:space="preserve">impermeabilizante MC-Bauchemie</t>
  </si>
  <si>
    <t xml:space="preserve">MC-Bauchemie ou Viapol qual impermeabilizante usar na laje</t>
  </si>
  <si>
    <t xml:space="preserve">N3 Hub Marcas e Sistemas &gt; Impermeabilizantes &gt; MC-Bauchemie, paralelo às páginas de serviço</t>
  </si>
  <si>
    <t xml:space="preserve">Impermeabilização com MC-Bauchemie, Impermeabilização de laje com MC-Bauchemie, Projeto de impermeabilização com MC-Bauchemie, Laudo de falha de impermeabilização MC-Bauchemie</t>
  </si>
  <si>
    <t xml:space="preserve">Marcas e Sistemas, Recuperação e Manutenção, Reformas, Laudos Técnicos</t>
  </si>
  <si>
    <t xml:space="preserve">tinta Suvinil fachada</t>
  </si>
  <si>
    <t xml:space="preserve">Suvinil ou Coral qual tinta dura mais perto do mar</t>
  </si>
  <si>
    <t xml:space="preserve">N3 Hub Marcas e Sistemas &gt; Tintas &gt; Suvinil, paralelo às páginas de serviço</t>
  </si>
  <si>
    <t xml:space="preserve">Pintura de fachada Suvinil, Pintura de alto padrão Suvinil, Laudo de pintura descascando Suvinil</t>
  </si>
  <si>
    <t xml:space="preserve">tinta Coral fachada</t>
  </si>
  <si>
    <t xml:space="preserve">Coral ou Sherwin-Williams qual tinta dura mais perto do mar</t>
  </si>
  <si>
    <t xml:space="preserve">N3 Hub Marcas e Sistemas &gt; Tintas &gt; Coral, paralelo às páginas de serviço</t>
  </si>
  <si>
    <t xml:space="preserve">Pintura de fachada Coral, Pintura de alto padrão Coral, Laudo de pintura descascando Coral</t>
  </si>
  <si>
    <t xml:space="preserve">tinta Sherwin-Williams fachada</t>
  </si>
  <si>
    <t xml:space="preserve">Sherwin-Williams ou Lukscolor qual tinta dura mais perto do mar</t>
  </si>
  <si>
    <t xml:space="preserve">N3 Hub Marcas e Sistemas &gt; Tintas &gt; Sherwin-Williams, paralelo às páginas de serviço</t>
  </si>
  <si>
    <t xml:space="preserve">Pintura de fachada Sherwin-Williams, Pintura de alto padrão Sherwin-Williams, Laudo de pintura descascando Sherwin-Williams</t>
  </si>
  <si>
    <t xml:space="preserve">tinta Lukscolor fachada</t>
  </si>
  <si>
    <t xml:space="preserve">Lukscolor ou Suvinil qual tinta dura mais perto do mar</t>
  </si>
  <si>
    <t xml:space="preserve">N3 Hub Marcas e Sistemas &gt; Tintas &gt; Lukscolor, paralelo às páginas de serviço</t>
  </si>
  <si>
    <t xml:space="preserve">Pintura de fachada Lukscolor, Pintura de alto padrão Lukscolor, Laudo de pintura descascando Lukscolor</t>
  </si>
  <si>
    <t xml:space="preserve">Marcas e Sistemas, Reformas</t>
  </si>
  <si>
    <t xml:space="preserve">drywall Placo</t>
  </si>
  <si>
    <t xml:space="preserve">drywall Placo ou Knauf qual é melhor</t>
  </si>
  <si>
    <t xml:space="preserve">N3 Hub Marcas e Sistemas &gt; Drywall e forros &gt; Placo, paralelo às páginas de serviço</t>
  </si>
  <si>
    <t xml:space="preserve">Execução de drywall Placo, Forro de gesso Placo, Isolamento acústico com Placo</t>
  </si>
  <si>
    <t xml:space="preserve">drywall Knauf</t>
  </si>
  <si>
    <t xml:space="preserve">drywall Knauf ou Placo qual é melhor</t>
  </si>
  <si>
    <t xml:space="preserve">N3 Hub Marcas e Sistemas &gt; Drywall e forros &gt; Knauf, paralelo às páginas de serviço</t>
  </si>
  <si>
    <t xml:space="preserve">Execução de drywall Knauf, Forro de gesso Knauf, Isolamento acústico com Knauf</t>
  </si>
  <si>
    <t xml:space="preserve">telhas Brasilit</t>
  </si>
  <si>
    <t xml:space="preserve">telha Brasilit ou Eternit qual escolher</t>
  </si>
  <si>
    <t xml:space="preserve">N3 Hub Marcas e Sistemas &gt; Telhas e coberturas &gt; Brasilit, paralelo às páginas de serviço</t>
  </si>
  <si>
    <t xml:space="preserve">Reforma de telhado com Brasilit, Laudo de telhado Brasilit, Manutenção de telhado Brasilit</t>
  </si>
  <si>
    <t xml:space="preserve">telhas Eternit</t>
  </si>
  <si>
    <t xml:space="preserve">telha Eternit ou Tégula qual escolher</t>
  </si>
  <si>
    <t xml:space="preserve">N3 Hub Marcas e Sistemas &gt; Telhas e coberturas &gt; Eternit, paralelo às páginas de serviço</t>
  </si>
  <si>
    <t xml:space="preserve">Reforma de telhado com Eternit, Laudo de telhado Eternit, Manutenção de telhado Eternit</t>
  </si>
  <si>
    <t xml:space="preserve">telhas Tégula</t>
  </si>
  <si>
    <t xml:space="preserve">telha Tégula ou Owens Corning qual escolher</t>
  </si>
  <si>
    <t xml:space="preserve">N3 Hub Marcas e Sistemas &gt; Telhas e coberturas &gt; Tégula, paralelo às páginas de serviço</t>
  </si>
  <si>
    <t xml:space="preserve">Reforma de telhado com Tégula, Laudo de telhado Tégula, Manutenção de telhado Tégula</t>
  </si>
  <si>
    <t xml:space="preserve">telhas Owens Corning</t>
  </si>
  <si>
    <t xml:space="preserve">telha Owens Corning ou IKO qual escolher</t>
  </si>
  <si>
    <t xml:space="preserve">N3 Hub Marcas e Sistemas &gt; Telhas e coberturas &gt; Owens Corning, paralelo às páginas de serviço</t>
  </si>
  <si>
    <t xml:space="preserve">Reforma de telhado com Owens Corning, Laudo de telhado Owens Corning, Manutenção de telhado Owens Corning</t>
  </si>
  <si>
    <t xml:space="preserve">telhas IKO</t>
  </si>
  <si>
    <t xml:space="preserve">telha IKO ou Kingspan Isoeste qual escolher</t>
  </si>
  <si>
    <t xml:space="preserve">N3 Hub Marcas e Sistemas &gt; Telhas e coberturas &gt; IKO, paralelo às páginas de serviço</t>
  </si>
  <si>
    <t xml:space="preserve">Reforma de telhado com IKO, Laudo de telhado IKO, Manutenção de telhado IKO</t>
  </si>
  <si>
    <t xml:space="preserve">telhas Kingspan Isoeste</t>
  </si>
  <si>
    <t xml:space="preserve">telha Kingspan Isoeste ou Brasilit qual escolher</t>
  </si>
  <si>
    <t xml:space="preserve">N3 Hub Marcas e Sistemas &gt; Telhas e coberturas &gt; Kingspan Isoeste, paralelo às páginas de serviço</t>
  </si>
  <si>
    <t xml:space="preserve">Reforma de telhado com Kingspan Isoeste, Laudo de telhado Kingspan Isoeste, Manutenção de telhado Kingspan Isoeste</t>
  </si>
  <si>
    <t xml:space="preserve">piso Durafloor</t>
  </si>
  <si>
    <t xml:space="preserve">piso Durafloor ou Eucafloor qual é melhor</t>
  </si>
  <si>
    <t xml:space="preserve">N3 Hub Marcas e Sistemas &gt; Pisos de madeira e vinílicos &gt; Durafloor, paralelo às páginas de serviço</t>
  </si>
  <si>
    <t xml:space="preserve">Instalação de piso Durafloor, Laudo de piso Durafloor descolando</t>
  </si>
  <si>
    <t xml:space="preserve">piso Eucafloor</t>
  </si>
  <si>
    <t xml:space="preserve">piso Eucafloor ou Indusparquet qual é melhor</t>
  </si>
  <si>
    <t xml:space="preserve">N3 Hub Marcas e Sistemas &gt; Pisos de madeira e vinílicos &gt; Eucafloor, paralelo às páginas de serviço</t>
  </si>
  <si>
    <t xml:space="preserve">Instalação de piso Eucafloor, Laudo de piso Eucafloor descolando</t>
  </si>
  <si>
    <t xml:space="preserve">piso Indusparquet</t>
  </si>
  <si>
    <t xml:space="preserve">piso Indusparquet ou Tarkett qual é melhor</t>
  </si>
  <si>
    <t xml:space="preserve">N3 Hub Marcas e Sistemas &gt; Pisos de madeira e vinílicos &gt; Indusparquet, paralelo às páginas de serviço</t>
  </si>
  <si>
    <t xml:space="preserve">Instalação de piso Indusparquet, Laudo de piso Indusparquet descolando</t>
  </si>
  <si>
    <t xml:space="preserve">piso Tarkett</t>
  </si>
  <si>
    <t xml:space="preserve">piso Tarkett ou Quick-Step qual é melhor</t>
  </si>
  <si>
    <t xml:space="preserve">N3 Hub Marcas e Sistemas &gt; Pisos de madeira e vinílicos &gt; Tarkett, paralelo às páginas de serviço</t>
  </si>
  <si>
    <t xml:space="preserve">Instalação de piso Tarkett, Laudo de piso Tarkett descolando</t>
  </si>
  <si>
    <t xml:space="preserve">piso Quick-Step</t>
  </si>
  <si>
    <t xml:space="preserve">piso Quick-Step ou Durafloor qual é melhor</t>
  </si>
  <si>
    <t xml:space="preserve">N3 Hub Marcas e Sistemas &gt; Pisos de madeira e vinílicos &gt; Quick-Step, paralelo às páginas de serviço</t>
  </si>
  <si>
    <t xml:space="preserve">Instalação de piso Quick-Step, Laudo de piso Quick-Step descolando</t>
  </si>
  <si>
    <t xml:space="preserve">Marcas e Sistemas, Reformas, Recuperação e Manutenção</t>
  </si>
  <si>
    <t xml:space="preserve">bancada Dekton</t>
  </si>
  <si>
    <t xml:space="preserve">Dekton ou Silestone qual superfície escolher</t>
  </si>
  <si>
    <t xml:space="preserve">Navegacional e Comercial</t>
  </si>
  <si>
    <t xml:space="preserve">N3 Hub Marcas e Sistemas &gt; Superfícies e pedras &gt; Dekton, paralelo às páginas de serviço</t>
  </si>
  <si>
    <t xml:space="preserve">Bancada Dekton, Revestimento de fachada com Dekton</t>
  </si>
  <si>
    <t xml:space="preserve">bancada Silestone</t>
  </si>
  <si>
    <t xml:space="preserve">Silestone ou Neolith qual superfície escolher</t>
  </si>
  <si>
    <t xml:space="preserve">N3 Hub Marcas e Sistemas &gt; Superfícies e pedras &gt; Silestone, paralelo às páginas de serviço</t>
  </si>
  <si>
    <t xml:space="preserve">Bancada Silestone, Revestimento de fachada com Silestone</t>
  </si>
  <si>
    <t xml:space="preserve">bancada Neolith</t>
  </si>
  <si>
    <t xml:space="preserve">Neolith ou Dekton qual superfície escolher</t>
  </si>
  <si>
    <t xml:space="preserve">N3 Hub Marcas e Sistemas &gt; Superfícies e pedras &gt; Neolith, paralelo às páginas de serviço</t>
  </si>
  <si>
    <t xml:space="preserve">Bancada Neolith, Revestimento de fachada com Neolith</t>
  </si>
  <si>
    <t xml:space="preserve">vidro Cebrace</t>
  </si>
  <si>
    <t xml:space="preserve">vidro Cebrace ou Guardian para controle solar</t>
  </si>
  <si>
    <t xml:space="preserve">N3 Hub Marcas e Sistemas &gt; Vidros &gt; Cebrace, paralelo às páginas de serviço</t>
  </si>
  <si>
    <t xml:space="preserve">Instalação de vidros Cebrace, Pele de vidro Cebrace, Guarda-corpo de vidro Cebrace</t>
  </si>
  <si>
    <t xml:space="preserve">vidro Guardian</t>
  </si>
  <si>
    <t xml:space="preserve">vidro Guardian ou Saint-Gobain Glass para controle solar</t>
  </si>
  <si>
    <t xml:space="preserve">N3 Hub Marcas e Sistemas &gt; Vidros &gt; Guardian, paralelo às páginas de serviço</t>
  </si>
  <si>
    <t xml:space="preserve">Instalação de vidros Guardian, Pele de vidro Guardian, Guarda-corpo de vidro Guardian</t>
  </si>
  <si>
    <t xml:space="preserve">vidro Saint-Gobain Glass</t>
  </si>
  <si>
    <t xml:space="preserve">vidro Saint-Gobain Glass ou Cebrace para controle solar</t>
  </si>
  <si>
    <t xml:space="preserve">N3 Hub Marcas e Sistemas &gt; Vidros &gt; Saint-Gobain Glass, paralelo às páginas de serviço</t>
  </si>
  <si>
    <t xml:space="preserve">Instalação de vidros Saint-Gobain Glass, Pele de vidro Saint-Gobain Glass, Guarda-corpo de vidro Saint-Gobain Glass</t>
  </si>
  <si>
    <t xml:space="preserve">MDF Duratex ou Arauco qual é melhor</t>
  </si>
  <si>
    <t xml:space="preserve">N3 Hub Marcas e Sistemas &gt; Painéis de madeira &gt; Duratex, paralelo às páginas de serviço</t>
  </si>
  <si>
    <t xml:space="preserve">MDF Arauco ou Berneck qual é melhor</t>
  </si>
  <si>
    <t xml:space="preserve">N3 Hub Marcas e Sistemas &gt; Painéis de madeira &gt; Arauco, paralelo às páginas de serviço</t>
  </si>
  <si>
    <t xml:space="preserve">MDF Berneck ou Duratex qual é melhor</t>
  </si>
  <si>
    <t xml:space="preserve">N3 Hub Marcas e Sistemas &gt; Painéis de madeira &gt; Berneck, paralelo às páginas de serviço</t>
  </si>
  <si>
    <t xml:space="preserve">Marcas e Sistemas, Instalações e Sistemas, Projetos de Engenharia</t>
  </si>
  <si>
    <t xml:space="preserve">elevador residencial TK Elevator</t>
  </si>
  <si>
    <t xml:space="preserve">elevador residencial TK Elevator ou Otis vale a pena</t>
  </si>
  <si>
    <t xml:space="preserve">Página de marca dentro do hub Marcas e Sistemas, com obra civil e projeto necessários ao equipamento, caso real e CTA de orçamento</t>
  </si>
  <si>
    <t xml:space="preserve">N3 Hub Marcas e Sistemas &gt; Elevadores &gt; TK Elevator, paralelo às páginas de serviço</t>
  </si>
  <si>
    <t xml:space="preserve">Elevador residencial TK Elevator, Obra civil para elevador TK Elevator, Projeto para elevador TK Elevator</t>
  </si>
  <si>
    <t xml:space="preserve">elevador residencial Otis</t>
  </si>
  <si>
    <t xml:space="preserve">elevador residencial Otis ou Atlas Schindler vale a pena</t>
  </si>
  <si>
    <t xml:space="preserve">N3 Hub Marcas e Sistemas &gt; Elevadores &gt; Otis, paralelo às páginas de serviço</t>
  </si>
  <si>
    <t xml:space="preserve">Elevador residencial Otis, Obra civil para elevador Otis, Projeto para elevador Otis</t>
  </si>
  <si>
    <t xml:space="preserve">elevador residencial Atlas Schindler</t>
  </si>
  <si>
    <t xml:space="preserve">elevador residencial Atlas Schindler ou Daiken vale a pena</t>
  </si>
  <si>
    <t xml:space="preserve">N3 Hub Marcas e Sistemas &gt; Elevadores &gt; Atlas Schindler, paralelo às páginas de serviço</t>
  </si>
  <si>
    <t xml:space="preserve">Elevador residencial Atlas Schindler, Obra civil para elevador Atlas Schindler, Projeto para elevador Atlas Schindler</t>
  </si>
  <si>
    <t xml:space="preserve">elevador residencial Daiken</t>
  </si>
  <si>
    <t xml:space="preserve">elevador residencial Daiken ou TK Elevator vale a pena</t>
  </si>
  <si>
    <t xml:space="preserve">N3 Hub Marcas e Sistemas &gt; Elevadores &gt; Daiken, paralelo às páginas de serviço</t>
  </si>
  <si>
    <t xml:space="preserve">Elevador residencial Daiken, Obra civil para elevador Daiken, Projeto para elevador Daiken</t>
  </si>
  <si>
    <t xml:space="preserve">ar-condicionado Daikin</t>
  </si>
  <si>
    <t xml:space="preserve">Daikin ou LG qual ar-condicionado é melhor</t>
  </si>
  <si>
    <t xml:space="preserve">N3 Hub Marcas e Sistemas &gt; Climatização &gt; Daikin, paralelo às páginas de serviço</t>
  </si>
  <si>
    <t xml:space="preserve">Infraestrutura para ar-condicionado Daikin, Projeto de climatização com Daikin</t>
  </si>
  <si>
    <t xml:space="preserve">ar-condicionado LG</t>
  </si>
  <si>
    <t xml:space="preserve">LG ou Samsung qual ar-condicionado é melhor</t>
  </si>
  <si>
    <t xml:space="preserve">N3 Hub Marcas e Sistemas &gt; Climatização &gt; LG, paralelo às páginas de serviço</t>
  </si>
  <si>
    <t xml:space="preserve">Infraestrutura para ar-condicionado LG, Projeto de climatização com LG</t>
  </si>
  <si>
    <t xml:space="preserve">ar-condicionado Samsung</t>
  </si>
  <si>
    <t xml:space="preserve">Samsung ou Midea qual ar-condicionado é melhor</t>
  </si>
  <si>
    <t xml:space="preserve">N3 Hub Marcas e Sistemas &gt; Climatização &gt; Samsung, paralelo às páginas de serviço</t>
  </si>
  <si>
    <t xml:space="preserve">Infraestrutura para ar-condicionado Samsung, Projeto de climatização com Samsung</t>
  </si>
  <si>
    <t xml:space="preserve">ar-condicionado Midea</t>
  </si>
  <si>
    <t xml:space="preserve">Midea ou Carrier qual ar-condicionado é melhor</t>
  </si>
  <si>
    <t xml:space="preserve">N3 Hub Marcas e Sistemas &gt; Climatização &gt; Midea, paralelo às páginas de serviço</t>
  </si>
  <si>
    <t xml:space="preserve">Infraestrutura para ar-condicionado Midea, Projeto de climatização com Midea</t>
  </si>
  <si>
    <t xml:space="preserve">ar-condicionado Carrier</t>
  </si>
  <si>
    <t xml:space="preserve">Carrier ou Fujitsu qual ar-condicionado é melhor</t>
  </si>
  <si>
    <t xml:space="preserve">N3 Hub Marcas e Sistemas &gt; Climatização &gt; Carrier, paralelo às páginas de serviço</t>
  </si>
  <si>
    <t xml:space="preserve">Infraestrutura para ar-condicionado Carrier, Projeto de climatização com Carrier</t>
  </si>
  <si>
    <t xml:space="preserve">ar-condicionado Fujitsu</t>
  </si>
  <si>
    <t xml:space="preserve">Fujitsu ou Gree qual ar-condicionado é melhor</t>
  </si>
  <si>
    <t xml:space="preserve">N3 Hub Marcas e Sistemas &gt; Climatização &gt; Fujitsu, paralelo às páginas de serviço</t>
  </si>
  <si>
    <t xml:space="preserve">Infraestrutura para ar-condicionado Fujitsu, Projeto de climatização com Fujitsu</t>
  </si>
  <si>
    <t xml:space="preserve">ar-condicionado Gree</t>
  </si>
  <si>
    <t xml:space="preserve">Gree ou Trane qual ar-condicionado é melhor</t>
  </si>
  <si>
    <t xml:space="preserve">N3 Hub Marcas e Sistemas &gt; Climatização &gt; Gree, paralelo às páginas de serviço</t>
  </si>
  <si>
    <t xml:space="preserve">Infraestrutura para ar-condicionado Gree, Projeto de climatização com Gree</t>
  </si>
  <si>
    <t xml:space="preserve">ar-condicionado Trane</t>
  </si>
  <si>
    <t xml:space="preserve">Trane ou Daikin qual ar-condicionado é melhor</t>
  </si>
  <si>
    <t xml:space="preserve">N3 Hub Marcas e Sistemas &gt; Climatização &gt; Trane, paralelo às páginas de serviço</t>
  </si>
  <si>
    <t xml:space="preserve">Infraestrutura para ar-condicionado Trane, Projeto de climatização com Trane</t>
  </si>
  <si>
    <t xml:space="preserve">aquecedor a gás Rinnai</t>
  </si>
  <si>
    <t xml:space="preserve">aquecedor Rinnai ou Komeco qual é melhor</t>
  </si>
  <si>
    <t xml:space="preserve">N3 Hub Marcas e Sistemas &gt; Aquecimento a gás &gt; Rinnai, paralelo às páginas de serviço</t>
  </si>
  <si>
    <t xml:space="preserve">Instalação de aquecedor a gás Rinnai, Projeto de água quente com Rinnai</t>
  </si>
  <si>
    <t xml:space="preserve">aquecedor a gás Komeco</t>
  </si>
  <si>
    <t xml:space="preserve">aquecedor Komeco ou Bosch qual é melhor</t>
  </si>
  <si>
    <t xml:space="preserve">N3 Hub Marcas e Sistemas &gt; Aquecimento a gás &gt; Komeco, paralelo às páginas de serviço</t>
  </si>
  <si>
    <t xml:space="preserve">Instalação de aquecedor a gás Komeco, Projeto de água quente com Komeco</t>
  </si>
  <si>
    <t xml:space="preserve">aquecedor a gás Bosch</t>
  </si>
  <si>
    <t xml:space="preserve">aquecedor Bosch ou Rinnai qual é melhor</t>
  </si>
  <si>
    <t xml:space="preserve">N3 Hub Marcas e Sistemas &gt; Aquecimento a gás &gt; Bosch, paralelo às páginas de serviço</t>
  </si>
  <si>
    <t xml:space="preserve">Instalação de aquecedor a gás Bosch, Projeto de água quente com Bosch</t>
  </si>
  <si>
    <t xml:space="preserve">Marcas e Sistemas, Instalações e Sistemas, Projetos de Engenharia, Laudos Técnicos</t>
  </si>
  <si>
    <t xml:space="preserve">gerador WEG</t>
  </si>
  <si>
    <t xml:space="preserve">gerador WEG ou Cummins qual é melhor</t>
  </si>
  <si>
    <t xml:space="preserve">N3 Hub Marcas e Sistemas &gt; Geradores &gt; WEG, paralelo às páginas de serviço</t>
  </si>
  <si>
    <t xml:space="preserve">Energia solar, Material elétrico</t>
  </si>
  <si>
    <t xml:space="preserve">Instalação de gerador WEG, Projeto de gerador WEG, Instalação de sistema fotovoltaico WEG, Laudo de telhado para energia solar WEG, Quadro elétrico WEG, Reforma elétrica com WEG</t>
  </si>
  <si>
    <t xml:space="preserve">gerador Cummins</t>
  </si>
  <si>
    <t xml:space="preserve">gerador Cummins ou Stemac qual é melhor</t>
  </si>
  <si>
    <t xml:space="preserve">N3 Hub Marcas e Sistemas &gt; Geradores &gt; Cummins, paralelo às páginas de serviço</t>
  </si>
  <si>
    <t xml:space="preserve">Instalação de gerador Cummins, Projeto de gerador Cummins</t>
  </si>
  <si>
    <t xml:space="preserve">gerador Stemac</t>
  </si>
  <si>
    <t xml:space="preserve">gerador Stemac ou WEG qual é melhor</t>
  </si>
  <si>
    <t xml:space="preserve">N3 Hub Marcas e Sistemas &gt; Geradores &gt; Stemac, paralelo às páginas de serviço</t>
  </si>
  <si>
    <t xml:space="preserve">Instalação de gerador Stemac, Projeto de gerador Stemac</t>
  </si>
  <si>
    <t xml:space="preserve">Marcas e Sistemas, Instalações e Sistemas, Laudos Técnicos</t>
  </si>
  <si>
    <t xml:space="preserve">painel solar Canadian Solar</t>
  </si>
  <si>
    <t xml:space="preserve">Canadian Solar ou Jinko Solar qual painel solar escolher</t>
  </si>
  <si>
    <t xml:space="preserve">N3 Hub Marcas e Sistemas &gt; Energia solar &gt; Canadian Solar, paralelo às páginas de serviço</t>
  </si>
  <si>
    <t xml:space="preserve">Instalação de sistema fotovoltaico Canadian Solar, Laudo de telhado para energia solar Canadian Solar</t>
  </si>
  <si>
    <t xml:space="preserve">painel solar Jinko Solar</t>
  </si>
  <si>
    <t xml:space="preserve">Jinko Solar ou Fronius qual painel solar escolher</t>
  </si>
  <si>
    <t xml:space="preserve">N3 Hub Marcas e Sistemas &gt; Energia solar &gt; Jinko Solar, paralelo às páginas de serviço</t>
  </si>
  <si>
    <t xml:space="preserve">Instalação de sistema fotovoltaico Jinko Solar, Laudo de telhado para energia solar Jinko Solar</t>
  </si>
  <si>
    <t xml:space="preserve">painel solar Fronius</t>
  </si>
  <si>
    <t xml:space="preserve">Fronius ou Growatt qual painel solar escolher</t>
  </si>
  <si>
    <t xml:space="preserve">N3 Hub Marcas e Sistemas &gt; Energia solar &gt; Fronius, paralelo às páginas de serviço</t>
  </si>
  <si>
    <t xml:space="preserve">Instalação de sistema fotovoltaico Fronius, Laudo de telhado para energia solar Fronius</t>
  </si>
  <si>
    <t xml:space="preserve">painel solar Growatt</t>
  </si>
  <si>
    <t xml:space="preserve">Growatt ou Canadian Solar qual painel solar escolher</t>
  </si>
  <si>
    <t xml:space="preserve">N3 Hub Marcas e Sistemas &gt; Energia solar &gt; Growatt, paralelo às páginas de serviço</t>
  </si>
  <si>
    <t xml:space="preserve">Instalação de sistema fotovoltaico Growatt, Laudo de telhado para energia solar Growatt</t>
  </si>
  <si>
    <t xml:space="preserve">automação residencial Control4</t>
  </si>
  <si>
    <t xml:space="preserve">Control4 ou Crestron para automação residencial</t>
  </si>
  <si>
    <t xml:space="preserve">N3 Hub Marcas e Sistemas &gt; Automação &gt; Control4, paralelo às páginas de serviço</t>
  </si>
  <si>
    <t xml:space="preserve">Automação residencial Control4, Projeto de automação Control4</t>
  </si>
  <si>
    <t xml:space="preserve">automação residencial Crestron</t>
  </si>
  <si>
    <t xml:space="preserve">Crestron ou Savant para automação residencial</t>
  </si>
  <si>
    <t xml:space="preserve">N3 Hub Marcas e Sistemas &gt; Automação &gt; Crestron, paralelo às páginas de serviço</t>
  </si>
  <si>
    <t xml:space="preserve">Automação residencial Crestron, Projeto de automação Crestron</t>
  </si>
  <si>
    <t xml:space="preserve">automação residencial Savant</t>
  </si>
  <si>
    <t xml:space="preserve">Savant ou Lutron para automação residencial</t>
  </si>
  <si>
    <t xml:space="preserve">N3 Hub Marcas e Sistemas &gt; Automação &gt; Savant, paralelo às páginas de serviço</t>
  </si>
  <si>
    <t xml:space="preserve">Automação residencial Savant, Projeto de automação Savant</t>
  </si>
  <si>
    <t xml:space="preserve">automação residencial Lutron</t>
  </si>
  <si>
    <t xml:space="preserve">Lutron ou Intelbras para automação residencial</t>
  </si>
  <si>
    <t xml:space="preserve">N3 Hub Marcas e Sistemas &gt; Automação &gt; Lutron, paralelo às páginas de serviço</t>
  </si>
  <si>
    <t xml:space="preserve">Automação residencial Lutron, Projeto de automação Lutron</t>
  </si>
  <si>
    <t xml:space="preserve">automação residencial Intelbras</t>
  </si>
  <si>
    <t xml:space="preserve">Intelbras ou Control4 para automação residencial</t>
  </si>
  <si>
    <t xml:space="preserve">N3 Hub Marcas e Sistemas &gt; Automação &gt; Intelbras, paralelo às páginas de serviço</t>
  </si>
  <si>
    <t xml:space="preserve">Automação residencial Intelbras, Projeto de automação Intelbras, Instalação de CFTV Intelbras, Projeto de CFTV Intelbras</t>
  </si>
  <si>
    <t xml:space="preserve">câmera Hikvision</t>
  </si>
  <si>
    <t xml:space="preserve">Hikvision ou outra marca qual câmera escolher</t>
  </si>
  <si>
    <t xml:space="preserve">N3 Hub Marcas e Sistemas &gt; Segurança eletrônica &gt; Hikvision, paralelo às páginas de serviço</t>
  </si>
  <si>
    <t xml:space="preserve">Instalação de CFTV Hikvision, Projeto de CFTV Hikvision</t>
  </si>
  <si>
    <t xml:space="preserve">Marcas e Sistemas, Instalações e Sistemas</t>
  </si>
  <si>
    <t xml:space="preserve">quadro elétrico Schneider Electric</t>
  </si>
  <si>
    <t xml:space="preserve">Schneider Electric ou Legrand qual disjuntor é melhor</t>
  </si>
  <si>
    <t xml:space="preserve">N3 Hub Marcas e Sistemas &gt; Material elétrico &gt; Schneider Electric, paralelo às páginas de serviço</t>
  </si>
  <si>
    <t xml:space="preserve">Quadro elétrico Schneider Electric, Reforma elétrica com Schneider Electric</t>
  </si>
  <si>
    <t xml:space="preserve">quadro elétrico Legrand</t>
  </si>
  <si>
    <t xml:space="preserve">Legrand ou Pial Legrand qual disjuntor é melhor</t>
  </si>
  <si>
    <t xml:space="preserve">N3 Hub Marcas e Sistemas &gt; Material elétrico &gt; Legrand, paralelo às páginas de serviço</t>
  </si>
  <si>
    <t xml:space="preserve">Quadro elétrico Legrand, Reforma elétrica com Legrand</t>
  </si>
  <si>
    <t xml:space="preserve">quadro elétrico Pial Legrand</t>
  </si>
  <si>
    <t xml:space="preserve">Pial Legrand ou Siemens qual disjuntor é melhor</t>
  </si>
  <si>
    <t xml:space="preserve">N3 Hub Marcas e Sistemas &gt; Material elétrico &gt; Pial Legrand, paralelo às páginas de serviço</t>
  </si>
  <si>
    <t xml:space="preserve">Quadro elétrico Pial Legrand, Reforma elétrica com Pial Legrand</t>
  </si>
  <si>
    <t xml:space="preserve">quadro elétrico Siemens</t>
  </si>
  <si>
    <t xml:space="preserve">Siemens ou Schneider Electric qual disjuntor é melhor</t>
  </si>
  <si>
    <t xml:space="preserve">N3 Hub Marcas e Sistemas &gt; Material elétrico &gt; Siemens, paralelo às páginas de serviço</t>
  </si>
  <si>
    <t xml:space="preserve">Quadro elétrico Siemens, Reforma elétrica com Siemens</t>
  </si>
  <si>
    <t xml:space="preserve">Marcas e Sistemas, Construção, Reformas</t>
  </si>
  <si>
    <t xml:space="preserve">equipamentos de piscina Sodramar</t>
  </si>
  <si>
    <t xml:space="preserve">Sodramar ou Nautilus qual filtro de piscina</t>
  </si>
  <si>
    <t xml:space="preserve">N3 Hub Marcas e Sistemas &gt; Piscinas &gt; Sodramar, paralelo às páginas de serviço</t>
  </si>
  <si>
    <t xml:space="preserve">Construção de piscina com Sodramar, Reforma de piscina com Sodramar</t>
  </si>
  <si>
    <t xml:space="preserve">equipamentos de piscina Nautilus</t>
  </si>
  <si>
    <t xml:space="preserve">Nautilus ou Jacuzzi qual filtro de piscina</t>
  </si>
  <si>
    <t xml:space="preserve">N3 Hub Marcas e Sistemas &gt; Piscinas &gt; Nautilus, paralelo às páginas de serviço</t>
  </si>
  <si>
    <t xml:space="preserve">Construção de piscina com Nautilus, Reforma de piscina com Nautilus</t>
  </si>
  <si>
    <t xml:space="preserve">equipamentos de piscina Jacuzzi</t>
  </si>
  <si>
    <t xml:space="preserve">Jacuzzi ou Dancor qual filtro de piscina</t>
  </si>
  <si>
    <t xml:space="preserve">N3 Hub Marcas e Sistemas &gt; Piscinas &gt; Jacuzzi, paralelo às páginas de serviço</t>
  </si>
  <si>
    <t xml:space="preserve">Construção de piscina com Jacuzzi, Reforma de piscina com Jacuzzi</t>
  </si>
  <si>
    <t xml:space="preserve">equipamentos de piscina Dancor</t>
  </si>
  <si>
    <t xml:space="preserve">Dancor ou Sodramar qual filtro de piscina</t>
  </si>
  <si>
    <t xml:space="preserve">N3 Hub Marcas e Sistemas &gt; Piscinas &gt; Dancor, paralelo às páginas de serviço</t>
  </si>
  <si>
    <t xml:space="preserve">Construção de piscina com Dancor, Reforma de piscina com Dancor</t>
  </si>
  <si>
    <t xml:space="preserve">casa em steel frame</t>
  </si>
  <si>
    <t xml:space="preserve">Steel frame vale a pena ou alvenaria</t>
  </si>
  <si>
    <t xml:space="preserve">Navegacional, Informacional, Comercial e Transacional</t>
  </si>
  <si>
    <t xml:space="preserve">Página de sistema construtivo com vantagens e limites, custo relativo, serviços no sistema, obras e CTA</t>
  </si>
  <si>
    <t xml:space="preserve">N3 Hub Marcas e Sistemas &gt; Sistemas construtivos &gt; Steel frame, paralelo às páginas de serviço</t>
  </si>
  <si>
    <t xml:space="preserve">Construção em steel frame, Projeto em steel frame, Custo de steel frame por metro quadrado, Laudo de steel frame, Reforma de imóvel em steel frame, Steel frame vale a pena</t>
  </si>
  <si>
    <t xml:space="preserve">casa em wood frame</t>
  </si>
  <si>
    <t xml:space="preserve">Wood frame vale a pena ou alvenaria</t>
  </si>
  <si>
    <t xml:space="preserve">N3 Hub Marcas e Sistemas &gt; Sistemas construtivos &gt; Wood frame, paralelo às páginas de serviço</t>
  </si>
  <si>
    <t xml:space="preserve">Construção em wood frame, Projeto em wood frame, Custo de wood frame por metro quadrado, Laudo de wood frame, Reforma de imóvel em wood frame, Wood frame vale a pena</t>
  </si>
  <si>
    <t xml:space="preserve">casa em estrutura metálica</t>
  </si>
  <si>
    <t xml:space="preserve">Estrutura metálica vale a pena ou alvenaria</t>
  </si>
  <si>
    <t xml:space="preserve">N3 Hub Marcas e Sistemas &gt; Sistemas construtivos &gt; Estrutura metálica, paralelo às páginas de serviço</t>
  </si>
  <si>
    <t xml:space="preserve">Construção em estrutura metálica, Projeto em estrutura metálica, Custo de estrutura metálica por metro quadrado, Reforma de imóvel em estrutura metálica, Estrutura metálica vale a pena</t>
  </si>
  <si>
    <t xml:space="preserve">casa em concreto armado</t>
  </si>
  <si>
    <t xml:space="preserve">Concreto armado vale a pena ou alvenaria</t>
  </si>
  <si>
    <t xml:space="preserve">N3 Hub Marcas e Sistemas &gt; Sistemas construtivos &gt; Concreto armado, paralelo às páginas de serviço</t>
  </si>
  <si>
    <t xml:space="preserve">Construção em concreto armado, Projeto em concreto armado, Custo de concreto armado por metro quadrado, Laudo de concreto armado, Reforma de imóvel em concreto armado, Concreto armado vale a pena</t>
  </si>
  <si>
    <t xml:space="preserve">casa em alvenaria estrutural</t>
  </si>
  <si>
    <t xml:space="preserve">Alvenaria estrutural vale a pena ou alvenaria</t>
  </si>
  <si>
    <t xml:space="preserve">N3 Hub Marcas e Sistemas &gt; Sistemas construtivos &gt; Alvenaria estrutural, paralelo às páginas de serviço</t>
  </si>
  <si>
    <t xml:space="preserve">Construção em alvenaria estrutural, Projeto em alvenaria estrutural, Custo de alvenaria estrutural por metro quadrado, Laudo de alvenaria estrutural, Reforma de imóvel em alvenaria estrutural, Alvenaria estrutural vale a pena</t>
  </si>
  <si>
    <t xml:space="preserve">casa em madeira laminada cruzada</t>
  </si>
  <si>
    <t xml:space="preserve">Madeira laminada cruzada vale a pena ou alvenaria</t>
  </si>
  <si>
    <t xml:space="preserve">N3 Hub Marcas e Sistemas &gt; Sistemas construtivos &gt; Madeira laminada cruzada, paralelo às páginas de serviço</t>
  </si>
  <si>
    <t xml:space="preserve">Construção em madeira laminada cruzada, Projeto em madeira laminada cruzada, Custo de madeira laminada cruzada por metro quadrado, Laudo de madeira laminada cruzada, Reforma de imóvel em madeira laminada cruzada, Madeira laminada cruzada vale a pena</t>
  </si>
  <si>
    <t xml:space="preserve">casa em pré-moldado de concreto</t>
  </si>
  <si>
    <t xml:space="preserve">Pré-moldado de concreto vale a pena ou alvenaria</t>
  </si>
  <si>
    <t xml:space="preserve">N3 Hub Marcas e Sistemas &gt; Sistemas construtivos &gt; Pré-moldado de concreto, paralelo às páginas de serviço</t>
  </si>
  <si>
    <t xml:space="preserve">Construção em pré-moldado de concreto, Projeto em pré-moldado de concreto, Custo de pré-moldado de concreto por metro quadrado, Laudo de pré-moldado de concreto, Reforma de imóvel em pré-moldado de concreto, Pré-moldado de concreto vale a pena</t>
  </si>
  <si>
    <t xml:space="preserve">casa em paredes de concreto</t>
  </si>
  <si>
    <t xml:space="preserve">Paredes de concreto vale a pena ou alvenaria</t>
  </si>
  <si>
    <t xml:space="preserve">N3 Hub Marcas e Sistemas &gt; Sistemas construtivos &gt; Paredes de concreto, paralelo às páginas de serviço</t>
  </si>
  <si>
    <t xml:space="preserve">Construção em paredes de concreto, Projeto em paredes de concreto, Custo de paredes de concreto por metro quadrado, Laudo de paredes de concreto, Reforma de imóvel em paredes de concreto, Paredes de concreto vale a pena</t>
  </si>
  <si>
    <t xml:space="preserve">casa em concreto protendido</t>
  </si>
  <si>
    <t xml:space="preserve">Concreto protendido vale a pena ou alvenaria</t>
  </si>
  <si>
    <t xml:space="preserve">N3 Hub Marcas e Sistemas &gt; Sistemas construtivos &gt; Concreto protendido, paralelo às páginas de serviço</t>
  </si>
  <si>
    <t xml:space="preserve">Construção em concreto protendido, Projeto em concreto protendido, Custo de concreto protendido por metro quadrado, Laudo de concreto protendido, Reforma de imóvel em concreto protendido, Concreto protendido vale a pena</t>
  </si>
  <si>
    <t xml:space="preserve">casa em laje nervurada</t>
  </si>
  <si>
    <t xml:space="preserve">Laje nervurada vale a pena ou alvenaria</t>
  </si>
  <si>
    <t xml:space="preserve">N3 Hub Marcas e Sistemas &gt; Sistemas construtivos &gt; Laje nervurada, paralelo às páginas de serviço</t>
  </si>
  <si>
    <t xml:space="preserve">Execução de laje nervurada, Projeto de laje nervurada, Custo de laje nervurada por metro quadrado, Laudo de laje nervurada, Laje nervurada vale a pena</t>
  </si>
  <si>
    <t xml:space="preserve">casa em laje alveolar</t>
  </si>
  <si>
    <t xml:space="preserve">Laje alveolar vale a pena ou alvenaria</t>
  </si>
  <si>
    <t xml:space="preserve">N3 Hub Marcas e Sistemas &gt; Sistemas construtivos &gt; Laje alveolar, paralelo às páginas de serviço</t>
  </si>
  <si>
    <t xml:space="preserve">Execução de laje alveolar, Projeto de laje alveolar, Custo de laje alveolar por metro quadrado, Laudo de laje alveolar, Laje alveolar vale a pena</t>
  </si>
  <si>
    <t xml:space="preserve">casa em construção a seco</t>
  </si>
  <si>
    <t xml:space="preserve">Construção a seco vale a pena ou alvenaria</t>
  </si>
  <si>
    <t xml:space="preserve">N3 Hub Marcas e Sistemas &gt; Sistemas construtivos &gt; Construção a seco, paralelo às páginas de serviço</t>
  </si>
  <si>
    <t xml:space="preserve">Construção em construção a seco, Projeto em construção a seco, Custo de construção a seco por metro quadrado, Laudo de construção a seco, Reforma de imóvel em construção a seco, Construção a seco vale a pena</t>
  </si>
  <si>
    <t xml:space="preserve">casa em casa modular</t>
  </si>
  <si>
    <t xml:space="preserve">Casa modular vale a pena ou alvenaria</t>
  </si>
  <si>
    <t xml:space="preserve">N3 Hub Marcas e Sistemas &gt; Sistemas construtivos &gt; Casa modular, paralelo às páginas de serviço</t>
  </si>
  <si>
    <t xml:space="preserve">Construção em casa modular, Projeto em casa modular, Custo de casa modular por metro quadrado, Laudo de casa modular, Reforma de imóvel em casa modular, Casa modular vale a pena</t>
  </si>
  <si>
    <t xml:space="preserve">casa em bloco de concreto celular</t>
  </si>
  <si>
    <t xml:space="preserve">Bloco de concreto celular vale a pena ou alvenaria</t>
  </si>
  <si>
    <t xml:space="preserve">N3 Hub Marcas e Sistemas &gt; Sistemas construtivos &gt; Bloco de concreto celular, paralelo às páginas de serviço</t>
  </si>
  <si>
    <t xml:space="preserve">Construção em bloco de concreto celular, Projeto em bloco de concreto celular, Custo de bloco de concreto celular por metro quadrado, Laudo de bloco de concreto celular, Reforma de imóvel em bloco de concreto celular, Bloco de concreto celular vale a pena</t>
  </si>
  <si>
    <t xml:space="preserve">casa em painel de eps</t>
  </si>
  <si>
    <t xml:space="preserve">Painel de EPS vale a pena ou alvenaria</t>
  </si>
  <si>
    <t xml:space="preserve">N3 Hub Marcas e Sistemas &gt; Sistemas construtivos &gt; Painel de EPS, paralelo às páginas de serviço</t>
  </si>
  <si>
    <t xml:space="preserve">Construção em painel de eps, Projeto em painel de eps, Custo de painel de eps por metro quadrado, Laudo de painel de eps, Reforma de imóvel em painel de eps, Painel de EPS vale a pena</t>
  </si>
  <si>
    <t xml:space="preserve">casa em tijolo ecológico</t>
  </si>
  <si>
    <t xml:space="preserve">Tijolo ecológico vale a pena ou alvenaria</t>
  </si>
  <si>
    <t xml:space="preserve">N3 Hub Marcas e Sistemas &gt; Sistemas construtivos &gt; Tijolo ecológico, paralelo às páginas de serviço</t>
  </si>
  <si>
    <t xml:space="preserve">Construção em tijolo ecológico, Projeto em tijolo ecológico, Custo de tijolo ecológico por metro quadrado, Laudo de tijolo ecológico, Reforma de imóvel em tijolo ecológico, Tijolo ecológico vale a pena</t>
  </si>
  <si>
    <t xml:space="preserve">casa em fachada ventilada</t>
  </si>
  <si>
    <t xml:space="preserve">Fachada ventilada vale a pena ou alvenaria</t>
  </si>
  <si>
    <t xml:space="preserve">N3 Hub Marcas e Sistemas &gt; Sistemas construtivos &gt; Fachada ventilada, paralelo às páginas de serviço</t>
  </si>
  <si>
    <t xml:space="preserve">Execução de fachada ventilada, Projeto de fachada ventilada, Custo de fachada ventilada por metro quadrado, Laudo de fachada ventilada, Fachada ventilada vale a pena</t>
  </si>
  <si>
    <t xml:space="preserve">casa em telhado verde</t>
  </si>
  <si>
    <t xml:space="preserve">Telhado verde vale a pena ou alvenaria</t>
  </si>
  <si>
    <t xml:space="preserve">N3 Hub Marcas e Sistemas &gt; Sistemas construtivos &gt; Telhado verde, paralelo às páginas de serviço</t>
  </si>
  <si>
    <t xml:space="preserve">Execução de telhado verde, Projeto de telhado verde, Custo de telhado verde por metro quadrado, Laudo de telhado verde, Telhado verde vale a pena</t>
  </si>
  <si>
    <t xml:space="preserve">casa em telhado shingle</t>
  </si>
  <si>
    <t xml:space="preserve">Telhado shingle vale a pena ou alvenaria</t>
  </si>
  <si>
    <t xml:space="preserve">N3 Hub Marcas e Sistemas &gt; Sistemas construtivos &gt; Telhado shingle, paralelo às páginas de serviço</t>
  </si>
  <si>
    <t xml:space="preserve">Execução de telhado shingle, Projeto de telhado shingle, Custo de telhado shingle por metro quadrado, Laudo de telhado shingle, Telhado shingle vale a pena</t>
  </si>
  <si>
    <t xml:space="preserve">casa em telha termoacústica</t>
  </si>
  <si>
    <t xml:space="preserve">Telha termoacústica vale a pena ou alvenaria</t>
  </si>
  <si>
    <t xml:space="preserve">N3 Hub Marcas e Sistemas &gt; Sistemas construtivos &gt; Telha termoacústica, paralelo às páginas de serviço</t>
  </si>
  <si>
    <t xml:space="preserve">Execução de telha termoacústica, Projeto de telha termoacústica, Custo de telha termoacústica por metro quadrado, Laudo de telha termoacústica, Telha termoacústica vale a pena</t>
  </si>
  <si>
    <t xml:space="preserve">Porto Seguro sinistro residencial</t>
  </si>
  <si>
    <t xml:space="preserve">Porto Seguro negou sinistro o que fazer</t>
  </si>
  <si>
    <t xml:space="preserve">Navegacional e Transacional</t>
  </si>
  <si>
    <t xml:space="preserve">Página de marca sob Laudo de sinistro, com passo a passo do sinistro, contraditório técnico ao regulador e CTA de laudo</t>
  </si>
  <si>
    <t xml:space="preserve">N4 Hub Laudos Técnicos &gt; Laudo de sinistro &gt; Porto Seguro</t>
  </si>
  <si>
    <t xml:space="preserve">Azul Seguros sinistro residencial</t>
  </si>
  <si>
    <t xml:space="preserve">Azul Seguros negou sinistro o que fazer</t>
  </si>
  <si>
    <t xml:space="preserve">N4 Hub Laudos Técnicos &gt; Laudo de sinistro &gt; Azul Seguros</t>
  </si>
  <si>
    <t xml:space="preserve">Itaú Seguros sinistro residencial</t>
  </si>
  <si>
    <t xml:space="preserve">Itaú Seguros negou sinistro o que fazer</t>
  </si>
  <si>
    <t xml:space="preserve">N4 Hub Laudos Técnicos &gt; Laudo de sinistro &gt; Itaú Seguros</t>
  </si>
  <si>
    <t xml:space="preserve">Bradesco Seguros sinistro residencial</t>
  </si>
  <si>
    <t xml:space="preserve">Bradesco Seguros negou sinistro o que fazer</t>
  </si>
  <si>
    <t xml:space="preserve">N4 Hub Laudos Técnicos &gt; Laudo de sinistro &gt; Bradesco Seguros</t>
  </si>
  <si>
    <t xml:space="preserve">Caixa Seguradora sinistro residencial</t>
  </si>
  <si>
    <t xml:space="preserve">Caixa Seguradora negou sinistro o que fazer</t>
  </si>
  <si>
    <t xml:space="preserve">N4 Hub Laudos Técnicos &gt; Laudo de sinistro &gt; Caixa Seguradora</t>
  </si>
  <si>
    <t xml:space="preserve">BB Seguros sinistro residencial</t>
  </si>
  <si>
    <t xml:space="preserve">BB Seguros negou sinistro o que fazer</t>
  </si>
  <si>
    <t xml:space="preserve">N4 Hub Laudos Técnicos &gt; Laudo de sinistro &gt; BB Seguros</t>
  </si>
  <si>
    <t xml:space="preserve">Brasilseg sinistro residencial</t>
  </si>
  <si>
    <t xml:space="preserve">Brasilseg negou sinistro o que fazer</t>
  </si>
  <si>
    <t xml:space="preserve">N4 Hub Laudos Técnicos &gt; Laudo de sinistro &gt; Brasilseg</t>
  </si>
  <si>
    <t xml:space="preserve">SulAmérica sinistro residencial</t>
  </si>
  <si>
    <t xml:space="preserve">SulAmérica negou sinistro o que fazer</t>
  </si>
  <si>
    <t xml:space="preserve">N4 Hub Laudos Técnicos &gt; Laudo de sinistro &gt; SulAmérica</t>
  </si>
  <si>
    <t xml:space="preserve">Allianz sinistro residencial</t>
  </si>
  <si>
    <t xml:space="preserve">Allianz negou sinistro o que fazer</t>
  </si>
  <si>
    <t xml:space="preserve">N4 Hub Laudos Técnicos &gt; Laudo de sinistro &gt; Allianz</t>
  </si>
  <si>
    <t xml:space="preserve">Tokio Marine sinistro residencial</t>
  </si>
  <si>
    <t xml:space="preserve">Tokio Marine negou sinistro o que fazer</t>
  </si>
  <si>
    <t xml:space="preserve">N4 Hub Laudos Técnicos &gt; Laudo de sinistro &gt; Tokio Marine</t>
  </si>
  <si>
    <t xml:space="preserve">HDI Seguros sinistro residencial</t>
  </si>
  <si>
    <t xml:space="preserve">HDI Seguros negou sinistro o que fazer</t>
  </si>
  <si>
    <t xml:space="preserve">N4 Hub Laudos Técnicos &gt; Laudo de sinistro &gt; HDI Seguros</t>
  </si>
  <si>
    <t xml:space="preserve">Yelum Seguros sinistro residencial</t>
  </si>
  <si>
    <t xml:space="preserve">Yelum Seguros negou sinistro o que fazer</t>
  </si>
  <si>
    <t xml:space="preserve">N4 Hub Laudos Técnicos &gt; Laudo de sinistro &gt; Yelum Seguros</t>
  </si>
  <si>
    <t xml:space="preserve">Liberty Seguros sinistro residencial</t>
  </si>
  <si>
    <t xml:space="preserve">Liberty Seguros negou sinistro o que fazer</t>
  </si>
  <si>
    <t xml:space="preserve">N4 Hub Laudos Técnicos &gt; Laudo de sinistro &gt; Liberty Seguros</t>
  </si>
  <si>
    <t xml:space="preserve">Mapfre sinistro residencial</t>
  </si>
  <si>
    <t xml:space="preserve">Mapfre negou sinistro o que fazer</t>
  </si>
  <si>
    <t xml:space="preserve">N4 Hub Laudos Técnicos &gt; Laudo de sinistro &gt; Mapfre</t>
  </si>
  <si>
    <t xml:space="preserve">Zurich sinistro residencial</t>
  </si>
  <si>
    <t xml:space="preserve">Zurich negou sinistro o que fazer</t>
  </si>
  <si>
    <t xml:space="preserve">N4 Hub Laudos Técnicos &gt; Laudo de sinistro &gt; Zurich</t>
  </si>
  <si>
    <t xml:space="preserve">Sompo Seguros sinistro residencial</t>
  </si>
  <si>
    <t xml:space="preserve">Sompo Seguros negou sinistro o que fazer</t>
  </si>
  <si>
    <t xml:space="preserve">N4 Hub Laudos Técnicos &gt; Laudo de sinistro &gt; Sompo Seguros</t>
  </si>
  <si>
    <t xml:space="preserve">Chubb sinistro residencial</t>
  </si>
  <si>
    <t xml:space="preserve">Chubb negou sinistro o que fazer</t>
  </si>
  <si>
    <t xml:space="preserve">N4 Hub Laudos Técnicos &gt; Laudo de sinistro &gt; Chubb</t>
  </si>
  <si>
    <t xml:space="preserve">AXA sinistro residencial</t>
  </si>
  <si>
    <t xml:space="preserve">AXA negou sinistro o que fazer</t>
  </si>
  <si>
    <t xml:space="preserve">N4 Hub Laudos Técnicos &gt; Laudo de sinistro &gt; AXA</t>
  </si>
  <si>
    <t xml:space="preserve">Mitsui Sumitomo Seguros sinistro residencial</t>
  </si>
  <si>
    <t xml:space="preserve">Mitsui Sumitomo Seguros negou sinistro o que fazer</t>
  </si>
  <si>
    <t xml:space="preserve">N4 Hub Laudos Técnicos &gt; Laudo de sinistro &gt; Mitsui Sumitomo Seguros</t>
  </si>
  <si>
    <t xml:space="preserve">Youse sinistro residencial</t>
  </si>
  <si>
    <t xml:space="preserve">Youse negou sinistro o que fazer</t>
  </si>
  <si>
    <t xml:space="preserve">N4 Hub Laudos Técnicos &gt; Laudo de sinistro &gt; Youse</t>
  </si>
  <si>
    <t xml:space="preserve">Ezze Seguros sinistro residencial</t>
  </si>
  <si>
    <t xml:space="preserve">Ezze Seguros negou sinistro o que fazer</t>
  </si>
  <si>
    <t xml:space="preserve">N4 Hub Laudos Técnicos &gt; Laudo de sinistro &gt; Ezze Seguros</t>
  </si>
  <si>
    <t xml:space="preserve">Fairfax Brasil sinistro residencial</t>
  </si>
  <si>
    <t xml:space="preserve">Fairfax Brasil negou sinistro o que fazer</t>
  </si>
  <si>
    <t xml:space="preserve">N4 Hub Laudos Técnicos &gt; Laudo de sinistro &gt; Fairfax Brasil</t>
  </si>
  <si>
    <t xml:space="preserve">Sicredi Seguros sinistro residencial</t>
  </si>
  <si>
    <t xml:space="preserve">Sicredi Seguros negou sinistro o que fazer</t>
  </si>
  <si>
    <t xml:space="preserve">N4 Hub Laudos Técnicos &gt; Laudo de sinistro &gt; Sicredi Seguros</t>
  </si>
  <si>
    <t xml:space="preserve">Pottencial Seguradora sinistro residencial</t>
  </si>
  <si>
    <t xml:space="preserve">Pottencial Seguradora negou sinistro o que fazer</t>
  </si>
  <si>
    <t xml:space="preserve">Seção dentro de /laudos-tecnicos/laudo-sinistro/</t>
  </si>
  <si>
    <t xml:space="preserve">Junto Seguros sinistro residencial</t>
  </si>
  <si>
    <t xml:space="preserve">Junto Seguros negou sinistro o que fazer</t>
  </si>
  <si>
    <t xml:space="preserve">Crawford regulação de sinistro</t>
  </si>
  <si>
    <t xml:space="preserve">laudo da Crawford está errado o que fazer</t>
  </si>
  <si>
    <t xml:space="preserve">N2 Hub Laudos Técnicos &gt; Laudo de sinistro &gt; Crawford</t>
  </si>
  <si>
    <t xml:space="preserve">McLarens regulação de sinistro</t>
  </si>
  <si>
    <t xml:space="preserve">laudo da McLarens está errado o que fazer</t>
  </si>
  <si>
    <t xml:space="preserve">N2 Hub Laudos Técnicos &gt; Laudo de sinistro &gt; McLarens</t>
  </si>
  <si>
    <t xml:space="preserve">Charles Taylor regulação de sinistro</t>
  </si>
  <si>
    <t xml:space="preserve">laudo da Charles Taylor está errado o que fazer</t>
  </si>
  <si>
    <t xml:space="preserve">N2 Hub Laudos Técnicos &gt; Laudo de sinistro &gt; Charles Taylor</t>
  </si>
  <si>
    <t xml:space="preserve">Mondial Assistance assistência residencial</t>
  </si>
  <si>
    <t xml:space="preserve">Mondial Assistance não resolveu o problema o que fazer</t>
  </si>
  <si>
    <t xml:space="preserve">Navegacional e Informacional</t>
  </si>
  <si>
    <t xml:space="preserve">N2 Hub Laudos Técnicos &gt; Laudo de sinistro &gt; Mondial Assistance</t>
  </si>
  <si>
    <t xml:space="preserve">Europ Assistance assistência residencial</t>
  </si>
  <si>
    <t xml:space="preserve">Europ Assistance não resolveu o problema o que fazer</t>
  </si>
  <si>
    <t xml:space="preserve">N2 Hub Laudos Técnicos &gt; Laudo de sinistro &gt; Europ Assistance</t>
  </si>
  <si>
    <t xml:space="preserve">Perícias e Avaliações, Gestão e Fiscalização de Obras</t>
  </si>
  <si>
    <t xml:space="preserve">Caixa Econômica Federal avaliação de imóvel financiamento</t>
  </si>
  <si>
    <t xml:space="preserve">avaliação do imóvel pelo Caixa Econômica Federal veio baixa o que fazer</t>
  </si>
  <si>
    <t xml:space="preserve">Página de marca sob Avaliação para garantia bancária, com exigências do banco, contestação de avaliação e CTA de laudo</t>
  </si>
  <si>
    <t xml:space="preserve">N4 Hub Perícias e Avaliações &gt; Avaliação para garantia bancária &gt; Caixa Econômica Federal</t>
  </si>
  <si>
    <t xml:space="preserve">Banco do Brasil avaliação de imóvel financiamento</t>
  </si>
  <si>
    <t xml:space="preserve">avaliação do imóvel pelo Banco do Brasil veio baixa o que fazer</t>
  </si>
  <si>
    <t xml:space="preserve">N4 Hub Perícias e Avaliações &gt; Avaliação para garantia bancária &gt; Banco do Brasil</t>
  </si>
  <si>
    <t xml:space="preserve">Itaú avaliação de imóvel financiamento</t>
  </si>
  <si>
    <t xml:space="preserve">avaliação do imóvel pelo Itaú veio baixa o que fazer</t>
  </si>
  <si>
    <t xml:space="preserve">N4 Hub Perícias e Avaliações &gt; Avaliação para garantia bancária &gt; Itaú</t>
  </si>
  <si>
    <t xml:space="preserve">Bradesco avaliação de imóvel financiamento</t>
  </si>
  <si>
    <t xml:space="preserve">avaliação do imóvel pelo Bradesco veio baixa o que fazer</t>
  </si>
  <si>
    <t xml:space="preserve">N4 Hub Perícias e Avaliações &gt; Avaliação para garantia bancária &gt; Bradesco</t>
  </si>
  <si>
    <t xml:space="preserve">Santander avaliação de imóvel financiamento</t>
  </si>
  <si>
    <t xml:space="preserve">avaliação do imóvel pelo Santander veio baixa o que fazer</t>
  </si>
  <si>
    <t xml:space="preserve">N4 Hub Perícias e Avaliações &gt; Avaliação para garantia bancária &gt; Santander</t>
  </si>
  <si>
    <t xml:space="preserve">Sicredi avaliação de imóvel financiamento</t>
  </si>
  <si>
    <t xml:space="preserve">avaliação do imóvel pelo Sicredi veio baixa o que fazer</t>
  </si>
  <si>
    <t xml:space="preserve">N4 Hub Perícias e Avaliações &gt; Avaliação para garantia bancária &gt; Sicredi</t>
  </si>
  <si>
    <t xml:space="preserve">Sicoob avaliação de imóvel financiamento</t>
  </si>
  <si>
    <t xml:space="preserve">avaliação do imóvel pelo Sicoob veio baixa o que fazer</t>
  </si>
  <si>
    <t xml:space="preserve">N4 Hub Perícias e Avaliações &gt; Avaliação para garantia bancária &gt; Sicoob</t>
  </si>
  <si>
    <t xml:space="preserve">Banrisul avaliação de imóvel financiamento</t>
  </si>
  <si>
    <t xml:space="preserve">avaliação do imóvel pelo Banrisul veio baixa o que fazer</t>
  </si>
  <si>
    <t xml:space="preserve">N4 Hub Perícias e Avaliações &gt; Avaliação para garantia bancária &gt; Banrisul</t>
  </si>
  <si>
    <t xml:space="preserve">Banco Inter avaliação de imóvel financiamento</t>
  </si>
  <si>
    <t xml:space="preserve">avaliação do imóvel pelo Banco Inter veio baixa o que fazer</t>
  </si>
  <si>
    <t xml:space="preserve">N4 Hub Perícias e Avaliações &gt; Avaliação para garantia bancária &gt; Banco Inter</t>
  </si>
  <si>
    <t xml:space="preserve">BTG Pactual avaliação de imóvel financiamento</t>
  </si>
  <si>
    <t xml:space="preserve">avaliação do imóvel pelo BTG Pactual veio baixa o que fazer</t>
  </si>
  <si>
    <t xml:space="preserve">N4 Hub Perícias e Avaliações &gt; Avaliação para garantia bancária &gt; BTG Pactual</t>
  </si>
  <si>
    <t xml:space="preserve">Creditas avaliação de imóvel financiamento</t>
  </si>
  <si>
    <t xml:space="preserve">avaliação do imóvel pelo Creditas veio baixa o que fazer</t>
  </si>
  <si>
    <t xml:space="preserve">N4 Hub Perícias e Avaliações &gt; Avaliação para garantia bancária &gt; Creditas</t>
  </si>
  <si>
    <t xml:space="preserve">BRDE avaliação de imóvel financiamento</t>
  </si>
  <si>
    <t xml:space="preserve">avaliação do imóvel pelo BRDE veio baixa o que fazer</t>
  </si>
  <si>
    <t xml:space="preserve">Seção dentro de /gestao-de-obras/fiscalizacao-obra-para-banco/</t>
  </si>
  <si>
    <t xml:space="preserve">Badesc avaliação de imóvel financiamento</t>
  </si>
  <si>
    <t xml:space="preserve">avaliação do imóvel pelo Badesc veio baixa o que fazer</t>
  </si>
  <si>
    <t xml:space="preserve">Vistorias e Inspeções, Reformas</t>
  </si>
  <si>
    <t xml:space="preserve">Hantei Florianópolis</t>
  </si>
  <si>
    <t xml:space="preserve">Hantei entrega bem os apartamentos</t>
  </si>
  <si>
    <t xml:space="preserve">Página de marca sob Vistoria de entrega, com o que verificar, prazos de reclamação e CTA de vistoria</t>
  </si>
  <si>
    <t xml:space="preserve">N4 Hub Vistorias e Inspeções &gt; Vistoria de entrega de apartamento &gt; Hantei</t>
  </si>
  <si>
    <t xml:space="preserve">AMS Construtora Florianópolis</t>
  </si>
  <si>
    <t xml:space="preserve">AMS Construtora entrega bem os apartamentos</t>
  </si>
  <si>
    <t xml:space="preserve">N4 Hub Vistorias e Inspeções &gt; Vistoria de entrega de apartamento &gt; AMS Construtora</t>
  </si>
  <si>
    <t xml:space="preserve">Cota Construtora Florianópolis</t>
  </si>
  <si>
    <t xml:space="preserve">Cota Construtora entrega bem os apartamentos</t>
  </si>
  <si>
    <t xml:space="preserve">N4 Hub Vistorias e Inspeções &gt; Vistoria de entrega de apartamento &gt; Cota Construtora</t>
  </si>
  <si>
    <t xml:space="preserve">Dimas Construtora Florianópolis</t>
  </si>
  <si>
    <t xml:space="preserve">Dimas Construtora entrega bem os apartamentos</t>
  </si>
  <si>
    <t xml:space="preserve">N4 Hub Vistorias e Inspeções &gt; Vistoria de entrega de apartamento &gt; Dimas Construtora</t>
  </si>
  <si>
    <t xml:space="preserve">Lumis Construtora Florianópolis</t>
  </si>
  <si>
    <t xml:space="preserve">Lumis Construtora entrega bem os apartamentos</t>
  </si>
  <si>
    <t xml:space="preserve">N4 Hub Vistorias e Inspeções &gt; Vistoria de entrega de apartamento &gt; Lumis Construtora</t>
  </si>
  <si>
    <t xml:space="preserve">CFL Construtora Florianópolis</t>
  </si>
  <si>
    <t xml:space="preserve">CFL Construtora entrega bem os apartamentos</t>
  </si>
  <si>
    <t xml:space="preserve">N4 Hub Vistorias e Inspeções &gt; Vistoria de entrega de apartamento &gt; CFL Construtora</t>
  </si>
  <si>
    <t xml:space="preserve">CSA Construtora Florianópolis</t>
  </si>
  <si>
    <t xml:space="preserve">CSA Construtora entrega bem os apartamentos</t>
  </si>
  <si>
    <t xml:space="preserve">N4 Hub Vistorias e Inspeções &gt; Vistoria de entrega de apartamento &gt; CSA Construtora</t>
  </si>
  <si>
    <t xml:space="preserve">Cadema Florianópolis</t>
  </si>
  <si>
    <t xml:space="preserve">Cadema entrega bem os apartamentos</t>
  </si>
  <si>
    <t xml:space="preserve">N4 Hub Vistorias e Inspeções &gt; Vistoria de entrega de apartamento &gt; Cadema</t>
  </si>
  <si>
    <t xml:space="preserve">Lev-Vel Florianópolis</t>
  </si>
  <si>
    <t xml:space="preserve">Lev-Vel entrega bem os apartamentos</t>
  </si>
  <si>
    <t xml:space="preserve">N4 Hub Vistorias e Inspeções &gt; Vistoria de entrega de apartamento &gt; Lev-Vel</t>
  </si>
  <si>
    <t xml:space="preserve">Placon Florianópolis</t>
  </si>
  <si>
    <t xml:space="preserve">Placon entrega bem os apartamentos</t>
  </si>
  <si>
    <t xml:space="preserve">N4 Hub Vistorias e Inspeções &gt; Vistoria de entrega de apartamento &gt; Placon</t>
  </si>
  <si>
    <t xml:space="preserve">Medlim Florianópolis</t>
  </si>
  <si>
    <t xml:space="preserve">Medlim entrega bem os apartamentos</t>
  </si>
  <si>
    <t xml:space="preserve">N4 Hub Vistorias e Inspeções &gt; Vistoria de entrega de apartamento &gt; Medlim</t>
  </si>
  <si>
    <t xml:space="preserve">Elevaz Florianópolis</t>
  </si>
  <si>
    <t xml:space="preserve">Elevaz entrega bem os apartamentos</t>
  </si>
  <si>
    <t xml:space="preserve">N4 Hub Vistorias e Inspeções &gt; Vistoria de entrega de apartamento &gt; Elevaz</t>
  </si>
  <si>
    <t xml:space="preserve">Construtora Maresia Florianópolis</t>
  </si>
  <si>
    <t xml:space="preserve">Construtora Maresia entrega bem os apartamentos</t>
  </si>
  <si>
    <t xml:space="preserve">N4 Hub Vistorias e Inspeções &gt; Vistoria de entrega de apartamento &gt; Construtora Maresia</t>
  </si>
  <si>
    <t xml:space="preserve">Cardona Florianópolis</t>
  </si>
  <si>
    <t xml:space="preserve">Cardona entrega bem os apartamentos</t>
  </si>
  <si>
    <t xml:space="preserve">N4 Hub Vistorias e Inspeções &gt; Vistoria de entrega de apartamento &gt; Cardona</t>
  </si>
  <si>
    <t xml:space="preserve">Império Real Construtora Florianópolis</t>
  </si>
  <si>
    <t xml:space="preserve">Império Real Construtora entrega bem os apartamentos</t>
  </si>
  <si>
    <t xml:space="preserve">N4 Hub Vistorias e Inspeções &gt; Vistoria de entrega de apartamento &gt; Império Real Construtora</t>
  </si>
  <si>
    <t xml:space="preserve">Allianca Construtora Florianópolis</t>
  </si>
  <si>
    <t xml:space="preserve">Allianca Construtora entrega bem os apartamentos</t>
  </si>
  <si>
    <t xml:space="preserve">N4 Hub Vistorias e Inspeções &gt; Vistoria de entrega de apartamento &gt; Allianca Construtora</t>
  </si>
  <si>
    <t xml:space="preserve">Priori Construtora Florianópolis</t>
  </si>
  <si>
    <t xml:space="preserve">Priori Construtora entrega bem os apartamentos</t>
  </si>
  <si>
    <t xml:space="preserve">N4 Hub Vistorias e Inspeções &gt; Vistoria de entrega de apartamento &gt; Priori Construtora</t>
  </si>
  <si>
    <t xml:space="preserve">Habitasul Florianópolis</t>
  </si>
  <si>
    <t xml:space="preserve">Habitasul entrega bem os apartamentos</t>
  </si>
  <si>
    <t xml:space="preserve">N4 Hub Vistorias e Inspeções &gt; Vistoria de entrega de apartamento &gt; Habitasul</t>
  </si>
  <si>
    <t xml:space="preserve">Rogga Florianópolis</t>
  </si>
  <si>
    <t xml:space="preserve">Rogga entrega bem os apartamentos</t>
  </si>
  <si>
    <t xml:space="preserve">N4 Hub Vistorias e Inspeções &gt; Vistoria de entrega de apartamento &gt; Rogga</t>
  </si>
  <si>
    <t xml:space="preserve">FG Empreendimentos Florianópolis</t>
  </si>
  <si>
    <t xml:space="preserve">FG Empreendimentos entrega bem os apartamentos</t>
  </si>
  <si>
    <t xml:space="preserve">N4 Hub Vistorias e Inspeções &gt; Vistoria de entrega de apartamento &gt; FG Empreendimentos</t>
  </si>
  <si>
    <t xml:space="preserve">Embraed Florianópolis</t>
  </si>
  <si>
    <t xml:space="preserve">Embraed entrega bem os apartamentos</t>
  </si>
  <si>
    <t xml:space="preserve">N4 Hub Vistorias e Inspeções &gt; Vistoria de entrega de apartamento &gt; Embraed</t>
  </si>
  <si>
    <t xml:space="preserve">Pasqualotto Florianópolis</t>
  </si>
  <si>
    <t xml:space="preserve">Pasqualotto entrega bem os apartamentos</t>
  </si>
  <si>
    <t xml:space="preserve">N4 Hub Vistorias e Inspeções &gt; Vistoria de entrega de apartamento &gt; Pasqualotto</t>
  </si>
  <si>
    <t xml:space="preserve">Leroy Merlin Florianópolis</t>
  </si>
  <si>
    <t xml:space="preserve">Leroy Merlin indica engenheiro para obra</t>
  </si>
  <si>
    <t xml:space="preserve">Não criar página: apenas monitorar a busca</t>
  </si>
  <si>
    <t xml:space="preserve">Sem página própria</t>
  </si>
  <si>
    <t xml:space="preserve">Cassol Centerlar Florianópolis</t>
  </si>
  <si>
    <t xml:space="preserve">Cassol Centerlar indica engenheiro para obra</t>
  </si>
  <si>
    <t xml:space="preserve">Koerich Florianópolis</t>
  </si>
  <si>
    <t xml:space="preserve">Koerich indica engenheiro para obra</t>
  </si>
  <si>
    <t xml:space="preserve">Balaroti Florianópolis</t>
  </si>
  <si>
    <t xml:space="preserve">Balaroti indica engenheiro para obra</t>
  </si>
  <si>
    <t xml:space="preserve">Obramax Florianópolis</t>
  </si>
  <si>
    <t xml:space="preserve">Obramax indica engenheiro para obra</t>
  </si>
  <si>
    <t xml:space="preserve">Projetos de Engenharia, Instalações e Sistemas</t>
  </si>
  <si>
    <t xml:space="preserve">Celesc projeto aprovação</t>
  </si>
  <si>
    <t xml:space="preserve">Celesc quanto tempo demora para aprovar projeto</t>
  </si>
  <si>
    <t xml:space="preserve">Página de marca sob o projeto correspondente, com o passo a passo na concessionária e CTA de projeto</t>
  </si>
  <si>
    <t xml:space="preserve">N4 Hub Projetos de Engenharia &gt; Projeto de entrada de energia &gt; Celesc</t>
  </si>
  <si>
    <t xml:space="preserve">Casan projeto aprovação</t>
  </si>
  <si>
    <t xml:space="preserve">Casan quanto tempo demora para aprovar projeto</t>
  </si>
  <si>
    <t xml:space="preserve">N4 Hub Projetos de Engenharia &gt; Projeto hidrossanitário &gt; Casan</t>
  </si>
  <si>
    <t xml:space="preserve">Companhia Águas de Joinville projeto aprovação</t>
  </si>
  <si>
    <t xml:space="preserve">Companhia Águas de Joinville quanto tempo demora para aprovar projeto</t>
  </si>
  <si>
    <t xml:space="preserve">N4 Hub Projetos de Engenharia &gt; Projeto hidrossanitário &gt; Companhia Águas de Joinville</t>
  </si>
  <si>
    <t xml:space="preserve">SAMAE Blumenau projeto aprovação</t>
  </si>
  <si>
    <t xml:space="preserve">SAMAE Blumenau quanto tempo demora para aprovar projeto</t>
  </si>
  <si>
    <t xml:space="preserve">N4 Hub Projetos de Engenharia &gt; Projeto hidrossanitário &gt; SAMAE Blumenau</t>
  </si>
  <si>
    <t xml:space="preserve">SCGÁS projeto aprovação</t>
  </si>
  <si>
    <t xml:space="preserve">SCGÁS quanto tempo demora para aprovar projeto</t>
  </si>
  <si>
    <t xml:space="preserve">N4 Hub Projetos de Engenharia &gt; Projeto de gás natural &gt; SCGÁS</t>
  </si>
  <si>
    <t xml:space="preserve">Prefeitura de Florianópolis alvará</t>
  </si>
  <si>
    <t xml:space="preserve">quanto tempo demora o processo na Prefeitura de Florianópolis</t>
  </si>
  <si>
    <t xml:space="preserve">Página local ou de marca sob Regularização, com documentos, prazos, etapas e CTA de acompanhamento</t>
  </si>
  <si>
    <t xml:space="preserve">N4 Hub Regularização e Aprovações &gt; Obtenção de alvará de construção &gt; Prefeitura de Florianópolis</t>
  </si>
  <si>
    <t xml:space="preserve">Alvará de construção Prefeitura de Florianópolis, Habite-se Prefeitura de Florianópolis</t>
  </si>
  <si>
    <t xml:space="preserve">Prefeitura de São José alvará</t>
  </si>
  <si>
    <t xml:space="preserve">quanto tempo demora o processo na Prefeitura de São José</t>
  </si>
  <si>
    <t xml:space="preserve">N4 Hub Regularização e Aprovações &gt; Obtenção de alvará de construção &gt; Prefeitura de São José</t>
  </si>
  <si>
    <t xml:space="preserve">Alvará de construção Prefeitura de São José, Habite-se Prefeitura de São José</t>
  </si>
  <si>
    <t xml:space="preserve">Prefeitura de Palhoça alvará</t>
  </si>
  <si>
    <t xml:space="preserve">quanto tempo demora o processo na Prefeitura de Palhoça</t>
  </si>
  <si>
    <t xml:space="preserve">N4 Hub Regularização e Aprovações &gt; Obtenção de alvará de construção &gt; Prefeitura de Palhoça</t>
  </si>
  <si>
    <t xml:space="preserve">Alvará de construção Prefeitura de Palhoça, Habite-se Prefeitura de Palhoça</t>
  </si>
  <si>
    <t xml:space="preserve">Prefeitura de Biguaçu alvará</t>
  </si>
  <si>
    <t xml:space="preserve">quanto tempo demora o processo na Prefeitura de Biguaçu</t>
  </si>
  <si>
    <t xml:space="preserve">N4 Hub Regularização e Aprovações &gt; Obtenção de alvará de construção &gt; Prefeitura de Biguaçu</t>
  </si>
  <si>
    <t xml:space="preserve">Prefeitura de Governador Celso Ramos alvará</t>
  </si>
  <si>
    <t xml:space="preserve">quanto tempo demora o processo na Prefeitura de Governador Celso Ramos</t>
  </si>
  <si>
    <t xml:space="preserve">N4 Hub Regularização e Aprovações &gt; Obtenção de alvará de construção &gt; Prefeitura de Governador Celso Ramos</t>
  </si>
  <si>
    <t xml:space="preserve">Prefeitura de Joinville alvará</t>
  </si>
  <si>
    <t xml:space="preserve">quanto tempo demora o processo na Prefeitura de Joinville</t>
  </si>
  <si>
    <t xml:space="preserve">N4 Hub Regularização e Aprovações &gt; Obtenção de alvará de construção &gt; Prefeitura de Joinville</t>
  </si>
  <si>
    <t xml:space="preserve">Prefeitura de Blumenau alvará</t>
  </si>
  <si>
    <t xml:space="preserve">quanto tempo demora o processo na Prefeitura de Blumenau</t>
  </si>
  <si>
    <t xml:space="preserve">N4 Hub Regularização e Aprovações &gt; Obtenção de alvará de construção &gt; Prefeitura de Blumenau</t>
  </si>
  <si>
    <t xml:space="preserve">Prefeitura de Balneário Camboriú alvará</t>
  </si>
  <si>
    <t xml:space="preserve">quanto tempo demora o processo na Prefeitura de Balneário Camboriú</t>
  </si>
  <si>
    <t xml:space="preserve">N4 Hub Regularização e Aprovações &gt; Obtenção de alvará de construção &gt; Prefeitura de Balneário Camboriú</t>
  </si>
  <si>
    <t xml:space="preserve">Corpo de Bombeiros Militar de Santa Catarina alvará</t>
  </si>
  <si>
    <t xml:space="preserve">quanto tempo demora o processo na Corpo de Bombeiros Militar de Santa Catarina</t>
  </si>
  <si>
    <t xml:space="preserve">N4 Hub Regularização e Aprovações &gt; Aprovação no Corpo de Bombeiros &gt; Corpo de Bombeiros Militar de Santa Catarina</t>
  </si>
  <si>
    <t xml:space="preserve">Floram alvará</t>
  </si>
  <si>
    <t xml:space="preserve">quanto tempo demora o processo na Floram</t>
  </si>
  <si>
    <t xml:space="preserve">Seção dentro de /regularizacao/licenciamento-ambiental-obra/</t>
  </si>
  <si>
    <t xml:space="preserve">IMA alvará</t>
  </si>
  <si>
    <t xml:space="preserve">quanto tempo demora o processo na IMA</t>
  </si>
  <si>
    <t xml:space="preserve">SPU alvará</t>
  </si>
  <si>
    <t xml:space="preserve">quanto tempo demora o processo na SPU</t>
  </si>
  <si>
    <t xml:space="preserve">N2 Hub Regularização e Aprovações &gt; Consulta sobre terreno de marinha &gt; SPU</t>
  </si>
  <si>
    <t xml:space="preserve">IPUF alvará</t>
  </si>
  <si>
    <t xml:space="preserve">quanto tempo demora o processo na IPUF</t>
  </si>
  <si>
    <t xml:space="preserve">N2 Hub Consultoria Técnica &gt; Consulta de viabilidade junto à prefeitura &gt; IPUF</t>
  </si>
  <si>
    <t xml:space="preserve">Receita Federal alvará</t>
  </si>
  <si>
    <t xml:space="preserve">quanto tempo demora o processo na Receita Federal</t>
  </si>
  <si>
    <t xml:space="preserve">N2 Hub Regularização e Aprovações &gt; Matrícula de obra no CNO &gt; Receita Federal</t>
  </si>
  <si>
    <t xml:space="preserve">INSS alvará</t>
  </si>
  <si>
    <t xml:space="preserve">quanto tempo demora o processo na INSS</t>
  </si>
  <si>
    <t xml:space="preserve">N2 Hub Regularização e Aprovações &gt; Regularização previdenciária de obra &gt; INSS</t>
  </si>
  <si>
    <t xml:space="preserve">Vigilância Sanitária de Florianópolis alvará</t>
  </si>
  <si>
    <t xml:space="preserve">quanto tempo demora o processo na Vigilância Sanitária de Florianópolis</t>
  </si>
  <si>
    <t xml:space="preserve">N4 Hub Regularização e Aprovações &gt; Regularização junto à Vigilância Sanitária &gt; Vigilância Sanitária de Florianópolis</t>
  </si>
  <si>
    <t xml:space="preserve">Anvisa alvará</t>
  </si>
  <si>
    <t xml:space="preserve">quanto tempo demora o processo na Anvisa</t>
  </si>
  <si>
    <t xml:space="preserve">N2 Hub Regularização e Aprovações &gt; Adequação de clínica às normas da Anvisa &gt; Anvisa</t>
  </si>
  <si>
    <t xml:space="preserve">Defesa Civil de Florianópolis alvará</t>
  </si>
  <si>
    <t xml:space="preserve">quanto tempo demora o processo na Defesa Civil de Florianópolis</t>
  </si>
  <si>
    <t xml:space="preserve">Seção dentro de /laudos-tecnicos/laudo-interdicao/</t>
  </si>
  <si>
    <t xml:space="preserve">Defesa Civil de Santa Catarina alvará</t>
  </si>
  <si>
    <t xml:space="preserve">quanto tempo demora o processo na Defesa Civil de Santa Catarina</t>
  </si>
  <si>
    <t xml:space="preserve">Cartório de Registro de Imóveis alvará</t>
  </si>
  <si>
    <t xml:space="preserve">quanto tempo demora o processo na Cartório de Registro de Imóveis</t>
  </si>
  <si>
    <t xml:space="preserve">N2 Hub Regularização e Aprovações &gt; Averbação de construção &gt; Cartório de Registro de Imóveis</t>
  </si>
  <si>
    <t xml:space="preserve">Procon SC alvará</t>
  </si>
  <si>
    <t xml:space="preserve">quanto tempo demora o processo na Procon SC</t>
  </si>
  <si>
    <t xml:space="preserve">N2 Hub Perícias e Avaliações &gt; Parecer técnico para ação contra construtora &gt; Procon SC</t>
  </si>
  <si>
    <t xml:space="preserve">Tribunal de Justiça de Santa Catarina alvará</t>
  </si>
  <si>
    <t xml:space="preserve">quanto tempo demora o processo na Tribunal de Justiça de Santa Catarina</t>
  </si>
  <si>
    <t xml:space="preserve">Seção dentro de /pericias-e-avaliacoes/assistencia-tecnica-em-pericia-judicial/</t>
  </si>
  <si>
    <t xml:space="preserve">Projetos de Engenharia, Construção</t>
  </si>
  <si>
    <t xml:space="preserve">como verificar registro no Sinduscon Grande Florianópolis</t>
  </si>
  <si>
    <t xml:space="preserve">N2 Hub Projetos de Engenharia &gt; Orçamento de obra &gt; Sinduscon Grande Florianópolis</t>
  </si>
  <si>
    <t xml:space="preserve">CUB SC Sinduscon Grande Florianópolis, Construtora associada ao Sinduscon Grande Florianópolis</t>
  </si>
  <si>
    <t xml:space="preserve">como verificar registro no CREA SC</t>
  </si>
  <si>
    <t xml:space="preserve">Seção dentro de /sobre/</t>
  </si>
  <si>
    <t xml:space="preserve">como verificar registro no Confea</t>
  </si>
  <si>
    <t xml:space="preserve">como verificar registro no IBAPE</t>
  </si>
  <si>
    <t xml:space="preserve">Seção dentro de /pericias-e-avaliacoes/avaliacao-imovel/</t>
  </si>
  <si>
    <t xml:space="preserve">como verificar registro no IBAPE SC</t>
  </si>
  <si>
    <t xml:space="preserve">como verificar registro no CAU SC</t>
  </si>
  <si>
    <t xml:space="preserve">como verificar registro no CBIC</t>
  </si>
  <si>
    <t xml:space="preserve">Seção dentro de /sobre/reconhecimentos/</t>
  </si>
  <si>
    <t xml:space="preserve">como verificar registro no Secovi</t>
  </si>
  <si>
    <t xml:space="preserve">Airbnb Florianópolis</t>
  </si>
  <si>
    <t xml:space="preserve">vale a pena reformar imóvel para Airbnb</t>
  </si>
  <si>
    <t xml:space="preserve">N4 Hub Reformas &gt; Reforma para locação por temporada &gt; Airbnb</t>
  </si>
  <si>
    <t xml:space="preserve">Booking Florianópolis</t>
  </si>
  <si>
    <t xml:space="preserve">vale a pena reformar imóvel para Booking</t>
  </si>
  <si>
    <t xml:space="preserve">N4 Hub Reformas &gt; Reforma para locação por temporada &gt; Booking</t>
  </si>
  <si>
    <t xml:space="preserve">QuintoAndar Florianópolis</t>
  </si>
  <si>
    <t xml:space="preserve">vale a pena reformar imóvel para QuintoAndar</t>
  </si>
  <si>
    <t xml:space="preserve">N2 Hub Vistorias e Inspeções &gt; Vistoria de imóvel para locação &gt; QuintoAndar</t>
  </si>
  <si>
    <t xml:space="preserve">Loft Florianópolis</t>
  </si>
  <si>
    <t xml:space="preserve">vale a pena reformar imóvel para Loft</t>
  </si>
  <si>
    <t xml:space="preserve">N2 Hub Vistorias e Inspeções &gt; Vistoria de imóvel para locação &gt; Loft</t>
  </si>
  <si>
    <t xml:space="preserve">Zap Imóveis Florianópolis</t>
  </si>
  <si>
    <t xml:space="preserve">vale a pena reformar imóvel para Zap Imóveis</t>
  </si>
  <si>
    <t xml:space="preserve">Viva Real Florianópolis</t>
  </si>
  <si>
    <t xml:space="preserve">vale a pena reformar imóvel para Viva Real</t>
  </si>
  <si>
    <t xml:space="preserve">OLX Florianópolis</t>
  </si>
  <si>
    <t xml:space="preserve">vale a pena reformar imóvel para OLX</t>
  </si>
  <si>
    <t xml:space="preserve">GetNinjas Florianópolis</t>
  </si>
  <si>
    <t xml:space="preserve">vale a pena reformar imóvel para GetNinjas</t>
  </si>
  <si>
    <t xml:space="preserve">Cronoshare Florianópolis</t>
  </si>
  <si>
    <t xml:space="preserve">vale a pena reformar imóvel para Cronoshare</t>
  </si>
  <si>
    <t xml:space="preserve">BNI Florianópolis</t>
  </si>
  <si>
    <t xml:space="preserve">empresas de engenharia no BNI</t>
  </si>
  <si>
    <t xml:space="preserve">Clube M Florianópolis</t>
  </si>
  <si>
    <t xml:space="preserve">empresas de engenharia no Clube M</t>
  </si>
  <si>
    <t xml:space="preserve">ACIF Florianópolis</t>
  </si>
  <si>
    <t xml:space="preserve">empresas de engenharia no ACIF</t>
  </si>
  <si>
    <t xml:space="preserve">CDL Florianópolis Florianópolis</t>
  </si>
  <si>
    <t xml:space="preserve">empresas de engenharia no CDL Florianópolis</t>
  </si>
  <si>
    <t xml:space="preserve">CASACOR Santa Catarina Florianópolis</t>
  </si>
  <si>
    <t xml:space="preserve">empresas de engenharia no CASACOR Santa Catarina</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</si>
</sst>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3A4D"/>
      <name val="Arial"/>
      <family val="0"/>
      <charset val="1"/>
    </font>
    <font>
      <sz val="10"/>
      <name val="Arial"/>
      <family val="0"/>
      <charset val="1"/>
    </font>
    <font>
      <b val="true"/>
      <sz val="10"/>
      <color rgb="FF1F3A4D"/>
      <name val="Arial"/>
      <family val="0"/>
      <charset val="1"/>
    </font>
    <font>
      <b val="true"/>
      <sz val="10"/>
      <color rgb="FFFFFFFF"/>
      <name val="Arial"/>
      <family val="0"/>
      <charset val="1"/>
    </font>
    <font>
      <sz val="10"/>
      <color rgb="FF000000"/>
      <name val="Arial"/>
      <family val="0"/>
      <charset val="1"/>
    </font>
    <font>
      <b val="true"/>
      <sz val="10"/>
      <name val="Arial"/>
      <family val="0"/>
      <charset val="1"/>
    </font>
    <font>
      <b val="true"/>
      <sz val="11"/>
      <color rgb="FF1F3A4D"/>
      <name val="Arial"/>
      <family val="0"/>
      <charset val="1"/>
    </font>
  </fonts>
  <fills count="9">
    <fill>
      <patternFill patternType="none"/>
    </fill>
    <fill>
      <patternFill patternType="gray125"/>
    </fill>
    <fill>
      <patternFill patternType="solid">
        <fgColor rgb="FFDCE6EC"/>
        <bgColor rgb="FFE4DFEC"/>
      </patternFill>
    </fill>
    <fill>
      <patternFill patternType="solid">
        <fgColor rgb="FFFFF2CC"/>
        <bgColor rgb="FFFCE4D6"/>
      </patternFill>
    </fill>
    <fill>
      <patternFill patternType="solid">
        <fgColor rgb="FF1F3A4D"/>
        <bgColor rgb="FF003366"/>
      </patternFill>
    </fill>
    <fill>
      <patternFill patternType="solid">
        <fgColor rgb="FFD9EAD3"/>
        <bgColor rgb="FFDCE6EC"/>
      </patternFill>
    </fill>
    <fill>
      <patternFill patternType="solid">
        <fgColor rgb="FFE4DFEC"/>
        <bgColor rgb="FFDCE6EC"/>
      </patternFill>
    </fill>
    <fill>
      <patternFill patternType="solid">
        <fgColor rgb="FFE26B0A"/>
        <bgColor rgb="FFFF9900"/>
      </patternFill>
    </fill>
    <fill>
      <patternFill patternType="solid">
        <fgColor rgb="FFFCE4D6"/>
        <bgColor rgb="FFFFF2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9" fillId="6" borderId="1"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general" vertical="center"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A4D"/>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FFF2CC"/>
          <bgColor rgb="FF000000"/>
        </patternFill>
      </fill>
    </dxf>
    <dxf>
      <fill>
        <patternFill patternType="solid">
          <fgColor rgb="FFE4DFEC"/>
          <bgColor rgb="FF000000"/>
        </patternFill>
      </fill>
    </dxf>
    <dxf>
      <fill>
        <patternFill patternType="solid">
          <fgColor rgb="FFE26B0A"/>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CE6EC"/>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4DFEC"/>
      <rgbColor rgb="FFD9EAD3"/>
      <rgbColor rgb="FFFFFF99"/>
      <rgbColor rgb="FF99CCFF"/>
      <rgbColor rgb="FFFF99CC"/>
      <rgbColor rgb="FFCC99FF"/>
      <rgbColor rgb="FFFCE4D6"/>
      <rgbColor rgb="FF3366FF"/>
      <rgbColor rgb="FF33CCCC"/>
      <rgbColor rgb="FF99CC00"/>
      <rgbColor rgb="FFFFCC00"/>
      <rgbColor rgb="FFFF9900"/>
      <rgbColor rgb="FFE26B0A"/>
      <rgbColor rgb="FF666699"/>
      <rgbColor rgb="FF969696"/>
      <rgbColor rgb="FF003366"/>
      <rgbColor rgb="FF339966"/>
      <rgbColor rgb="FF003300"/>
      <rgbColor rgb="FF333300"/>
      <rgbColor rgb="FF993300"/>
      <rgbColor rgb="FF993366"/>
      <rgbColor rgb="FF333399"/>
      <rgbColor rgb="FF1F3A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5"/>
  </cols>
  <sheetData>
    <row r="1" customFormat="false" ht="64.15" hidden="false" customHeight="false" outlineLevel="0" collapsed="false">
      <c r="A1" s="1" t="s">
        <v>0</v>
      </c>
      <c r="B1" s="2"/>
    </row>
    <row r="2" customFormat="false" ht="15" hidden="false" customHeight="false" outlineLevel="0" collapsed="false">
      <c r="A2" s="3" t="s">
        <v>1</v>
      </c>
      <c r="B2" s="2" t="s">
        <v>2</v>
      </c>
    </row>
    <row r="3" customFormat="false" ht="23.85" hidden="false" customHeight="false" outlineLevel="0" collapsed="false">
      <c r="A3" s="3" t="s">
        <v>3</v>
      </c>
      <c r="B3" s="2" t="s">
        <v>4</v>
      </c>
    </row>
    <row r="4" customFormat="false" ht="15" hidden="false" customHeight="false" outlineLevel="0" collapsed="false">
      <c r="A4" s="3"/>
      <c r="B4" s="2"/>
    </row>
    <row r="5" customFormat="false" ht="15" hidden="false" customHeight="false" outlineLevel="0" collapsed="false">
      <c r="A5" s="4" t="s">
        <v>5</v>
      </c>
      <c r="B5" s="2"/>
    </row>
    <row r="6" customFormat="false" ht="15" hidden="false" customHeight="false" outlineLevel="0" collapsed="false">
      <c r="A6" s="3" t="s">
        <v>6</v>
      </c>
      <c r="B6" s="2" t="s">
        <v>7</v>
      </c>
    </row>
    <row r="7" customFormat="false" ht="15" hidden="false" customHeight="false" outlineLevel="0" collapsed="false">
      <c r="A7" s="3" t="s">
        <v>8</v>
      </c>
      <c r="B7" s="2" t="s">
        <v>9</v>
      </c>
    </row>
    <row r="8" customFormat="false" ht="23.85" hidden="false" customHeight="false" outlineLevel="0" collapsed="false">
      <c r="A8" s="3" t="s">
        <v>10</v>
      </c>
      <c r="B8" s="2" t="s">
        <v>11</v>
      </c>
    </row>
    <row r="9" customFormat="false" ht="15" hidden="false" customHeight="false" outlineLevel="0" collapsed="false">
      <c r="A9" s="3" t="s">
        <v>12</v>
      </c>
      <c r="B9" s="2" t="s">
        <v>13</v>
      </c>
    </row>
    <row r="10" customFormat="false" ht="15" hidden="false" customHeight="false" outlineLevel="0" collapsed="false">
      <c r="A10" s="3" t="s">
        <v>14</v>
      </c>
      <c r="B10" s="2" t="s">
        <v>15</v>
      </c>
    </row>
    <row r="11" customFormat="false" ht="23.85" hidden="false" customHeight="false" outlineLevel="0" collapsed="false">
      <c r="A11" s="3" t="s">
        <v>16</v>
      </c>
      <c r="B11" s="2" t="s">
        <v>17</v>
      </c>
    </row>
    <row r="12" customFormat="false" ht="23.85" hidden="false" customHeight="false" outlineLevel="0" collapsed="false">
      <c r="A12" s="3" t="s">
        <v>18</v>
      </c>
      <c r="B12" s="2" t="s">
        <v>19</v>
      </c>
    </row>
    <row r="13" customFormat="false" ht="23.85" hidden="false" customHeight="false" outlineLevel="0" collapsed="false">
      <c r="A13" s="3" t="s">
        <v>20</v>
      </c>
      <c r="B13" s="2" t="s">
        <v>21</v>
      </c>
    </row>
    <row r="14" customFormat="false" ht="23.85" hidden="false" customHeight="false" outlineLevel="0" collapsed="false">
      <c r="A14" s="3" t="s">
        <v>22</v>
      </c>
      <c r="B14" s="2" t="s">
        <v>23</v>
      </c>
    </row>
    <row r="15" customFormat="false" ht="15" hidden="false" customHeight="false" outlineLevel="0" collapsed="false">
      <c r="A15" s="3"/>
      <c r="B15" s="2"/>
    </row>
    <row r="16" customFormat="false" ht="15" hidden="false" customHeight="false" outlineLevel="0" collapsed="false">
      <c r="A16" s="4" t="s">
        <v>24</v>
      </c>
      <c r="B16" s="2"/>
    </row>
    <row r="17" customFormat="false" ht="15" hidden="false" customHeight="false" outlineLevel="0" collapsed="false">
      <c r="A17" s="3" t="s">
        <v>25</v>
      </c>
      <c r="B17" s="5" t="s">
        <v>26</v>
      </c>
    </row>
    <row r="18" customFormat="false" ht="15" hidden="false" customHeight="false" outlineLevel="0" collapsed="false">
      <c r="A18" s="3" t="s">
        <v>27</v>
      </c>
      <c r="B18" s="2" t="s">
        <v>28</v>
      </c>
    </row>
    <row r="19" customFormat="false" ht="15" hidden="false" customHeight="false" outlineLevel="0" collapsed="false">
      <c r="A19" s="3" t="s">
        <v>29</v>
      </c>
      <c r="B19" s="2" t="s">
        <v>30</v>
      </c>
    </row>
    <row r="20" customFormat="false" ht="15" hidden="false" customHeight="false" outlineLevel="0" collapsed="false">
      <c r="A20" s="3"/>
      <c r="B20" s="2"/>
    </row>
    <row r="21" customFormat="false" ht="15" hidden="false" customHeight="false" outlineLevel="0" collapsed="false">
      <c r="A21" s="4" t="s">
        <v>31</v>
      </c>
      <c r="B21" s="2"/>
    </row>
    <row r="22" customFormat="false" ht="23.85" hidden="false" customHeight="false" outlineLevel="0" collapsed="false">
      <c r="A22" s="3" t="s">
        <v>32</v>
      </c>
      <c r="B22" s="2" t="s">
        <v>33</v>
      </c>
    </row>
    <row r="23" customFormat="false" ht="15" hidden="false" customHeight="false" outlineLevel="0" collapsed="false">
      <c r="A23" s="3" t="s">
        <v>34</v>
      </c>
      <c r="B23" s="2" t="s">
        <v>35</v>
      </c>
    </row>
    <row r="24" customFormat="false" ht="15" hidden="false" customHeight="false" outlineLevel="0" collapsed="false">
      <c r="A24" s="3" t="s">
        <v>36</v>
      </c>
      <c r="B24" s="2" t="s">
        <v>37</v>
      </c>
    </row>
    <row r="25" customFormat="false" ht="15" hidden="false" customHeight="false" outlineLevel="0" collapsed="false">
      <c r="A25" s="3" t="s">
        <v>38</v>
      </c>
      <c r="B25" s="2" t="s">
        <v>39</v>
      </c>
    </row>
    <row r="26" customFormat="false" ht="15" hidden="false" customHeight="false" outlineLevel="0" collapsed="false">
      <c r="A26" s="3" t="s">
        <v>40</v>
      </c>
      <c r="B26" s="2" t="s">
        <v>41</v>
      </c>
    </row>
    <row r="27" customFormat="false" ht="23.85" hidden="false" customHeight="false" outlineLevel="0" collapsed="false">
      <c r="A27" s="3" t="s">
        <v>42</v>
      </c>
      <c r="B27" s="2" t="s">
        <v>43</v>
      </c>
    </row>
    <row r="28" customFormat="false" ht="15" hidden="false" customHeight="false" outlineLevel="0" collapsed="false">
      <c r="A28" s="3" t="s">
        <v>44</v>
      </c>
      <c r="B28" s="2" t="s">
        <v>45</v>
      </c>
    </row>
    <row r="29" customFormat="false" ht="35.05" hidden="false" customHeight="false" outlineLevel="0" collapsed="false">
      <c r="A29" s="3" t="s">
        <v>46</v>
      </c>
      <c r="B29" s="2" t="s">
        <v>47</v>
      </c>
    </row>
    <row r="30" customFormat="false" ht="15" hidden="false" customHeight="false" outlineLevel="0" collapsed="false">
      <c r="A30" s="3"/>
      <c r="B30" s="2"/>
    </row>
    <row r="31" customFormat="false" ht="15" hidden="false" customHeight="false" outlineLevel="0" collapsed="false">
      <c r="A31" s="4" t="s">
        <v>48</v>
      </c>
      <c r="B31" s="2"/>
    </row>
    <row r="32" customFormat="false" ht="15" hidden="false" customHeight="false" outlineLevel="0" collapsed="false">
      <c r="A32" s="3" t="s">
        <v>49</v>
      </c>
      <c r="B32" s="2" t="s">
        <v>50</v>
      </c>
    </row>
    <row r="33" customFormat="false" ht="23.85" hidden="false" customHeight="false" outlineLevel="0" collapsed="false">
      <c r="A33" s="3" t="s">
        <v>51</v>
      </c>
      <c r="B33" s="2" t="s">
        <v>52</v>
      </c>
    </row>
    <row r="34" customFormat="false" ht="15" hidden="false" customHeight="false" outlineLevel="0" collapsed="false">
      <c r="A34" s="3" t="s">
        <v>53</v>
      </c>
      <c r="B34" s="2" t="s">
        <v>54</v>
      </c>
    </row>
    <row r="35" customFormat="false" ht="15" hidden="false" customHeight="false" outlineLevel="0" collapsed="false">
      <c r="A35" s="3" t="s">
        <v>55</v>
      </c>
      <c r="B35" s="2"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40"/>
    <col collapsed="false" customWidth="true" hidden="false" outlineLevel="0" max="4" min="4" style="0" width="44"/>
    <col collapsed="false" customWidth="true" hidden="false" outlineLevel="0" max="5" min="5" style="0" width="22"/>
    <col collapsed="false" customWidth="true" hidden="false" outlineLevel="0" max="6" min="6" style="0" width="60"/>
    <col collapsed="false" customWidth="true" hidden="false" outlineLevel="0" max="7" min="7" style="0" width="30"/>
    <col collapsed="false" customWidth="true" hidden="false" outlineLevel="0" max="8" min="8" style="0" width="28"/>
    <col collapsed="false" customWidth="true" hidden="false" outlineLevel="0" max="9" min="9" style="0" width="60"/>
  </cols>
  <sheetData>
    <row r="1" customFormat="false" ht="31.5" hidden="false" customHeight="true" outlineLevel="0" collapsed="false">
      <c r="A1" s="6" t="s">
        <v>57</v>
      </c>
      <c r="B1" s="6" t="s">
        <v>58</v>
      </c>
      <c r="C1" s="6" t="s">
        <v>59</v>
      </c>
      <c r="D1" s="6" t="s">
        <v>60</v>
      </c>
      <c r="E1" s="6" t="s">
        <v>38</v>
      </c>
      <c r="F1" s="6" t="s">
        <v>61</v>
      </c>
      <c r="G1" s="6" t="s">
        <v>62</v>
      </c>
      <c r="H1" s="6" t="s">
        <v>63</v>
      </c>
      <c r="I1" s="6" t="s">
        <v>64</v>
      </c>
    </row>
    <row r="2" customFormat="false" ht="35.05" hidden="false" customHeight="false" outlineLevel="0" collapsed="false">
      <c r="A2" s="7" t="n">
        <v>0</v>
      </c>
      <c r="B2" s="7" t="s">
        <v>65</v>
      </c>
      <c r="C2" s="7" t="s">
        <v>66</v>
      </c>
      <c r="D2" s="7" t="s">
        <v>67</v>
      </c>
      <c r="E2" s="7" t="s">
        <v>65</v>
      </c>
      <c r="F2" s="8" t="s">
        <v>68</v>
      </c>
      <c r="G2" s="8" t="s">
        <v>69</v>
      </c>
      <c r="H2" s="7" t="s">
        <v>70</v>
      </c>
      <c r="I2" s="8" t="s">
        <v>71</v>
      </c>
    </row>
    <row r="3" customFormat="false" ht="23.85" hidden="false" customHeight="false" outlineLevel="0" collapsed="false">
      <c r="A3" s="7" t="n">
        <v>1</v>
      </c>
      <c r="B3" s="7" t="s">
        <v>72</v>
      </c>
      <c r="C3" s="7" t="s">
        <v>73</v>
      </c>
      <c r="D3" s="7" t="s">
        <v>74</v>
      </c>
      <c r="E3" s="7" t="s">
        <v>75</v>
      </c>
      <c r="F3" s="8" t="s">
        <v>76</v>
      </c>
      <c r="G3" s="8" t="s">
        <v>77</v>
      </c>
      <c r="H3" s="7" t="s">
        <v>70</v>
      </c>
      <c r="I3" s="8" t="s">
        <v>78</v>
      </c>
    </row>
    <row r="4" customFormat="false" ht="46.25" hidden="false" customHeight="false" outlineLevel="0" collapsed="false">
      <c r="A4" s="7" t="n">
        <v>2</v>
      </c>
      <c r="B4" s="7" t="s">
        <v>72</v>
      </c>
      <c r="C4" s="7" t="s">
        <v>79</v>
      </c>
      <c r="D4" s="7" t="s">
        <v>80</v>
      </c>
      <c r="E4" s="7" t="s">
        <v>81</v>
      </c>
      <c r="F4" s="8" t="s">
        <v>82</v>
      </c>
      <c r="G4" s="8" t="s">
        <v>83</v>
      </c>
      <c r="H4" s="7" t="s">
        <v>70</v>
      </c>
      <c r="I4" s="8" t="s">
        <v>84</v>
      </c>
    </row>
    <row r="5" customFormat="false" ht="35.05" hidden="false" customHeight="false" outlineLevel="0" collapsed="false">
      <c r="A5" s="7" t="n">
        <v>3</v>
      </c>
      <c r="B5" s="7" t="s">
        <v>72</v>
      </c>
      <c r="C5" s="7" t="s">
        <v>85</v>
      </c>
      <c r="D5" s="7" t="s">
        <v>86</v>
      </c>
      <c r="E5" s="7" t="s">
        <v>87</v>
      </c>
      <c r="F5" s="8" t="s">
        <v>88</v>
      </c>
      <c r="G5" s="8" t="s">
        <v>89</v>
      </c>
      <c r="H5" s="7" t="s">
        <v>70</v>
      </c>
      <c r="I5" s="8" t="s">
        <v>90</v>
      </c>
    </row>
    <row r="6" customFormat="false" ht="35.05" hidden="false" customHeight="false" outlineLevel="0" collapsed="false">
      <c r="A6" s="7" t="n">
        <v>3</v>
      </c>
      <c r="B6" s="7" t="s">
        <v>72</v>
      </c>
      <c r="C6" s="7" t="s">
        <v>91</v>
      </c>
      <c r="D6" s="7" t="s">
        <v>92</v>
      </c>
      <c r="E6" s="7" t="s">
        <v>87</v>
      </c>
      <c r="F6" s="8" t="s">
        <v>93</v>
      </c>
      <c r="G6" s="8" t="s">
        <v>94</v>
      </c>
      <c r="H6" s="7" t="s">
        <v>70</v>
      </c>
      <c r="I6" s="8" t="s">
        <v>90</v>
      </c>
    </row>
    <row r="7" customFormat="false" ht="23.85" hidden="false" customHeight="false" outlineLevel="0" collapsed="false">
      <c r="A7" s="7" t="n">
        <v>3</v>
      </c>
      <c r="B7" s="7" t="s">
        <v>72</v>
      </c>
      <c r="C7" s="7" t="s">
        <v>95</v>
      </c>
      <c r="D7" s="7" t="s">
        <v>96</v>
      </c>
      <c r="E7" s="7" t="s">
        <v>87</v>
      </c>
      <c r="F7" s="8" t="s">
        <v>97</v>
      </c>
      <c r="G7" s="8" t="s">
        <v>98</v>
      </c>
      <c r="H7" s="7" t="s">
        <v>70</v>
      </c>
      <c r="I7" s="8" t="s">
        <v>90</v>
      </c>
    </row>
    <row r="8" customFormat="false" ht="35.05" hidden="false" customHeight="false" outlineLevel="0" collapsed="false">
      <c r="A8" s="7" t="n">
        <v>3</v>
      </c>
      <c r="B8" s="7" t="s">
        <v>72</v>
      </c>
      <c r="C8" s="7" t="s">
        <v>99</v>
      </c>
      <c r="D8" s="7" t="s">
        <v>100</v>
      </c>
      <c r="E8" s="7" t="s">
        <v>87</v>
      </c>
      <c r="F8" s="8" t="s">
        <v>101</v>
      </c>
      <c r="G8" s="8" t="s">
        <v>102</v>
      </c>
      <c r="H8" s="7" t="s">
        <v>70</v>
      </c>
      <c r="I8" s="8" t="s">
        <v>90</v>
      </c>
    </row>
    <row r="9" customFormat="false" ht="35.05" hidden="false" customHeight="false" outlineLevel="0" collapsed="false">
      <c r="A9" s="7" t="n">
        <v>3</v>
      </c>
      <c r="B9" s="7" t="s">
        <v>72</v>
      </c>
      <c r="C9" s="7" t="s">
        <v>103</v>
      </c>
      <c r="D9" s="7" t="s">
        <v>104</v>
      </c>
      <c r="E9" s="7" t="s">
        <v>87</v>
      </c>
      <c r="F9" s="8" t="s">
        <v>105</v>
      </c>
      <c r="G9" s="8" t="s">
        <v>106</v>
      </c>
      <c r="H9" s="7" t="s">
        <v>70</v>
      </c>
      <c r="I9" s="8" t="s">
        <v>90</v>
      </c>
    </row>
    <row r="10" customFormat="false" ht="23.85" hidden="false" customHeight="false" outlineLevel="0" collapsed="false">
      <c r="A10" s="7" t="n">
        <v>3</v>
      </c>
      <c r="B10" s="7" t="s">
        <v>72</v>
      </c>
      <c r="C10" s="7" t="s">
        <v>107</v>
      </c>
      <c r="D10" s="7" t="s">
        <v>108</v>
      </c>
      <c r="E10" s="7" t="s">
        <v>87</v>
      </c>
      <c r="F10" s="8" t="s">
        <v>109</v>
      </c>
      <c r="G10" s="8" t="s">
        <v>110</v>
      </c>
      <c r="H10" s="7" t="s">
        <v>70</v>
      </c>
      <c r="I10" s="8" t="s">
        <v>90</v>
      </c>
    </row>
    <row r="11" customFormat="false" ht="35.05" hidden="false" customHeight="false" outlineLevel="0" collapsed="false">
      <c r="A11" s="7" t="n">
        <v>3</v>
      </c>
      <c r="B11" s="7" t="s">
        <v>72</v>
      </c>
      <c r="C11" s="7" t="s">
        <v>111</v>
      </c>
      <c r="D11" s="7" t="s">
        <v>112</v>
      </c>
      <c r="E11" s="7" t="s">
        <v>87</v>
      </c>
      <c r="F11" s="8" t="s">
        <v>113</v>
      </c>
      <c r="G11" s="8" t="s">
        <v>114</v>
      </c>
      <c r="H11" s="7" t="s">
        <v>70</v>
      </c>
      <c r="I11" s="8" t="s">
        <v>90</v>
      </c>
    </row>
    <row r="12" customFormat="false" ht="35.05" hidden="false" customHeight="false" outlineLevel="0" collapsed="false">
      <c r="A12" s="7" t="n">
        <v>3</v>
      </c>
      <c r="B12" s="7" t="s">
        <v>72</v>
      </c>
      <c r="C12" s="7" t="s">
        <v>115</v>
      </c>
      <c r="D12" s="7" t="s">
        <v>116</v>
      </c>
      <c r="E12" s="7" t="s">
        <v>87</v>
      </c>
      <c r="F12" s="8" t="s">
        <v>117</v>
      </c>
      <c r="G12" s="8" t="s">
        <v>118</v>
      </c>
      <c r="H12" s="7" t="s">
        <v>70</v>
      </c>
      <c r="I12" s="8" t="s">
        <v>90</v>
      </c>
    </row>
    <row r="13" customFormat="false" ht="23.85" hidden="false" customHeight="false" outlineLevel="0" collapsed="false">
      <c r="A13" s="7" t="n">
        <v>3</v>
      </c>
      <c r="B13" s="7" t="s">
        <v>72</v>
      </c>
      <c r="C13" s="7" t="s">
        <v>119</v>
      </c>
      <c r="D13" s="7" t="s">
        <v>120</v>
      </c>
      <c r="E13" s="7" t="s">
        <v>87</v>
      </c>
      <c r="F13" s="8" t="s">
        <v>121</v>
      </c>
      <c r="G13" s="8" t="s">
        <v>122</v>
      </c>
      <c r="H13" s="7" t="s">
        <v>70</v>
      </c>
      <c r="I13" s="8" t="s">
        <v>90</v>
      </c>
    </row>
    <row r="14" customFormat="false" ht="35.05" hidden="false" customHeight="false" outlineLevel="0" collapsed="false">
      <c r="A14" s="7" t="n">
        <v>3</v>
      </c>
      <c r="B14" s="7" t="s">
        <v>72</v>
      </c>
      <c r="C14" s="7" t="s">
        <v>123</v>
      </c>
      <c r="D14" s="7" t="s">
        <v>124</v>
      </c>
      <c r="E14" s="7" t="s">
        <v>87</v>
      </c>
      <c r="F14" s="8" t="s">
        <v>125</v>
      </c>
      <c r="G14" s="8" t="s">
        <v>126</v>
      </c>
      <c r="H14" s="7" t="s">
        <v>70</v>
      </c>
      <c r="I14" s="8" t="s">
        <v>90</v>
      </c>
    </row>
    <row r="15" customFormat="false" ht="23.85" hidden="false" customHeight="false" outlineLevel="0" collapsed="false">
      <c r="A15" s="7" t="n">
        <v>3</v>
      </c>
      <c r="B15" s="7" t="s">
        <v>72</v>
      </c>
      <c r="C15" s="7" t="s">
        <v>127</v>
      </c>
      <c r="D15" s="7" t="s">
        <v>128</v>
      </c>
      <c r="E15" s="7" t="s">
        <v>87</v>
      </c>
      <c r="F15" s="8" t="s">
        <v>129</v>
      </c>
      <c r="G15" s="8" t="s">
        <v>130</v>
      </c>
      <c r="H15" s="7" t="s">
        <v>70</v>
      </c>
      <c r="I15" s="8" t="s">
        <v>90</v>
      </c>
    </row>
    <row r="16" customFormat="false" ht="46.25" hidden="false" customHeight="false" outlineLevel="0" collapsed="false">
      <c r="A16" s="7" t="n">
        <v>4</v>
      </c>
      <c r="B16" s="7" t="s">
        <v>72</v>
      </c>
      <c r="C16" s="7" t="s">
        <v>131</v>
      </c>
      <c r="D16" s="7" t="s">
        <v>132</v>
      </c>
      <c r="E16" s="7" t="s">
        <v>133</v>
      </c>
      <c r="F16" s="8" t="s">
        <v>134</v>
      </c>
      <c r="G16" s="8" t="s">
        <v>83</v>
      </c>
      <c r="H16" s="7" t="s">
        <v>135</v>
      </c>
      <c r="I16" s="8" t="s">
        <v>136</v>
      </c>
    </row>
    <row r="17" customFormat="false" ht="46.25" hidden="false" customHeight="false" outlineLevel="0" collapsed="false">
      <c r="A17" s="7" t="n">
        <v>5</v>
      </c>
      <c r="B17" s="7" t="s">
        <v>72</v>
      </c>
      <c r="C17" s="7" t="s">
        <v>137</v>
      </c>
      <c r="D17" s="7" t="s">
        <v>138</v>
      </c>
      <c r="E17" s="7" t="s">
        <v>139</v>
      </c>
      <c r="F17" s="8" t="s">
        <v>140</v>
      </c>
      <c r="G17" s="8" t="s">
        <v>83</v>
      </c>
      <c r="H17" s="7" t="s">
        <v>135</v>
      </c>
      <c r="I17" s="8" t="s">
        <v>141</v>
      </c>
    </row>
    <row r="18" customFormat="false" ht="46.25" hidden="false" customHeight="false" outlineLevel="0" collapsed="false">
      <c r="A18" s="7" t="n">
        <v>2</v>
      </c>
      <c r="B18" s="7" t="s">
        <v>72</v>
      </c>
      <c r="C18" s="7" t="s">
        <v>142</v>
      </c>
      <c r="D18" s="7" t="s">
        <v>143</v>
      </c>
      <c r="E18" s="7" t="s">
        <v>81</v>
      </c>
      <c r="F18" s="8" t="s">
        <v>144</v>
      </c>
      <c r="G18" s="8" t="s">
        <v>145</v>
      </c>
      <c r="H18" s="7" t="s">
        <v>70</v>
      </c>
      <c r="I18" s="8" t="s">
        <v>84</v>
      </c>
    </row>
    <row r="19" customFormat="false" ht="35.05" hidden="false" customHeight="false" outlineLevel="0" collapsed="false">
      <c r="A19" s="7" t="n">
        <v>3</v>
      </c>
      <c r="B19" s="7" t="s">
        <v>72</v>
      </c>
      <c r="C19" s="7" t="s">
        <v>146</v>
      </c>
      <c r="D19" s="7" t="s">
        <v>147</v>
      </c>
      <c r="E19" s="7" t="s">
        <v>87</v>
      </c>
      <c r="F19" s="8" t="s">
        <v>148</v>
      </c>
      <c r="G19" s="8" t="s">
        <v>149</v>
      </c>
      <c r="H19" s="7" t="s">
        <v>70</v>
      </c>
      <c r="I19" s="8" t="s">
        <v>90</v>
      </c>
    </row>
    <row r="20" customFormat="false" ht="35.05" hidden="false" customHeight="false" outlineLevel="0" collapsed="false">
      <c r="A20" s="7" t="n">
        <v>3</v>
      </c>
      <c r="B20" s="7" t="s">
        <v>72</v>
      </c>
      <c r="C20" s="7" t="s">
        <v>150</v>
      </c>
      <c r="D20" s="7" t="s">
        <v>151</v>
      </c>
      <c r="E20" s="7" t="s">
        <v>87</v>
      </c>
      <c r="F20" s="8" t="s">
        <v>152</v>
      </c>
      <c r="G20" s="8" t="s">
        <v>153</v>
      </c>
      <c r="H20" s="7" t="s">
        <v>70</v>
      </c>
      <c r="I20" s="8" t="s">
        <v>90</v>
      </c>
    </row>
    <row r="21" customFormat="false" ht="35.05" hidden="false" customHeight="false" outlineLevel="0" collapsed="false">
      <c r="A21" s="7" t="n">
        <v>3</v>
      </c>
      <c r="B21" s="7" t="s">
        <v>72</v>
      </c>
      <c r="C21" s="7" t="s">
        <v>154</v>
      </c>
      <c r="D21" s="7" t="s">
        <v>155</v>
      </c>
      <c r="E21" s="7" t="s">
        <v>87</v>
      </c>
      <c r="F21" s="8" t="s">
        <v>156</v>
      </c>
      <c r="G21" s="8" t="s">
        <v>98</v>
      </c>
      <c r="H21" s="7" t="s">
        <v>70</v>
      </c>
      <c r="I21" s="8" t="s">
        <v>90</v>
      </c>
    </row>
    <row r="22" customFormat="false" ht="35.05" hidden="false" customHeight="false" outlineLevel="0" collapsed="false">
      <c r="A22" s="7" t="n">
        <v>3</v>
      </c>
      <c r="B22" s="7" t="s">
        <v>72</v>
      </c>
      <c r="C22" s="7" t="s">
        <v>157</v>
      </c>
      <c r="D22" s="7" t="s">
        <v>158</v>
      </c>
      <c r="E22" s="7" t="s">
        <v>87</v>
      </c>
      <c r="F22" s="8" t="s">
        <v>159</v>
      </c>
      <c r="G22" s="8" t="s">
        <v>160</v>
      </c>
      <c r="H22" s="7" t="s">
        <v>70</v>
      </c>
      <c r="I22" s="8" t="s">
        <v>90</v>
      </c>
    </row>
    <row r="23" customFormat="false" ht="23.85" hidden="false" customHeight="false" outlineLevel="0" collapsed="false">
      <c r="A23" s="7" t="n">
        <v>3</v>
      </c>
      <c r="B23" s="7" t="s">
        <v>72</v>
      </c>
      <c r="C23" s="7" t="s">
        <v>161</v>
      </c>
      <c r="D23" s="7" t="s">
        <v>162</v>
      </c>
      <c r="E23" s="7" t="s">
        <v>87</v>
      </c>
      <c r="F23" s="8" t="s">
        <v>163</v>
      </c>
      <c r="G23" s="8" t="s">
        <v>164</v>
      </c>
      <c r="H23" s="7" t="s">
        <v>70</v>
      </c>
      <c r="I23" s="8" t="s">
        <v>90</v>
      </c>
    </row>
    <row r="24" customFormat="false" ht="35.05" hidden="false" customHeight="false" outlineLevel="0" collapsed="false">
      <c r="A24" s="7" t="n">
        <v>3</v>
      </c>
      <c r="B24" s="7" t="s">
        <v>72</v>
      </c>
      <c r="C24" s="7" t="s">
        <v>165</v>
      </c>
      <c r="D24" s="7" t="s">
        <v>166</v>
      </c>
      <c r="E24" s="7" t="s">
        <v>87</v>
      </c>
      <c r="F24" s="8" t="s">
        <v>167</v>
      </c>
      <c r="G24" s="8" t="s">
        <v>168</v>
      </c>
      <c r="H24" s="7" t="s">
        <v>70</v>
      </c>
      <c r="I24" s="8" t="s">
        <v>90</v>
      </c>
    </row>
    <row r="25" customFormat="false" ht="35.05" hidden="false" customHeight="false" outlineLevel="0" collapsed="false">
      <c r="A25" s="7" t="n">
        <v>3</v>
      </c>
      <c r="B25" s="7" t="s">
        <v>72</v>
      </c>
      <c r="C25" s="7" t="s">
        <v>169</v>
      </c>
      <c r="D25" s="7" t="s">
        <v>170</v>
      </c>
      <c r="E25" s="7" t="s">
        <v>87</v>
      </c>
      <c r="F25" s="8" t="s">
        <v>171</v>
      </c>
      <c r="G25" s="8" t="s">
        <v>172</v>
      </c>
      <c r="H25" s="7" t="s">
        <v>70</v>
      </c>
      <c r="I25" s="8" t="s">
        <v>90</v>
      </c>
    </row>
    <row r="26" customFormat="false" ht="35.05" hidden="false" customHeight="false" outlineLevel="0" collapsed="false">
      <c r="A26" s="7" t="n">
        <v>3</v>
      </c>
      <c r="B26" s="7" t="s">
        <v>72</v>
      </c>
      <c r="C26" s="7" t="s">
        <v>173</v>
      </c>
      <c r="D26" s="7" t="s">
        <v>174</v>
      </c>
      <c r="E26" s="7" t="s">
        <v>87</v>
      </c>
      <c r="F26" s="8" t="s">
        <v>175</v>
      </c>
      <c r="G26" s="8" t="s">
        <v>176</v>
      </c>
      <c r="H26" s="7" t="s">
        <v>70</v>
      </c>
      <c r="I26" s="8" t="s">
        <v>90</v>
      </c>
    </row>
    <row r="27" customFormat="false" ht="23.85" hidden="false" customHeight="false" outlineLevel="0" collapsed="false">
      <c r="A27" s="7" t="n">
        <v>3</v>
      </c>
      <c r="B27" s="7" t="s">
        <v>72</v>
      </c>
      <c r="C27" s="7" t="s">
        <v>177</v>
      </c>
      <c r="D27" s="7" t="s">
        <v>178</v>
      </c>
      <c r="E27" s="7" t="s">
        <v>87</v>
      </c>
      <c r="F27" s="8" t="s">
        <v>179</v>
      </c>
      <c r="G27" s="8" t="s">
        <v>126</v>
      </c>
      <c r="H27" s="7" t="s">
        <v>70</v>
      </c>
      <c r="I27" s="8" t="s">
        <v>90</v>
      </c>
    </row>
    <row r="28" customFormat="false" ht="46.25" hidden="false" customHeight="false" outlineLevel="0" collapsed="false">
      <c r="A28" s="7" t="n">
        <v>4</v>
      </c>
      <c r="B28" s="7" t="s">
        <v>72</v>
      </c>
      <c r="C28" s="7" t="s">
        <v>131</v>
      </c>
      <c r="D28" s="7" t="s">
        <v>180</v>
      </c>
      <c r="E28" s="7" t="s">
        <v>133</v>
      </c>
      <c r="F28" s="8" t="s">
        <v>134</v>
      </c>
      <c r="G28" s="8" t="s">
        <v>145</v>
      </c>
      <c r="H28" s="7" t="s">
        <v>135</v>
      </c>
      <c r="I28" s="8" t="s">
        <v>136</v>
      </c>
    </row>
    <row r="29" customFormat="false" ht="46.25" hidden="false" customHeight="false" outlineLevel="0" collapsed="false">
      <c r="A29" s="7" t="n">
        <v>5</v>
      </c>
      <c r="B29" s="7" t="s">
        <v>72</v>
      </c>
      <c r="C29" s="7" t="s">
        <v>137</v>
      </c>
      <c r="D29" s="7" t="s">
        <v>181</v>
      </c>
      <c r="E29" s="7" t="s">
        <v>139</v>
      </c>
      <c r="F29" s="8" t="s">
        <v>140</v>
      </c>
      <c r="G29" s="8" t="s">
        <v>145</v>
      </c>
      <c r="H29" s="7" t="s">
        <v>135</v>
      </c>
      <c r="I29" s="8" t="s">
        <v>141</v>
      </c>
    </row>
    <row r="30" customFormat="false" ht="35.05" hidden="false" customHeight="false" outlineLevel="0" collapsed="false">
      <c r="A30" s="7" t="n">
        <v>2</v>
      </c>
      <c r="B30" s="7" t="s">
        <v>72</v>
      </c>
      <c r="C30" s="7" t="s">
        <v>182</v>
      </c>
      <c r="D30" s="7" t="s">
        <v>183</v>
      </c>
      <c r="E30" s="7" t="s">
        <v>81</v>
      </c>
      <c r="F30" s="8" t="s">
        <v>184</v>
      </c>
      <c r="G30" s="8" t="s">
        <v>185</v>
      </c>
      <c r="H30" s="7" t="s">
        <v>70</v>
      </c>
      <c r="I30" s="8" t="s">
        <v>84</v>
      </c>
    </row>
    <row r="31" customFormat="false" ht="35.05" hidden="false" customHeight="false" outlineLevel="0" collapsed="false">
      <c r="A31" s="7" t="n">
        <v>3</v>
      </c>
      <c r="B31" s="7" t="s">
        <v>72</v>
      </c>
      <c r="C31" s="7" t="s">
        <v>186</v>
      </c>
      <c r="D31" s="7" t="s">
        <v>187</v>
      </c>
      <c r="E31" s="7" t="s">
        <v>87</v>
      </c>
      <c r="F31" s="8" t="s">
        <v>188</v>
      </c>
      <c r="G31" s="8" t="s">
        <v>189</v>
      </c>
      <c r="H31" s="7" t="s">
        <v>70</v>
      </c>
      <c r="I31" s="8" t="s">
        <v>90</v>
      </c>
    </row>
    <row r="32" customFormat="false" ht="35.05" hidden="false" customHeight="false" outlineLevel="0" collapsed="false">
      <c r="A32" s="7" t="n">
        <v>3</v>
      </c>
      <c r="B32" s="7" t="s">
        <v>72</v>
      </c>
      <c r="C32" s="7" t="s">
        <v>190</v>
      </c>
      <c r="D32" s="7" t="s">
        <v>191</v>
      </c>
      <c r="E32" s="7" t="s">
        <v>87</v>
      </c>
      <c r="F32" s="8" t="s">
        <v>192</v>
      </c>
      <c r="G32" s="8" t="s">
        <v>193</v>
      </c>
      <c r="H32" s="7" t="s">
        <v>70</v>
      </c>
      <c r="I32" s="8" t="s">
        <v>90</v>
      </c>
    </row>
    <row r="33" customFormat="false" ht="23.85" hidden="false" customHeight="false" outlineLevel="0" collapsed="false">
      <c r="A33" s="7" t="n">
        <v>3</v>
      </c>
      <c r="B33" s="7" t="s">
        <v>72</v>
      </c>
      <c r="C33" s="7" t="s">
        <v>194</v>
      </c>
      <c r="D33" s="7" t="s">
        <v>195</v>
      </c>
      <c r="E33" s="7" t="s">
        <v>87</v>
      </c>
      <c r="F33" s="8" t="s">
        <v>196</v>
      </c>
      <c r="G33" s="8" t="s">
        <v>197</v>
      </c>
      <c r="H33" s="7" t="s">
        <v>70</v>
      </c>
      <c r="I33" s="8" t="s">
        <v>90</v>
      </c>
    </row>
    <row r="34" customFormat="false" ht="35.05" hidden="false" customHeight="false" outlineLevel="0" collapsed="false">
      <c r="A34" s="7" t="n">
        <v>3</v>
      </c>
      <c r="B34" s="7" t="s">
        <v>72</v>
      </c>
      <c r="C34" s="7" t="s">
        <v>198</v>
      </c>
      <c r="D34" s="7" t="s">
        <v>199</v>
      </c>
      <c r="E34" s="7" t="s">
        <v>87</v>
      </c>
      <c r="F34" s="8" t="s">
        <v>200</v>
      </c>
      <c r="G34" s="8" t="s">
        <v>201</v>
      </c>
      <c r="H34" s="7" t="s">
        <v>70</v>
      </c>
      <c r="I34" s="8" t="s">
        <v>90</v>
      </c>
    </row>
    <row r="35" customFormat="false" ht="23.85" hidden="false" customHeight="false" outlineLevel="0" collapsed="false">
      <c r="A35" s="7" t="n">
        <v>3</v>
      </c>
      <c r="B35" s="7" t="s">
        <v>72</v>
      </c>
      <c r="C35" s="7" t="s">
        <v>202</v>
      </c>
      <c r="D35" s="7" t="s">
        <v>203</v>
      </c>
      <c r="E35" s="7" t="s">
        <v>87</v>
      </c>
      <c r="F35" s="8" t="s">
        <v>204</v>
      </c>
      <c r="G35" s="8" t="s">
        <v>205</v>
      </c>
      <c r="H35" s="7" t="s">
        <v>70</v>
      </c>
      <c r="I35" s="8" t="s">
        <v>90</v>
      </c>
    </row>
    <row r="36" customFormat="false" ht="35.05" hidden="false" customHeight="false" outlineLevel="0" collapsed="false">
      <c r="A36" s="7" t="n">
        <v>3</v>
      </c>
      <c r="B36" s="7" t="s">
        <v>72</v>
      </c>
      <c r="C36" s="7" t="s">
        <v>206</v>
      </c>
      <c r="D36" s="7" t="s">
        <v>207</v>
      </c>
      <c r="E36" s="7" t="s">
        <v>87</v>
      </c>
      <c r="F36" s="8" t="s">
        <v>208</v>
      </c>
      <c r="G36" s="8" t="s">
        <v>209</v>
      </c>
      <c r="H36" s="7" t="s">
        <v>70</v>
      </c>
      <c r="I36" s="8" t="s">
        <v>90</v>
      </c>
    </row>
    <row r="37" customFormat="false" ht="23.85" hidden="false" customHeight="false" outlineLevel="0" collapsed="false">
      <c r="A37" s="7" t="n">
        <v>3</v>
      </c>
      <c r="B37" s="7" t="s">
        <v>72</v>
      </c>
      <c r="C37" s="7" t="s">
        <v>210</v>
      </c>
      <c r="D37" s="7" t="s">
        <v>211</v>
      </c>
      <c r="E37" s="7" t="s">
        <v>87</v>
      </c>
      <c r="F37" s="8" t="s">
        <v>212</v>
      </c>
      <c r="G37" s="8" t="s">
        <v>197</v>
      </c>
      <c r="H37" s="7" t="s">
        <v>70</v>
      </c>
      <c r="I37" s="8" t="s">
        <v>90</v>
      </c>
    </row>
    <row r="38" customFormat="false" ht="35.05" hidden="false" customHeight="false" outlineLevel="0" collapsed="false">
      <c r="A38" s="7" t="n">
        <v>3</v>
      </c>
      <c r="B38" s="7" t="s">
        <v>72</v>
      </c>
      <c r="C38" s="7" t="s">
        <v>213</v>
      </c>
      <c r="D38" s="7" t="s">
        <v>214</v>
      </c>
      <c r="E38" s="7" t="s">
        <v>87</v>
      </c>
      <c r="F38" s="8" t="s">
        <v>215</v>
      </c>
      <c r="G38" s="8" t="s">
        <v>216</v>
      </c>
      <c r="H38" s="7" t="s">
        <v>70</v>
      </c>
      <c r="I38" s="8" t="s">
        <v>90</v>
      </c>
    </row>
    <row r="39" customFormat="false" ht="35.05" hidden="false" customHeight="false" outlineLevel="0" collapsed="false">
      <c r="A39" s="7" t="n">
        <v>3</v>
      </c>
      <c r="B39" s="7" t="s">
        <v>72</v>
      </c>
      <c r="C39" s="7" t="s">
        <v>217</v>
      </c>
      <c r="D39" s="7" t="s">
        <v>218</v>
      </c>
      <c r="E39" s="7" t="s">
        <v>87</v>
      </c>
      <c r="F39" s="8" t="s">
        <v>219</v>
      </c>
      <c r="G39" s="8" t="s">
        <v>220</v>
      </c>
      <c r="H39" s="7" t="s">
        <v>70</v>
      </c>
      <c r="I39" s="8" t="s">
        <v>90</v>
      </c>
    </row>
    <row r="40" customFormat="false" ht="35.05" hidden="false" customHeight="false" outlineLevel="0" collapsed="false">
      <c r="A40" s="7" t="n">
        <v>3</v>
      </c>
      <c r="B40" s="7" t="s">
        <v>72</v>
      </c>
      <c r="C40" s="7" t="s">
        <v>221</v>
      </c>
      <c r="D40" s="7" t="s">
        <v>222</v>
      </c>
      <c r="E40" s="7" t="s">
        <v>87</v>
      </c>
      <c r="F40" s="8" t="s">
        <v>223</v>
      </c>
      <c r="G40" s="8" t="s">
        <v>224</v>
      </c>
      <c r="H40" s="7" t="s">
        <v>70</v>
      </c>
      <c r="I40" s="8" t="s">
        <v>90</v>
      </c>
    </row>
    <row r="41" customFormat="false" ht="35.05" hidden="false" customHeight="false" outlineLevel="0" collapsed="false">
      <c r="A41" s="7" t="n">
        <v>3</v>
      </c>
      <c r="B41" s="7" t="s">
        <v>72</v>
      </c>
      <c r="C41" s="7" t="s">
        <v>225</v>
      </c>
      <c r="D41" s="7" t="s">
        <v>226</v>
      </c>
      <c r="E41" s="7" t="s">
        <v>87</v>
      </c>
      <c r="F41" s="8" t="s">
        <v>227</v>
      </c>
      <c r="G41" s="8" t="s">
        <v>228</v>
      </c>
      <c r="H41" s="7" t="s">
        <v>70</v>
      </c>
      <c r="I41" s="8" t="s">
        <v>90</v>
      </c>
    </row>
    <row r="42" customFormat="false" ht="35.05" hidden="false" customHeight="false" outlineLevel="0" collapsed="false">
      <c r="A42" s="7" t="n">
        <v>4</v>
      </c>
      <c r="B42" s="7" t="s">
        <v>72</v>
      </c>
      <c r="C42" s="7" t="s">
        <v>131</v>
      </c>
      <c r="D42" s="7" t="s">
        <v>229</v>
      </c>
      <c r="E42" s="7" t="s">
        <v>133</v>
      </c>
      <c r="F42" s="8" t="s">
        <v>134</v>
      </c>
      <c r="G42" s="8" t="s">
        <v>185</v>
      </c>
      <c r="H42" s="7" t="s">
        <v>135</v>
      </c>
      <c r="I42" s="8" t="s">
        <v>136</v>
      </c>
    </row>
    <row r="43" customFormat="false" ht="35.05" hidden="false" customHeight="false" outlineLevel="0" collapsed="false">
      <c r="A43" s="7" t="n">
        <v>5</v>
      </c>
      <c r="B43" s="7" t="s">
        <v>72</v>
      </c>
      <c r="C43" s="7" t="s">
        <v>137</v>
      </c>
      <c r="D43" s="7" t="s">
        <v>230</v>
      </c>
      <c r="E43" s="7" t="s">
        <v>139</v>
      </c>
      <c r="F43" s="8" t="s">
        <v>140</v>
      </c>
      <c r="G43" s="8" t="s">
        <v>185</v>
      </c>
      <c r="H43" s="7" t="s">
        <v>135</v>
      </c>
      <c r="I43" s="8" t="s">
        <v>141</v>
      </c>
    </row>
    <row r="44" customFormat="false" ht="35.05" hidden="false" customHeight="false" outlineLevel="0" collapsed="false">
      <c r="A44" s="7" t="n">
        <v>2</v>
      </c>
      <c r="B44" s="7" t="s">
        <v>72</v>
      </c>
      <c r="C44" s="7" t="s">
        <v>231</v>
      </c>
      <c r="D44" s="7" t="s">
        <v>232</v>
      </c>
      <c r="E44" s="7" t="s">
        <v>81</v>
      </c>
      <c r="F44" s="8" t="s">
        <v>233</v>
      </c>
      <c r="G44" s="8" t="s">
        <v>234</v>
      </c>
      <c r="H44" s="7" t="s">
        <v>70</v>
      </c>
      <c r="I44" s="8" t="s">
        <v>84</v>
      </c>
    </row>
    <row r="45" customFormat="false" ht="35.05" hidden="false" customHeight="false" outlineLevel="0" collapsed="false">
      <c r="A45" s="7" t="n">
        <v>3</v>
      </c>
      <c r="B45" s="7" t="s">
        <v>72</v>
      </c>
      <c r="C45" s="7" t="s">
        <v>235</v>
      </c>
      <c r="D45" s="7" t="s">
        <v>236</v>
      </c>
      <c r="E45" s="7" t="s">
        <v>87</v>
      </c>
      <c r="F45" s="8" t="s">
        <v>237</v>
      </c>
      <c r="G45" s="8" t="s">
        <v>238</v>
      </c>
      <c r="H45" s="7" t="s">
        <v>70</v>
      </c>
      <c r="I45" s="8" t="s">
        <v>90</v>
      </c>
    </row>
    <row r="46" customFormat="false" ht="35.05" hidden="false" customHeight="false" outlineLevel="0" collapsed="false">
      <c r="A46" s="7" t="n">
        <v>3</v>
      </c>
      <c r="B46" s="7" t="s">
        <v>72</v>
      </c>
      <c r="C46" s="7" t="s">
        <v>239</v>
      </c>
      <c r="D46" s="7" t="s">
        <v>240</v>
      </c>
      <c r="E46" s="7" t="s">
        <v>87</v>
      </c>
      <c r="F46" s="8" t="s">
        <v>241</v>
      </c>
      <c r="G46" s="8" t="s">
        <v>242</v>
      </c>
      <c r="H46" s="7" t="s">
        <v>70</v>
      </c>
      <c r="I46" s="8" t="s">
        <v>90</v>
      </c>
    </row>
    <row r="47" customFormat="false" ht="35.05" hidden="false" customHeight="false" outlineLevel="0" collapsed="false">
      <c r="A47" s="7" t="n">
        <v>3</v>
      </c>
      <c r="B47" s="7" t="s">
        <v>72</v>
      </c>
      <c r="C47" s="7" t="s">
        <v>243</v>
      </c>
      <c r="D47" s="7" t="s">
        <v>244</v>
      </c>
      <c r="E47" s="7" t="s">
        <v>87</v>
      </c>
      <c r="F47" s="8" t="s">
        <v>245</v>
      </c>
      <c r="G47" s="8" t="s">
        <v>246</v>
      </c>
      <c r="H47" s="7" t="s">
        <v>70</v>
      </c>
      <c r="I47" s="8" t="s">
        <v>90</v>
      </c>
    </row>
    <row r="48" customFormat="false" ht="35.05" hidden="false" customHeight="false" outlineLevel="0" collapsed="false">
      <c r="A48" s="7" t="n">
        <v>3</v>
      </c>
      <c r="B48" s="7" t="s">
        <v>72</v>
      </c>
      <c r="C48" s="7" t="s">
        <v>247</v>
      </c>
      <c r="D48" s="7" t="s">
        <v>248</v>
      </c>
      <c r="E48" s="7" t="s">
        <v>87</v>
      </c>
      <c r="F48" s="8" t="s">
        <v>249</v>
      </c>
      <c r="G48" s="8" t="s">
        <v>250</v>
      </c>
      <c r="H48" s="7" t="s">
        <v>70</v>
      </c>
      <c r="I48" s="8" t="s">
        <v>90</v>
      </c>
    </row>
    <row r="49" customFormat="false" ht="35.05" hidden="false" customHeight="false" outlineLevel="0" collapsed="false">
      <c r="A49" s="7" t="n">
        <v>3</v>
      </c>
      <c r="B49" s="7" t="s">
        <v>72</v>
      </c>
      <c r="C49" s="7" t="s">
        <v>251</v>
      </c>
      <c r="D49" s="7" t="s">
        <v>252</v>
      </c>
      <c r="E49" s="7" t="s">
        <v>87</v>
      </c>
      <c r="F49" s="8" t="s">
        <v>253</v>
      </c>
      <c r="G49" s="8" t="s">
        <v>254</v>
      </c>
      <c r="H49" s="7" t="s">
        <v>70</v>
      </c>
      <c r="I49" s="8" t="s">
        <v>90</v>
      </c>
    </row>
    <row r="50" customFormat="false" ht="35.05" hidden="false" customHeight="false" outlineLevel="0" collapsed="false">
      <c r="A50" s="7" t="n">
        <v>3</v>
      </c>
      <c r="B50" s="7" t="s">
        <v>72</v>
      </c>
      <c r="C50" s="7" t="s">
        <v>255</v>
      </c>
      <c r="D50" s="7" t="s">
        <v>256</v>
      </c>
      <c r="E50" s="7" t="s">
        <v>87</v>
      </c>
      <c r="F50" s="8" t="s">
        <v>257</v>
      </c>
      <c r="G50" s="8" t="s">
        <v>258</v>
      </c>
      <c r="H50" s="7" t="s">
        <v>70</v>
      </c>
      <c r="I50" s="8" t="s">
        <v>90</v>
      </c>
    </row>
    <row r="51" customFormat="false" ht="35.05" hidden="false" customHeight="false" outlineLevel="0" collapsed="false">
      <c r="A51" s="7" t="n">
        <v>3</v>
      </c>
      <c r="B51" s="7" t="s">
        <v>72</v>
      </c>
      <c r="C51" s="7" t="s">
        <v>259</v>
      </c>
      <c r="D51" s="7" t="s">
        <v>260</v>
      </c>
      <c r="E51" s="7" t="s">
        <v>87</v>
      </c>
      <c r="F51" s="8" t="s">
        <v>261</v>
      </c>
      <c r="G51" s="8" t="s">
        <v>262</v>
      </c>
      <c r="H51" s="7" t="s">
        <v>70</v>
      </c>
      <c r="I51" s="8" t="s">
        <v>90</v>
      </c>
    </row>
    <row r="52" customFormat="false" ht="35.05" hidden="false" customHeight="false" outlineLevel="0" collapsed="false">
      <c r="A52" s="7" t="n">
        <v>4</v>
      </c>
      <c r="B52" s="7" t="s">
        <v>72</v>
      </c>
      <c r="C52" s="7" t="s">
        <v>131</v>
      </c>
      <c r="D52" s="7" t="s">
        <v>263</v>
      </c>
      <c r="E52" s="7" t="s">
        <v>133</v>
      </c>
      <c r="F52" s="8" t="s">
        <v>134</v>
      </c>
      <c r="G52" s="8" t="s">
        <v>234</v>
      </c>
      <c r="H52" s="7" t="s">
        <v>135</v>
      </c>
      <c r="I52" s="8" t="s">
        <v>136</v>
      </c>
    </row>
    <row r="53" customFormat="false" ht="35.05" hidden="false" customHeight="false" outlineLevel="0" collapsed="false">
      <c r="A53" s="7" t="n">
        <v>5</v>
      </c>
      <c r="B53" s="7" t="s">
        <v>72</v>
      </c>
      <c r="C53" s="7" t="s">
        <v>137</v>
      </c>
      <c r="D53" s="7" t="s">
        <v>264</v>
      </c>
      <c r="E53" s="7" t="s">
        <v>139</v>
      </c>
      <c r="F53" s="8" t="s">
        <v>140</v>
      </c>
      <c r="G53" s="8" t="s">
        <v>234</v>
      </c>
      <c r="H53" s="7" t="s">
        <v>135</v>
      </c>
      <c r="I53" s="8" t="s">
        <v>141</v>
      </c>
    </row>
    <row r="54" customFormat="false" ht="35.05" hidden="false" customHeight="false" outlineLevel="0" collapsed="false">
      <c r="A54" s="7" t="n">
        <v>2</v>
      </c>
      <c r="B54" s="7" t="s">
        <v>72</v>
      </c>
      <c r="C54" s="7" t="s">
        <v>265</v>
      </c>
      <c r="D54" s="7" t="s">
        <v>266</v>
      </c>
      <c r="E54" s="7" t="s">
        <v>81</v>
      </c>
      <c r="F54" s="8" t="s">
        <v>267</v>
      </c>
      <c r="G54" s="8" t="s">
        <v>268</v>
      </c>
      <c r="H54" s="7" t="s">
        <v>70</v>
      </c>
      <c r="I54" s="8" t="s">
        <v>84</v>
      </c>
    </row>
    <row r="55" customFormat="false" ht="35.05" hidden="false" customHeight="false" outlineLevel="0" collapsed="false">
      <c r="A55" s="7" t="n">
        <v>3</v>
      </c>
      <c r="B55" s="7" t="s">
        <v>72</v>
      </c>
      <c r="C55" s="7" t="s">
        <v>269</v>
      </c>
      <c r="D55" s="7" t="s">
        <v>270</v>
      </c>
      <c r="E55" s="7" t="s">
        <v>87</v>
      </c>
      <c r="F55" s="8" t="s">
        <v>271</v>
      </c>
      <c r="G55" s="8" t="s">
        <v>272</v>
      </c>
      <c r="H55" s="7" t="s">
        <v>70</v>
      </c>
      <c r="I55" s="8" t="s">
        <v>90</v>
      </c>
    </row>
    <row r="56" customFormat="false" ht="35.05" hidden="false" customHeight="false" outlineLevel="0" collapsed="false">
      <c r="A56" s="7" t="n">
        <v>3</v>
      </c>
      <c r="B56" s="7" t="s">
        <v>72</v>
      </c>
      <c r="C56" s="7" t="s">
        <v>273</v>
      </c>
      <c r="D56" s="7" t="s">
        <v>274</v>
      </c>
      <c r="E56" s="7" t="s">
        <v>87</v>
      </c>
      <c r="F56" s="8" t="s">
        <v>275</v>
      </c>
      <c r="G56" s="8" t="s">
        <v>276</v>
      </c>
      <c r="H56" s="7" t="s">
        <v>70</v>
      </c>
      <c r="I56" s="8" t="s">
        <v>90</v>
      </c>
    </row>
    <row r="57" customFormat="false" ht="35.05" hidden="false" customHeight="false" outlineLevel="0" collapsed="false">
      <c r="A57" s="7" t="n">
        <v>3</v>
      </c>
      <c r="B57" s="7" t="s">
        <v>72</v>
      </c>
      <c r="C57" s="7" t="s">
        <v>277</v>
      </c>
      <c r="D57" s="7" t="s">
        <v>278</v>
      </c>
      <c r="E57" s="7" t="s">
        <v>87</v>
      </c>
      <c r="F57" s="8" t="s">
        <v>279</v>
      </c>
      <c r="G57" s="8" t="s">
        <v>280</v>
      </c>
      <c r="H57" s="7" t="s">
        <v>70</v>
      </c>
      <c r="I57" s="8" t="s">
        <v>90</v>
      </c>
    </row>
    <row r="58" customFormat="false" ht="35.05" hidden="false" customHeight="false" outlineLevel="0" collapsed="false">
      <c r="A58" s="7" t="n">
        <v>3</v>
      </c>
      <c r="B58" s="7" t="s">
        <v>72</v>
      </c>
      <c r="C58" s="7" t="s">
        <v>281</v>
      </c>
      <c r="D58" s="7" t="s">
        <v>282</v>
      </c>
      <c r="E58" s="7" t="s">
        <v>87</v>
      </c>
      <c r="F58" s="8" t="s">
        <v>283</v>
      </c>
      <c r="G58" s="8" t="s">
        <v>284</v>
      </c>
      <c r="H58" s="7" t="s">
        <v>70</v>
      </c>
      <c r="I58" s="8" t="s">
        <v>90</v>
      </c>
    </row>
    <row r="59" customFormat="false" ht="23.85" hidden="false" customHeight="false" outlineLevel="0" collapsed="false">
      <c r="A59" s="7" t="n">
        <v>3</v>
      </c>
      <c r="B59" s="7" t="s">
        <v>72</v>
      </c>
      <c r="C59" s="7" t="s">
        <v>285</v>
      </c>
      <c r="D59" s="7" t="s">
        <v>286</v>
      </c>
      <c r="E59" s="7" t="s">
        <v>87</v>
      </c>
      <c r="F59" s="8" t="s">
        <v>287</v>
      </c>
      <c r="G59" s="8" t="s">
        <v>288</v>
      </c>
      <c r="H59" s="7" t="s">
        <v>70</v>
      </c>
      <c r="I59" s="8" t="s">
        <v>90</v>
      </c>
    </row>
    <row r="60" customFormat="false" ht="35.05" hidden="false" customHeight="false" outlineLevel="0" collapsed="false">
      <c r="A60" s="7" t="n">
        <v>4</v>
      </c>
      <c r="B60" s="7" t="s">
        <v>72</v>
      </c>
      <c r="C60" s="7" t="s">
        <v>131</v>
      </c>
      <c r="D60" s="7" t="s">
        <v>289</v>
      </c>
      <c r="E60" s="7" t="s">
        <v>133</v>
      </c>
      <c r="F60" s="8" t="s">
        <v>134</v>
      </c>
      <c r="G60" s="8" t="s">
        <v>268</v>
      </c>
      <c r="H60" s="7" t="s">
        <v>135</v>
      </c>
      <c r="I60" s="8" t="s">
        <v>136</v>
      </c>
    </row>
    <row r="61" customFormat="false" ht="35.05" hidden="false" customHeight="false" outlineLevel="0" collapsed="false">
      <c r="A61" s="7" t="n">
        <v>5</v>
      </c>
      <c r="B61" s="7" t="s">
        <v>72</v>
      </c>
      <c r="C61" s="7" t="s">
        <v>137</v>
      </c>
      <c r="D61" s="7" t="s">
        <v>290</v>
      </c>
      <c r="E61" s="7" t="s">
        <v>139</v>
      </c>
      <c r="F61" s="8" t="s">
        <v>140</v>
      </c>
      <c r="G61" s="8" t="s">
        <v>268</v>
      </c>
      <c r="H61" s="7" t="s">
        <v>135</v>
      </c>
      <c r="I61" s="8" t="s">
        <v>141</v>
      </c>
    </row>
    <row r="62" customFormat="false" ht="35.05" hidden="false" customHeight="false" outlineLevel="0" collapsed="false">
      <c r="A62" s="7" t="n">
        <v>2</v>
      </c>
      <c r="B62" s="7" t="s">
        <v>72</v>
      </c>
      <c r="C62" s="7" t="s">
        <v>291</v>
      </c>
      <c r="D62" s="7" t="s">
        <v>292</v>
      </c>
      <c r="E62" s="7" t="s">
        <v>81</v>
      </c>
      <c r="F62" s="8" t="s">
        <v>293</v>
      </c>
      <c r="G62" s="8" t="s">
        <v>294</v>
      </c>
      <c r="H62" s="7" t="s">
        <v>70</v>
      </c>
      <c r="I62" s="8" t="s">
        <v>84</v>
      </c>
    </row>
    <row r="63" customFormat="false" ht="23.85" hidden="false" customHeight="false" outlineLevel="0" collapsed="false">
      <c r="A63" s="7" t="n">
        <v>3</v>
      </c>
      <c r="B63" s="7" t="s">
        <v>72</v>
      </c>
      <c r="C63" s="7" t="s">
        <v>295</v>
      </c>
      <c r="D63" s="7" t="s">
        <v>296</v>
      </c>
      <c r="E63" s="7" t="s">
        <v>87</v>
      </c>
      <c r="F63" s="8" t="s">
        <v>297</v>
      </c>
      <c r="G63" s="8" t="s">
        <v>298</v>
      </c>
      <c r="H63" s="7" t="s">
        <v>70</v>
      </c>
      <c r="I63" s="8" t="s">
        <v>90</v>
      </c>
    </row>
    <row r="64" customFormat="false" ht="23.85" hidden="false" customHeight="false" outlineLevel="0" collapsed="false">
      <c r="A64" s="7" t="n">
        <v>3</v>
      </c>
      <c r="B64" s="7" t="s">
        <v>72</v>
      </c>
      <c r="C64" s="7" t="s">
        <v>299</v>
      </c>
      <c r="D64" s="7" t="s">
        <v>300</v>
      </c>
      <c r="E64" s="7" t="s">
        <v>87</v>
      </c>
      <c r="F64" s="8" t="s">
        <v>301</v>
      </c>
      <c r="G64" s="8" t="s">
        <v>302</v>
      </c>
      <c r="H64" s="7" t="s">
        <v>70</v>
      </c>
      <c r="I64" s="8" t="s">
        <v>90</v>
      </c>
    </row>
    <row r="65" customFormat="false" ht="35.05" hidden="false" customHeight="false" outlineLevel="0" collapsed="false">
      <c r="A65" s="7" t="n">
        <v>3</v>
      </c>
      <c r="B65" s="7" t="s">
        <v>72</v>
      </c>
      <c r="C65" s="7" t="s">
        <v>303</v>
      </c>
      <c r="D65" s="7" t="s">
        <v>304</v>
      </c>
      <c r="E65" s="7" t="s">
        <v>87</v>
      </c>
      <c r="F65" s="8" t="s">
        <v>305</v>
      </c>
      <c r="G65" s="8" t="s">
        <v>306</v>
      </c>
      <c r="H65" s="7" t="s">
        <v>70</v>
      </c>
      <c r="I65" s="8" t="s">
        <v>90</v>
      </c>
    </row>
    <row r="66" customFormat="false" ht="23.85" hidden="false" customHeight="false" outlineLevel="0" collapsed="false">
      <c r="A66" s="7" t="n">
        <v>4</v>
      </c>
      <c r="B66" s="7" t="s">
        <v>72</v>
      </c>
      <c r="C66" s="7" t="s">
        <v>131</v>
      </c>
      <c r="D66" s="7" t="s">
        <v>307</v>
      </c>
      <c r="E66" s="7" t="s">
        <v>133</v>
      </c>
      <c r="F66" s="8" t="s">
        <v>134</v>
      </c>
      <c r="G66" s="8" t="s">
        <v>294</v>
      </c>
      <c r="H66" s="7" t="s">
        <v>135</v>
      </c>
      <c r="I66" s="8" t="s">
        <v>136</v>
      </c>
    </row>
    <row r="67" customFormat="false" ht="23.85" hidden="false" customHeight="false" outlineLevel="0" collapsed="false">
      <c r="A67" s="7" t="n">
        <v>5</v>
      </c>
      <c r="B67" s="7" t="s">
        <v>72</v>
      </c>
      <c r="C67" s="7" t="s">
        <v>137</v>
      </c>
      <c r="D67" s="7" t="s">
        <v>308</v>
      </c>
      <c r="E67" s="7" t="s">
        <v>139</v>
      </c>
      <c r="F67" s="8" t="s">
        <v>140</v>
      </c>
      <c r="G67" s="8" t="s">
        <v>294</v>
      </c>
      <c r="H67" s="7" t="s">
        <v>135</v>
      </c>
      <c r="I67" s="8" t="s">
        <v>141</v>
      </c>
    </row>
    <row r="68" customFormat="false" ht="46.25" hidden="false" customHeight="false" outlineLevel="0" collapsed="false">
      <c r="A68" s="7" t="n">
        <v>2</v>
      </c>
      <c r="B68" s="7" t="s">
        <v>72</v>
      </c>
      <c r="C68" s="7" t="s">
        <v>309</v>
      </c>
      <c r="D68" s="7" t="s">
        <v>310</v>
      </c>
      <c r="E68" s="7" t="s">
        <v>81</v>
      </c>
      <c r="F68" s="8" t="s">
        <v>311</v>
      </c>
      <c r="G68" s="8" t="s">
        <v>312</v>
      </c>
      <c r="H68" s="7" t="s">
        <v>70</v>
      </c>
      <c r="I68" s="8" t="s">
        <v>84</v>
      </c>
    </row>
    <row r="69" customFormat="false" ht="35.05" hidden="false" customHeight="false" outlineLevel="0" collapsed="false">
      <c r="A69" s="7" t="n">
        <v>3</v>
      </c>
      <c r="B69" s="7" t="s">
        <v>72</v>
      </c>
      <c r="C69" s="7" t="s">
        <v>313</v>
      </c>
      <c r="D69" s="7" t="s">
        <v>314</v>
      </c>
      <c r="E69" s="7" t="s">
        <v>87</v>
      </c>
      <c r="F69" s="8" t="s">
        <v>315</v>
      </c>
      <c r="G69" s="8" t="s">
        <v>316</v>
      </c>
      <c r="H69" s="7" t="s">
        <v>70</v>
      </c>
      <c r="I69" s="8" t="s">
        <v>90</v>
      </c>
    </row>
    <row r="70" customFormat="false" ht="35.05" hidden="false" customHeight="false" outlineLevel="0" collapsed="false">
      <c r="A70" s="7" t="n">
        <v>3</v>
      </c>
      <c r="B70" s="7" t="s">
        <v>72</v>
      </c>
      <c r="C70" s="7" t="s">
        <v>317</v>
      </c>
      <c r="D70" s="7" t="s">
        <v>318</v>
      </c>
      <c r="E70" s="7" t="s">
        <v>87</v>
      </c>
      <c r="F70" s="8" t="s">
        <v>319</v>
      </c>
      <c r="G70" s="8" t="s">
        <v>320</v>
      </c>
      <c r="H70" s="7" t="s">
        <v>70</v>
      </c>
      <c r="I70" s="8" t="s">
        <v>90</v>
      </c>
    </row>
    <row r="71" customFormat="false" ht="23.85" hidden="false" customHeight="false" outlineLevel="0" collapsed="false">
      <c r="A71" s="7" t="n">
        <v>3</v>
      </c>
      <c r="B71" s="7" t="s">
        <v>72</v>
      </c>
      <c r="C71" s="7" t="s">
        <v>321</v>
      </c>
      <c r="D71" s="7" t="s">
        <v>322</v>
      </c>
      <c r="E71" s="7" t="s">
        <v>87</v>
      </c>
      <c r="F71" s="8" t="s">
        <v>323</v>
      </c>
      <c r="G71" s="8" t="s">
        <v>324</v>
      </c>
      <c r="H71" s="7" t="s">
        <v>70</v>
      </c>
      <c r="I71" s="8" t="s">
        <v>90</v>
      </c>
    </row>
    <row r="72" customFormat="false" ht="35.05" hidden="false" customHeight="false" outlineLevel="0" collapsed="false">
      <c r="A72" s="7" t="n">
        <v>3</v>
      </c>
      <c r="B72" s="7" t="s">
        <v>72</v>
      </c>
      <c r="C72" s="7" t="s">
        <v>325</v>
      </c>
      <c r="D72" s="7" t="s">
        <v>326</v>
      </c>
      <c r="E72" s="7" t="s">
        <v>87</v>
      </c>
      <c r="F72" s="8" t="s">
        <v>327</v>
      </c>
      <c r="G72" s="8" t="s">
        <v>328</v>
      </c>
      <c r="H72" s="7" t="s">
        <v>70</v>
      </c>
      <c r="I72" s="8" t="s">
        <v>90</v>
      </c>
    </row>
    <row r="73" customFormat="false" ht="23.85" hidden="false" customHeight="false" outlineLevel="0" collapsed="false">
      <c r="A73" s="7" t="n">
        <v>3</v>
      </c>
      <c r="B73" s="7" t="s">
        <v>72</v>
      </c>
      <c r="C73" s="7" t="s">
        <v>329</v>
      </c>
      <c r="D73" s="7" t="s">
        <v>330</v>
      </c>
      <c r="E73" s="7" t="s">
        <v>87</v>
      </c>
      <c r="F73" s="8" t="s">
        <v>331</v>
      </c>
      <c r="G73" s="8" t="s">
        <v>332</v>
      </c>
      <c r="H73" s="7" t="s">
        <v>70</v>
      </c>
      <c r="I73" s="8" t="s">
        <v>90</v>
      </c>
    </row>
    <row r="74" customFormat="false" ht="23.85" hidden="false" customHeight="false" outlineLevel="0" collapsed="false">
      <c r="A74" s="7" t="n">
        <v>3</v>
      </c>
      <c r="B74" s="7" t="s">
        <v>72</v>
      </c>
      <c r="C74" s="7" t="s">
        <v>333</v>
      </c>
      <c r="D74" s="7" t="s">
        <v>334</v>
      </c>
      <c r="E74" s="7" t="s">
        <v>87</v>
      </c>
      <c r="F74" s="8" t="s">
        <v>335</v>
      </c>
      <c r="G74" s="8" t="s">
        <v>336</v>
      </c>
      <c r="H74" s="7" t="s">
        <v>70</v>
      </c>
      <c r="I74" s="8" t="s">
        <v>90</v>
      </c>
    </row>
    <row r="75" customFormat="false" ht="35.05" hidden="false" customHeight="false" outlineLevel="0" collapsed="false">
      <c r="A75" s="7" t="n">
        <v>3</v>
      </c>
      <c r="B75" s="7" t="s">
        <v>72</v>
      </c>
      <c r="C75" s="7" t="s">
        <v>337</v>
      </c>
      <c r="D75" s="7" t="s">
        <v>338</v>
      </c>
      <c r="E75" s="7" t="s">
        <v>87</v>
      </c>
      <c r="F75" s="8" t="s">
        <v>339</v>
      </c>
      <c r="G75" s="8" t="s">
        <v>126</v>
      </c>
      <c r="H75" s="7" t="s">
        <v>70</v>
      </c>
      <c r="I75" s="8" t="s">
        <v>90</v>
      </c>
    </row>
    <row r="76" customFormat="false" ht="23.85" hidden="false" customHeight="false" outlineLevel="0" collapsed="false">
      <c r="A76" s="7" t="n">
        <v>3</v>
      </c>
      <c r="B76" s="7" t="s">
        <v>72</v>
      </c>
      <c r="C76" s="7" t="s">
        <v>340</v>
      </c>
      <c r="D76" s="7" t="s">
        <v>341</v>
      </c>
      <c r="E76" s="7" t="s">
        <v>87</v>
      </c>
      <c r="F76" s="8" t="s">
        <v>342</v>
      </c>
      <c r="G76" s="8" t="s">
        <v>126</v>
      </c>
      <c r="H76" s="7" t="s">
        <v>70</v>
      </c>
      <c r="I76" s="8" t="s">
        <v>90</v>
      </c>
    </row>
    <row r="77" customFormat="false" ht="46.25" hidden="false" customHeight="false" outlineLevel="0" collapsed="false">
      <c r="A77" s="7" t="n">
        <v>4</v>
      </c>
      <c r="B77" s="7" t="s">
        <v>72</v>
      </c>
      <c r="C77" s="7" t="s">
        <v>131</v>
      </c>
      <c r="D77" s="7" t="s">
        <v>343</v>
      </c>
      <c r="E77" s="7" t="s">
        <v>133</v>
      </c>
      <c r="F77" s="8" t="s">
        <v>134</v>
      </c>
      <c r="G77" s="8" t="s">
        <v>312</v>
      </c>
      <c r="H77" s="7" t="s">
        <v>135</v>
      </c>
      <c r="I77" s="8" t="s">
        <v>136</v>
      </c>
    </row>
    <row r="78" customFormat="false" ht="46.25" hidden="false" customHeight="false" outlineLevel="0" collapsed="false">
      <c r="A78" s="7" t="n">
        <v>5</v>
      </c>
      <c r="B78" s="7" t="s">
        <v>72</v>
      </c>
      <c r="C78" s="7" t="s">
        <v>137</v>
      </c>
      <c r="D78" s="7" t="s">
        <v>344</v>
      </c>
      <c r="E78" s="7" t="s">
        <v>139</v>
      </c>
      <c r="F78" s="8" t="s">
        <v>140</v>
      </c>
      <c r="G78" s="8" t="s">
        <v>312</v>
      </c>
      <c r="H78" s="7" t="s">
        <v>135</v>
      </c>
      <c r="I78" s="8" t="s">
        <v>141</v>
      </c>
    </row>
    <row r="79" customFormat="false" ht="35.05" hidden="false" customHeight="false" outlineLevel="0" collapsed="false">
      <c r="A79" s="7" t="n">
        <v>2</v>
      </c>
      <c r="B79" s="7" t="s">
        <v>72</v>
      </c>
      <c r="C79" s="7" t="s">
        <v>345</v>
      </c>
      <c r="D79" s="7" t="s">
        <v>346</v>
      </c>
      <c r="E79" s="7" t="s">
        <v>81</v>
      </c>
      <c r="F79" s="8" t="s">
        <v>347</v>
      </c>
      <c r="G79" s="8" t="s">
        <v>164</v>
      </c>
      <c r="H79" s="7" t="s">
        <v>70</v>
      </c>
      <c r="I79" s="8" t="s">
        <v>84</v>
      </c>
    </row>
    <row r="80" customFormat="false" ht="35.05" hidden="false" customHeight="false" outlineLevel="0" collapsed="false">
      <c r="A80" s="7" t="n">
        <v>3</v>
      </c>
      <c r="B80" s="7" t="s">
        <v>72</v>
      </c>
      <c r="C80" s="7" t="s">
        <v>348</v>
      </c>
      <c r="D80" s="7" t="s">
        <v>349</v>
      </c>
      <c r="E80" s="7" t="s">
        <v>87</v>
      </c>
      <c r="F80" s="8" t="s">
        <v>350</v>
      </c>
      <c r="G80" s="8" t="s">
        <v>164</v>
      </c>
      <c r="H80" s="7" t="s">
        <v>70</v>
      </c>
      <c r="I80" s="8" t="s">
        <v>90</v>
      </c>
    </row>
    <row r="81" customFormat="false" ht="35.05" hidden="false" customHeight="false" outlineLevel="0" collapsed="false">
      <c r="A81" s="7" t="n">
        <v>3</v>
      </c>
      <c r="B81" s="7" t="s">
        <v>72</v>
      </c>
      <c r="C81" s="7" t="s">
        <v>351</v>
      </c>
      <c r="D81" s="7" t="s">
        <v>352</v>
      </c>
      <c r="E81" s="7" t="s">
        <v>87</v>
      </c>
      <c r="F81" s="8" t="s">
        <v>353</v>
      </c>
      <c r="G81" s="8" t="s">
        <v>354</v>
      </c>
      <c r="H81" s="7" t="s">
        <v>70</v>
      </c>
      <c r="I81" s="8" t="s">
        <v>90</v>
      </c>
    </row>
    <row r="82" customFormat="false" ht="23.85" hidden="false" customHeight="false" outlineLevel="0" collapsed="false">
      <c r="A82" s="7" t="n">
        <v>3</v>
      </c>
      <c r="B82" s="7" t="s">
        <v>72</v>
      </c>
      <c r="C82" s="7" t="s">
        <v>355</v>
      </c>
      <c r="D82" s="7" t="s">
        <v>356</v>
      </c>
      <c r="E82" s="7" t="s">
        <v>87</v>
      </c>
      <c r="F82" s="8" t="s">
        <v>357</v>
      </c>
      <c r="G82" s="8" t="s">
        <v>164</v>
      </c>
      <c r="H82" s="7" t="s">
        <v>70</v>
      </c>
      <c r="I82" s="8" t="s">
        <v>90</v>
      </c>
    </row>
    <row r="83" customFormat="false" ht="23.85" hidden="false" customHeight="false" outlineLevel="0" collapsed="false">
      <c r="A83" s="7" t="n">
        <v>3</v>
      </c>
      <c r="B83" s="7" t="s">
        <v>72</v>
      </c>
      <c r="C83" s="7" t="s">
        <v>358</v>
      </c>
      <c r="D83" s="7" t="s">
        <v>359</v>
      </c>
      <c r="E83" s="7" t="s">
        <v>87</v>
      </c>
      <c r="F83" s="8" t="s">
        <v>360</v>
      </c>
      <c r="G83" s="8" t="s">
        <v>164</v>
      </c>
      <c r="H83" s="7" t="s">
        <v>70</v>
      </c>
      <c r="I83" s="8" t="s">
        <v>90</v>
      </c>
    </row>
    <row r="84" customFormat="false" ht="35.05" hidden="false" customHeight="false" outlineLevel="0" collapsed="false">
      <c r="A84" s="7" t="n">
        <v>3</v>
      </c>
      <c r="B84" s="7" t="s">
        <v>72</v>
      </c>
      <c r="C84" s="7" t="s">
        <v>361</v>
      </c>
      <c r="D84" s="7" t="s">
        <v>362</v>
      </c>
      <c r="E84" s="7" t="s">
        <v>87</v>
      </c>
      <c r="F84" s="8" t="s">
        <v>363</v>
      </c>
      <c r="G84" s="8" t="s">
        <v>364</v>
      </c>
      <c r="H84" s="7" t="s">
        <v>70</v>
      </c>
      <c r="I84" s="8" t="s">
        <v>90</v>
      </c>
    </row>
    <row r="85" customFormat="false" ht="23.85" hidden="false" customHeight="false" outlineLevel="0" collapsed="false">
      <c r="A85" s="7" t="n">
        <v>3</v>
      </c>
      <c r="B85" s="7" t="s">
        <v>72</v>
      </c>
      <c r="C85" s="7" t="s">
        <v>365</v>
      </c>
      <c r="D85" s="7" t="s">
        <v>366</v>
      </c>
      <c r="E85" s="7" t="s">
        <v>87</v>
      </c>
      <c r="F85" s="8" t="s">
        <v>367</v>
      </c>
      <c r="G85" s="8" t="s">
        <v>368</v>
      </c>
      <c r="H85" s="7" t="s">
        <v>70</v>
      </c>
      <c r="I85" s="8" t="s">
        <v>90</v>
      </c>
    </row>
    <row r="86" customFormat="false" ht="23.85" hidden="false" customHeight="false" outlineLevel="0" collapsed="false">
      <c r="A86" s="7" t="n">
        <v>4</v>
      </c>
      <c r="B86" s="7" t="s">
        <v>72</v>
      </c>
      <c r="C86" s="7" t="s">
        <v>131</v>
      </c>
      <c r="D86" s="7" t="s">
        <v>369</v>
      </c>
      <c r="E86" s="7" t="s">
        <v>133</v>
      </c>
      <c r="F86" s="8" t="s">
        <v>134</v>
      </c>
      <c r="G86" s="8" t="s">
        <v>164</v>
      </c>
      <c r="H86" s="7" t="s">
        <v>135</v>
      </c>
      <c r="I86" s="8" t="s">
        <v>136</v>
      </c>
    </row>
    <row r="87" customFormat="false" ht="23.85" hidden="false" customHeight="false" outlineLevel="0" collapsed="false">
      <c r="A87" s="7" t="n">
        <v>5</v>
      </c>
      <c r="B87" s="7" t="s">
        <v>72</v>
      </c>
      <c r="C87" s="7" t="s">
        <v>137</v>
      </c>
      <c r="D87" s="7" t="s">
        <v>370</v>
      </c>
      <c r="E87" s="7" t="s">
        <v>139</v>
      </c>
      <c r="F87" s="8" t="s">
        <v>140</v>
      </c>
      <c r="G87" s="8" t="s">
        <v>164</v>
      </c>
      <c r="H87" s="7" t="s">
        <v>135</v>
      </c>
      <c r="I87" s="8" t="s">
        <v>141</v>
      </c>
    </row>
    <row r="88" customFormat="false" ht="35.05" hidden="false" customHeight="false" outlineLevel="0" collapsed="false">
      <c r="A88" s="7" t="n">
        <v>2</v>
      </c>
      <c r="B88" s="7" t="s">
        <v>72</v>
      </c>
      <c r="C88" s="7" t="s">
        <v>371</v>
      </c>
      <c r="D88" s="7" t="s">
        <v>372</v>
      </c>
      <c r="E88" s="7" t="s">
        <v>81</v>
      </c>
      <c r="F88" s="8" t="s">
        <v>373</v>
      </c>
      <c r="G88" s="8" t="s">
        <v>374</v>
      </c>
      <c r="H88" s="7" t="s">
        <v>70</v>
      </c>
      <c r="I88" s="8" t="s">
        <v>84</v>
      </c>
    </row>
    <row r="89" customFormat="false" ht="35.05" hidden="false" customHeight="false" outlineLevel="0" collapsed="false">
      <c r="A89" s="7" t="n">
        <v>3</v>
      </c>
      <c r="B89" s="7" t="s">
        <v>72</v>
      </c>
      <c r="C89" s="7" t="s">
        <v>375</v>
      </c>
      <c r="D89" s="7" t="s">
        <v>376</v>
      </c>
      <c r="E89" s="7" t="s">
        <v>87</v>
      </c>
      <c r="F89" s="8" t="s">
        <v>377</v>
      </c>
      <c r="G89" s="8" t="s">
        <v>378</v>
      </c>
      <c r="H89" s="7" t="s">
        <v>70</v>
      </c>
      <c r="I89" s="8" t="s">
        <v>90</v>
      </c>
    </row>
    <row r="90" customFormat="false" ht="23.85" hidden="false" customHeight="false" outlineLevel="0" collapsed="false">
      <c r="A90" s="7" t="n">
        <v>3</v>
      </c>
      <c r="B90" s="7" t="s">
        <v>72</v>
      </c>
      <c r="C90" s="7" t="s">
        <v>379</v>
      </c>
      <c r="D90" s="7" t="s">
        <v>380</v>
      </c>
      <c r="E90" s="7" t="s">
        <v>87</v>
      </c>
      <c r="F90" s="8" t="s">
        <v>381</v>
      </c>
      <c r="G90" s="8" t="s">
        <v>382</v>
      </c>
      <c r="H90" s="7" t="s">
        <v>70</v>
      </c>
      <c r="I90" s="8" t="s">
        <v>90</v>
      </c>
    </row>
    <row r="91" customFormat="false" ht="35.05" hidden="false" customHeight="false" outlineLevel="0" collapsed="false">
      <c r="A91" s="7" t="n">
        <v>3</v>
      </c>
      <c r="B91" s="7" t="s">
        <v>72</v>
      </c>
      <c r="C91" s="7" t="s">
        <v>383</v>
      </c>
      <c r="D91" s="7" t="s">
        <v>384</v>
      </c>
      <c r="E91" s="7" t="s">
        <v>87</v>
      </c>
      <c r="F91" s="8" t="s">
        <v>385</v>
      </c>
      <c r="G91" s="8" t="s">
        <v>386</v>
      </c>
      <c r="H91" s="7" t="s">
        <v>70</v>
      </c>
      <c r="I91" s="8" t="s">
        <v>90</v>
      </c>
    </row>
    <row r="92" customFormat="false" ht="35.05" hidden="false" customHeight="false" outlineLevel="0" collapsed="false">
      <c r="A92" s="7" t="n">
        <v>3</v>
      </c>
      <c r="B92" s="7" t="s">
        <v>72</v>
      </c>
      <c r="C92" s="7" t="s">
        <v>387</v>
      </c>
      <c r="D92" s="7" t="s">
        <v>388</v>
      </c>
      <c r="E92" s="7" t="s">
        <v>87</v>
      </c>
      <c r="F92" s="8" t="s">
        <v>389</v>
      </c>
      <c r="G92" s="8" t="s">
        <v>390</v>
      </c>
      <c r="H92" s="7" t="s">
        <v>70</v>
      </c>
      <c r="I92" s="8" t="s">
        <v>90</v>
      </c>
    </row>
    <row r="93" customFormat="false" ht="23.85" hidden="false" customHeight="false" outlineLevel="0" collapsed="false">
      <c r="A93" s="7" t="n">
        <v>3</v>
      </c>
      <c r="B93" s="7" t="s">
        <v>72</v>
      </c>
      <c r="C93" s="7" t="s">
        <v>391</v>
      </c>
      <c r="D93" s="7" t="s">
        <v>392</v>
      </c>
      <c r="E93" s="7" t="s">
        <v>87</v>
      </c>
      <c r="F93" s="8" t="s">
        <v>393</v>
      </c>
      <c r="G93" s="8" t="s">
        <v>394</v>
      </c>
      <c r="H93" s="7" t="s">
        <v>70</v>
      </c>
      <c r="I93" s="8" t="s">
        <v>90</v>
      </c>
    </row>
    <row r="94" customFormat="false" ht="23.85" hidden="false" customHeight="false" outlineLevel="0" collapsed="false">
      <c r="A94" s="7" t="n">
        <v>3</v>
      </c>
      <c r="B94" s="7" t="s">
        <v>72</v>
      </c>
      <c r="C94" s="7" t="s">
        <v>395</v>
      </c>
      <c r="D94" s="7" t="s">
        <v>396</v>
      </c>
      <c r="E94" s="7" t="s">
        <v>87</v>
      </c>
      <c r="F94" s="8" t="s">
        <v>397</v>
      </c>
      <c r="G94" s="8" t="s">
        <v>126</v>
      </c>
      <c r="H94" s="7" t="s">
        <v>70</v>
      </c>
      <c r="I94" s="8" t="s">
        <v>90</v>
      </c>
    </row>
    <row r="95" customFormat="false" ht="35.05" hidden="false" customHeight="false" outlineLevel="0" collapsed="false">
      <c r="A95" s="7" t="n">
        <v>4</v>
      </c>
      <c r="B95" s="7" t="s">
        <v>72</v>
      </c>
      <c r="C95" s="7" t="s">
        <v>131</v>
      </c>
      <c r="D95" s="7" t="s">
        <v>398</v>
      </c>
      <c r="E95" s="7" t="s">
        <v>133</v>
      </c>
      <c r="F95" s="8" t="s">
        <v>134</v>
      </c>
      <c r="G95" s="8" t="s">
        <v>374</v>
      </c>
      <c r="H95" s="7" t="s">
        <v>135</v>
      </c>
      <c r="I95" s="8" t="s">
        <v>136</v>
      </c>
    </row>
    <row r="96" customFormat="false" ht="35.05" hidden="false" customHeight="false" outlineLevel="0" collapsed="false">
      <c r="A96" s="7" t="n">
        <v>5</v>
      </c>
      <c r="B96" s="7" t="s">
        <v>72</v>
      </c>
      <c r="C96" s="7" t="s">
        <v>137</v>
      </c>
      <c r="D96" s="7" t="s">
        <v>399</v>
      </c>
      <c r="E96" s="7" t="s">
        <v>139</v>
      </c>
      <c r="F96" s="8" t="s">
        <v>140</v>
      </c>
      <c r="G96" s="8" t="s">
        <v>374</v>
      </c>
      <c r="H96" s="7" t="s">
        <v>135</v>
      </c>
      <c r="I96" s="8" t="s">
        <v>141</v>
      </c>
    </row>
    <row r="97" customFormat="false" ht="35.05" hidden="false" customHeight="false" outlineLevel="0" collapsed="false">
      <c r="A97" s="7" t="n">
        <v>2</v>
      </c>
      <c r="B97" s="7" t="s">
        <v>72</v>
      </c>
      <c r="C97" s="7" t="s">
        <v>400</v>
      </c>
      <c r="D97" s="7" t="s">
        <v>401</v>
      </c>
      <c r="E97" s="7" t="s">
        <v>81</v>
      </c>
      <c r="F97" s="8" t="s">
        <v>402</v>
      </c>
      <c r="G97" s="8" t="s">
        <v>403</v>
      </c>
      <c r="H97" s="7" t="s">
        <v>70</v>
      </c>
      <c r="I97" s="8" t="s">
        <v>84</v>
      </c>
    </row>
    <row r="98" customFormat="false" ht="23.85" hidden="false" customHeight="false" outlineLevel="0" collapsed="false">
      <c r="A98" s="7" t="n">
        <v>3</v>
      </c>
      <c r="B98" s="7" t="s">
        <v>72</v>
      </c>
      <c r="C98" s="7" t="s">
        <v>404</v>
      </c>
      <c r="D98" s="7" t="s">
        <v>405</v>
      </c>
      <c r="E98" s="7" t="s">
        <v>87</v>
      </c>
      <c r="F98" s="8" t="s">
        <v>406</v>
      </c>
      <c r="G98" s="8" t="s">
        <v>407</v>
      </c>
      <c r="H98" s="7" t="s">
        <v>70</v>
      </c>
      <c r="I98" s="8" t="s">
        <v>90</v>
      </c>
    </row>
    <row r="99" customFormat="false" ht="35.05" hidden="false" customHeight="false" outlineLevel="0" collapsed="false">
      <c r="A99" s="7" t="n">
        <v>3</v>
      </c>
      <c r="B99" s="7" t="s">
        <v>72</v>
      </c>
      <c r="C99" s="7" t="s">
        <v>408</v>
      </c>
      <c r="D99" s="7" t="s">
        <v>409</v>
      </c>
      <c r="E99" s="7" t="s">
        <v>87</v>
      </c>
      <c r="F99" s="8" t="s">
        <v>410</v>
      </c>
      <c r="G99" s="8" t="s">
        <v>220</v>
      </c>
      <c r="H99" s="7" t="s">
        <v>70</v>
      </c>
      <c r="I99" s="8" t="s">
        <v>90</v>
      </c>
    </row>
    <row r="100" customFormat="false" ht="35.05" hidden="false" customHeight="false" outlineLevel="0" collapsed="false">
      <c r="A100" s="7" t="n">
        <v>3</v>
      </c>
      <c r="B100" s="7" t="s">
        <v>72</v>
      </c>
      <c r="C100" s="7" t="s">
        <v>411</v>
      </c>
      <c r="D100" s="7" t="s">
        <v>412</v>
      </c>
      <c r="E100" s="7" t="s">
        <v>87</v>
      </c>
      <c r="F100" s="8" t="s">
        <v>413</v>
      </c>
      <c r="G100" s="8" t="s">
        <v>414</v>
      </c>
      <c r="H100" s="7" t="s">
        <v>70</v>
      </c>
      <c r="I100" s="8" t="s">
        <v>90</v>
      </c>
    </row>
    <row r="101" customFormat="false" ht="23.85" hidden="false" customHeight="false" outlineLevel="0" collapsed="false">
      <c r="A101" s="7" t="n">
        <v>3</v>
      </c>
      <c r="B101" s="7" t="s">
        <v>72</v>
      </c>
      <c r="C101" s="7" t="s">
        <v>415</v>
      </c>
      <c r="D101" s="7" t="s">
        <v>416</v>
      </c>
      <c r="E101" s="7" t="s">
        <v>87</v>
      </c>
      <c r="F101" s="8" t="s">
        <v>417</v>
      </c>
      <c r="G101" s="8" t="s">
        <v>418</v>
      </c>
      <c r="H101" s="7" t="s">
        <v>70</v>
      </c>
      <c r="I101" s="8" t="s">
        <v>90</v>
      </c>
    </row>
    <row r="102" customFormat="false" ht="35.05" hidden="false" customHeight="false" outlineLevel="0" collapsed="false">
      <c r="A102" s="7" t="n">
        <v>3</v>
      </c>
      <c r="B102" s="7" t="s">
        <v>72</v>
      </c>
      <c r="C102" s="7" t="s">
        <v>419</v>
      </c>
      <c r="D102" s="7" t="s">
        <v>420</v>
      </c>
      <c r="E102" s="7" t="s">
        <v>87</v>
      </c>
      <c r="F102" s="8" t="s">
        <v>421</v>
      </c>
      <c r="G102" s="8" t="s">
        <v>422</v>
      </c>
      <c r="H102" s="7" t="s">
        <v>70</v>
      </c>
      <c r="I102" s="8" t="s">
        <v>90</v>
      </c>
    </row>
    <row r="103" customFormat="false" ht="35.05" hidden="false" customHeight="false" outlineLevel="0" collapsed="false">
      <c r="A103" s="7" t="n">
        <v>4</v>
      </c>
      <c r="B103" s="7" t="s">
        <v>72</v>
      </c>
      <c r="C103" s="7" t="s">
        <v>131</v>
      </c>
      <c r="D103" s="7" t="s">
        <v>423</v>
      </c>
      <c r="E103" s="7" t="s">
        <v>133</v>
      </c>
      <c r="F103" s="8" t="s">
        <v>134</v>
      </c>
      <c r="G103" s="8" t="s">
        <v>403</v>
      </c>
      <c r="H103" s="7" t="s">
        <v>135</v>
      </c>
      <c r="I103" s="8" t="s">
        <v>136</v>
      </c>
    </row>
    <row r="104" customFormat="false" ht="35.05" hidden="false" customHeight="false" outlineLevel="0" collapsed="false">
      <c r="A104" s="7" t="n">
        <v>5</v>
      </c>
      <c r="B104" s="7" t="s">
        <v>72</v>
      </c>
      <c r="C104" s="7" t="s">
        <v>137</v>
      </c>
      <c r="D104" s="7" t="s">
        <v>424</v>
      </c>
      <c r="E104" s="7" t="s">
        <v>139</v>
      </c>
      <c r="F104" s="8" t="s">
        <v>140</v>
      </c>
      <c r="G104" s="8" t="s">
        <v>403</v>
      </c>
      <c r="H104" s="7" t="s">
        <v>135</v>
      </c>
      <c r="I104" s="8" t="s">
        <v>141</v>
      </c>
    </row>
    <row r="105" customFormat="false" ht="35.05" hidden="false" customHeight="false" outlineLevel="0" collapsed="false">
      <c r="A105" s="7" t="n">
        <v>2</v>
      </c>
      <c r="B105" s="7" t="s">
        <v>72</v>
      </c>
      <c r="C105" s="7" t="s">
        <v>425</v>
      </c>
      <c r="D105" s="7" t="s">
        <v>426</v>
      </c>
      <c r="E105" s="7" t="s">
        <v>81</v>
      </c>
      <c r="F105" s="8" t="s">
        <v>427</v>
      </c>
      <c r="G105" s="8" t="s">
        <v>428</v>
      </c>
      <c r="H105" s="7" t="s">
        <v>70</v>
      </c>
      <c r="I105" s="8" t="s">
        <v>84</v>
      </c>
    </row>
    <row r="106" customFormat="false" ht="35.05" hidden="false" customHeight="false" outlineLevel="0" collapsed="false">
      <c r="A106" s="7" t="n">
        <v>3</v>
      </c>
      <c r="B106" s="7" t="s">
        <v>72</v>
      </c>
      <c r="C106" s="7" t="s">
        <v>429</v>
      </c>
      <c r="D106" s="7" t="s">
        <v>430</v>
      </c>
      <c r="E106" s="7" t="s">
        <v>87</v>
      </c>
      <c r="F106" s="8" t="s">
        <v>431</v>
      </c>
      <c r="G106" s="8" t="s">
        <v>432</v>
      </c>
      <c r="H106" s="7" t="s">
        <v>70</v>
      </c>
      <c r="I106" s="8" t="s">
        <v>90</v>
      </c>
    </row>
    <row r="107" customFormat="false" ht="23.85" hidden="false" customHeight="false" outlineLevel="0" collapsed="false">
      <c r="A107" s="7" t="n">
        <v>3</v>
      </c>
      <c r="B107" s="7" t="s">
        <v>72</v>
      </c>
      <c r="C107" s="7" t="s">
        <v>433</v>
      </c>
      <c r="D107" s="7" t="s">
        <v>434</v>
      </c>
      <c r="E107" s="7" t="s">
        <v>87</v>
      </c>
      <c r="F107" s="8" t="s">
        <v>435</v>
      </c>
      <c r="G107" s="8" t="s">
        <v>242</v>
      </c>
      <c r="H107" s="7" t="s">
        <v>70</v>
      </c>
      <c r="I107" s="8" t="s">
        <v>90</v>
      </c>
    </row>
    <row r="108" customFormat="false" ht="35.05" hidden="false" customHeight="false" outlineLevel="0" collapsed="false">
      <c r="A108" s="7" t="n">
        <v>3</v>
      </c>
      <c r="B108" s="7" t="s">
        <v>72</v>
      </c>
      <c r="C108" s="7" t="s">
        <v>436</v>
      </c>
      <c r="D108" s="7" t="s">
        <v>437</v>
      </c>
      <c r="E108" s="7" t="s">
        <v>87</v>
      </c>
      <c r="F108" s="8" t="s">
        <v>438</v>
      </c>
      <c r="G108" s="8" t="s">
        <v>164</v>
      </c>
      <c r="H108" s="7" t="s">
        <v>70</v>
      </c>
      <c r="I108" s="8" t="s">
        <v>90</v>
      </c>
    </row>
    <row r="109" customFormat="false" ht="35.05" hidden="false" customHeight="false" outlineLevel="0" collapsed="false">
      <c r="A109" s="7" t="n">
        <v>3</v>
      </c>
      <c r="B109" s="7" t="s">
        <v>72</v>
      </c>
      <c r="C109" s="7" t="s">
        <v>439</v>
      </c>
      <c r="D109" s="7" t="s">
        <v>440</v>
      </c>
      <c r="E109" s="7" t="s">
        <v>87</v>
      </c>
      <c r="F109" s="8" t="s">
        <v>441</v>
      </c>
      <c r="G109" s="8" t="s">
        <v>442</v>
      </c>
      <c r="H109" s="7" t="s">
        <v>70</v>
      </c>
      <c r="I109" s="8" t="s">
        <v>90</v>
      </c>
    </row>
    <row r="110" customFormat="false" ht="35.05" hidden="false" customHeight="false" outlineLevel="0" collapsed="false">
      <c r="A110" s="7" t="n">
        <v>4</v>
      </c>
      <c r="B110" s="7" t="s">
        <v>72</v>
      </c>
      <c r="C110" s="7" t="s">
        <v>131</v>
      </c>
      <c r="D110" s="7" t="s">
        <v>443</v>
      </c>
      <c r="E110" s="7" t="s">
        <v>133</v>
      </c>
      <c r="F110" s="8" t="s">
        <v>134</v>
      </c>
      <c r="G110" s="8" t="s">
        <v>428</v>
      </c>
      <c r="H110" s="7" t="s">
        <v>135</v>
      </c>
      <c r="I110" s="8" t="s">
        <v>136</v>
      </c>
    </row>
    <row r="111" customFormat="false" ht="35.05" hidden="false" customHeight="false" outlineLevel="0" collapsed="false">
      <c r="A111" s="7" t="n">
        <v>5</v>
      </c>
      <c r="B111" s="7" t="s">
        <v>72</v>
      </c>
      <c r="C111" s="7" t="s">
        <v>137</v>
      </c>
      <c r="D111" s="7" t="s">
        <v>444</v>
      </c>
      <c r="E111" s="7" t="s">
        <v>139</v>
      </c>
      <c r="F111" s="8" t="s">
        <v>140</v>
      </c>
      <c r="G111" s="8" t="s">
        <v>428</v>
      </c>
      <c r="H111" s="7" t="s">
        <v>135</v>
      </c>
      <c r="I111" s="8" t="s">
        <v>141</v>
      </c>
    </row>
    <row r="112" customFormat="false" ht="35.05" hidden="false" customHeight="false" outlineLevel="0" collapsed="false">
      <c r="A112" s="7" t="n">
        <v>2</v>
      </c>
      <c r="B112" s="7" t="s">
        <v>72</v>
      </c>
      <c r="C112" s="7" t="s">
        <v>445</v>
      </c>
      <c r="D112" s="7" t="s">
        <v>446</v>
      </c>
      <c r="E112" s="7" t="s">
        <v>81</v>
      </c>
      <c r="F112" s="8" t="s">
        <v>447</v>
      </c>
      <c r="G112" s="8" t="s">
        <v>448</v>
      </c>
      <c r="H112" s="7" t="s">
        <v>70</v>
      </c>
      <c r="I112" s="8" t="s">
        <v>84</v>
      </c>
    </row>
    <row r="113" customFormat="false" ht="35.05" hidden="false" customHeight="false" outlineLevel="0" collapsed="false">
      <c r="A113" s="7" t="n">
        <v>3</v>
      </c>
      <c r="B113" s="7" t="s">
        <v>72</v>
      </c>
      <c r="C113" s="7" t="s">
        <v>449</v>
      </c>
      <c r="D113" s="7" t="s">
        <v>450</v>
      </c>
      <c r="E113" s="7" t="s">
        <v>87</v>
      </c>
      <c r="F113" s="8" t="s">
        <v>451</v>
      </c>
      <c r="G113" s="8" t="s">
        <v>448</v>
      </c>
      <c r="H113" s="7" t="s">
        <v>70</v>
      </c>
      <c r="I113" s="8" t="s">
        <v>90</v>
      </c>
    </row>
    <row r="114" customFormat="false" ht="23.85" hidden="false" customHeight="false" outlineLevel="0" collapsed="false">
      <c r="A114" s="7" t="n">
        <v>3</v>
      </c>
      <c r="B114" s="7" t="s">
        <v>72</v>
      </c>
      <c r="C114" s="7" t="s">
        <v>452</v>
      </c>
      <c r="D114" s="7" t="s">
        <v>453</v>
      </c>
      <c r="E114" s="7" t="s">
        <v>87</v>
      </c>
      <c r="F114" s="8" t="s">
        <v>454</v>
      </c>
      <c r="G114" s="8" t="s">
        <v>197</v>
      </c>
      <c r="H114" s="7" t="s">
        <v>70</v>
      </c>
      <c r="I114" s="8" t="s">
        <v>90</v>
      </c>
    </row>
    <row r="115" customFormat="false" ht="23.85" hidden="false" customHeight="false" outlineLevel="0" collapsed="false">
      <c r="A115" s="7" t="n">
        <v>3</v>
      </c>
      <c r="B115" s="7" t="s">
        <v>72</v>
      </c>
      <c r="C115" s="7" t="s">
        <v>455</v>
      </c>
      <c r="D115" s="7" t="s">
        <v>456</v>
      </c>
      <c r="E115" s="7" t="s">
        <v>87</v>
      </c>
      <c r="F115" s="8" t="s">
        <v>457</v>
      </c>
      <c r="G115" s="8" t="s">
        <v>197</v>
      </c>
      <c r="H115" s="7" t="s">
        <v>70</v>
      </c>
      <c r="I115" s="8" t="s">
        <v>90</v>
      </c>
    </row>
    <row r="116" customFormat="false" ht="23.85" hidden="false" customHeight="false" outlineLevel="0" collapsed="false">
      <c r="A116" s="7" t="n">
        <v>3</v>
      </c>
      <c r="B116" s="7" t="s">
        <v>72</v>
      </c>
      <c r="C116" s="7" t="s">
        <v>458</v>
      </c>
      <c r="D116" s="7" t="s">
        <v>459</v>
      </c>
      <c r="E116" s="7" t="s">
        <v>87</v>
      </c>
      <c r="F116" s="8" t="s">
        <v>460</v>
      </c>
      <c r="G116" s="8" t="s">
        <v>461</v>
      </c>
      <c r="H116" s="7" t="s">
        <v>70</v>
      </c>
      <c r="I116" s="8" t="s">
        <v>90</v>
      </c>
    </row>
    <row r="117" customFormat="false" ht="35.05" hidden="false" customHeight="false" outlineLevel="0" collapsed="false">
      <c r="A117" s="7" t="n">
        <v>3</v>
      </c>
      <c r="B117" s="7" t="s">
        <v>72</v>
      </c>
      <c r="C117" s="7" t="s">
        <v>462</v>
      </c>
      <c r="D117" s="7" t="s">
        <v>463</v>
      </c>
      <c r="E117" s="7" t="s">
        <v>87</v>
      </c>
      <c r="F117" s="8" t="s">
        <v>464</v>
      </c>
      <c r="G117" s="8" t="s">
        <v>448</v>
      </c>
      <c r="H117" s="7" t="s">
        <v>70</v>
      </c>
      <c r="I117" s="8" t="s">
        <v>90</v>
      </c>
    </row>
    <row r="118" customFormat="false" ht="23.85" hidden="false" customHeight="false" outlineLevel="0" collapsed="false">
      <c r="A118" s="7" t="n">
        <v>3</v>
      </c>
      <c r="B118" s="7" t="s">
        <v>72</v>
      </c>
      <c r="C118" s="7" t="s">
        <v>465</v>
      </c>
      <c r="D118" s="7" t="s">
        <v>466</v>
      </c>
      <c r="E118" s="7" t="s">
        <v>87</v>
      </c>
      <c r="F118" s="8" t="s">
        <v>467</v>
      </c>
      <c r="G118" s="8" t="s">
        <v>468</v>
      </c>
      <c r="H118" s="7" t="s">
        <v>70</v>
      </c>
      <c r="I118" s="8" t="s">
        <v>90</v>
      </c>
    </row>
    <row r="119" customFormat="false" ht="35.05" hidden="false" customHeight="false" outlineLevel="0" collapsed="false">
      <c r="A119" s="7" t="n">
        <v>4</v>
      </c>
      <c r="B119" s="7" t="s">
        <v>72</v>
      </c>
      <c r="C119" s="7" t="s">
        <v>131</v>
      </c>
      <c r="D119" s="7" t="s">
        <v>469</v>
      </c>
      <c r="E119" s="7" t="s">
        <v>133</v>
      </c>
      <c r="F119" s="8" t="s">
        <v>134</v>
      </c>
      <c r="G119" s="8" t="s">
        <v>448</v>
      </c>
      <c r="H119" s="7" t="s">
        <v>135</v>
      </c>
      <c r="I119" s="8" t="s">
        <v>136</v>
      </c>
    </row>
    <row r="120" customFormat="false" ht="35.05" hidden="false" customHeight="false" outlineLevel="0" collapsed="false">
      <c r="A120" s="7" t="n">
        <v>5</v>
      </c>
      <c r="B120" s="7" t="s">
        <v>72</v>
      </c>
      <c r="C120" s="7" t="s">
        <v>137</v>
      </c>
      <c r="D120" s="7" t="s">
        <v>470</v>
      </c>
      <c r="E120" s="7" t="s">
        <v>139</v>
      </c>
      <c r="F120" s="8" t="s">
        <v>140</v>
      </c>
      <c r="G120" s="8" t="s">
        <v>448</v>
      </c>
      <c r="H120" s="7" t="s">
        <v>135</v>
      </c>
      <c r="I120" s="8" t="s">
        <v>141</v>
      </c>
    </row>
    <row r="121" customFormat="false" ht="35.05" hidden="false" customHeight="false" outlineLevel="0" collapsed="false">
      <c r="A121" s="7" t="n">
        <v>1</v>
      </c>
      <c r="B121" s="7" t="s">
        <v>471</v>
      </c>
      <c r="C121" s="7" t="s">
        <v>471</v>
      </c>
      <c r="D121" s="7" t="s">
        <v>472</v>
      </c>
      <c r="E121" s="7" t="s">
        <v>81</v>
      </c>
      <c r="F121" s="8" t="s">
        <v>473</v>
      </c>
      <c r="G121" s="8" t="s">
        <v>474</v>
      </c>
      <c r="H121" s="7" t="s">
        <v>70</v>
      </c>
      <c r="I121" s="8" t="s">
        <v>475</v>
      </c>
    </row>
    <row r="122" customFormat="false" ht="35.05" hidden="false" customHeight="false" outlineLevel="0" collapsed="false">
      <c r="A122" s="7" t="n">
        <v>2</v>
      </c>
      <c r="B122" s="7" t="s">
        <v>471</v>
      </c>
      <c r="C122" s="7" t="s">
        <v>476</v>
      </c>
      <c r="D122" s="7" t="s">
        <v>477</v>
      </c>
      <c r="E122" s="7" t="s">
        <v>478</v>
      </c>
      <c r="F122" s="8" t="s">
        <v>479</v>
      </c>
      <c r="G122" s="8" t="s">
        <v>474</v>
      </c>
      <c r="H122" s="7" t="s">
        <v>70</v>
      </c>
      <c r="I122" s="8" t="s">
        <v>480</v>
      </c>
    </row>
    <row r="123" customFormat="false" ht="35.05" hidden="false" customHeight="false" outlineLevel="0" collapsed="false">
      <c r="A123" s="7" t="n">
        <v>3</v>
      </c>
      <c r="B123" s="7" t="s">
        <v>471</v>
      </c>
      <c r="C123" s="7" t="s">
        <v>481</v>
      </c>
      <c r="D123" s="7" t="s">
        <v>482</v>
      </c>
      <c r="E123" s="7" t="s">
        <v>483</v>
      </c>
      <c r="F123" s="8" t="s">
        <v>484</v>
      </c>
      <c r="G123" s="8" t="s">
        <v>474</v>
      </c>
      <c r="H123" s="7" t="s">
        <v>70</v>
      </c>
      <c r="I123" s="8" t="s">
        <v>485</v>
      </c>
    </row>
    <row r="124" customFormat="false" ht="35.05" hidden="false" customHeight="false" outlineLevel="0" collapsed="false">
      <c r="A124" s="7" t="n">
        <v>2</v>
      </c>
      <c r="B124" s="7" t="s">
        <v>471</v>
      </c>
      <c r="C124" s="7" t="s">
        <v>486</v>
      </c>
      <c r="D124" s="7" t="s">
        <v>487</v>
      </c>
      <c r="E124" s="7" t="s">
        <v>478</v>
      </c>
      <c r="F124" s="8" t="s">
        <v>488</v>
      </c>
      <c r="G124" s="8" t="s">
        <v>474</v>
      </c>
      <c r="H124" s="7" t="s">
        <v>70</v>
      </c>
      <c r="I124" s="8" t="s">
        <v>480</v>
      </c>
    </row>
    <row r="125" customFormat="false" ht="35.05" hidden="false" customHeight="false" outlineLevel="0" collapsed="false">
      <c r="A125" s="7" t="n">
        <v>3</v>
      </c>
      <c r="B125" s="7" t="s">
        <v>471</v>
      </c>
      <c r="C125" s="7" t="s">
        <v>489</v>
      </c>
      <c r="D125" s="7" t="s">
        <v>490</v>
      </c>
      <c r="E125" s="7" t="s">
        <v>483</v>
      </c>
      <c r="F125" s="8" t="s">
        <v>484</v>
      </c>
      <c r="G125" s="8" t="s">
        <v>474</v>
      </c>
      <c r="H125" s="7" t="s">
        <v>70</v>
      </c>
      <c r="I125" s="8" t="s">
        <v>485</v>
      </c>
    </row>
    <row r="126" customFormat="false" ht="35.05" hidden="false" customHeight="false" outlineLevel="0" collapsed="false">
      <c r="A126" s="7" t="n">
        <v>2</v>
      </c>
      <c r="B126" s="7" t="s">
        <v>471</v>
      </c>
      <c r="C126" s="7" t="s">
        <v>491</v>
      </c>
      <c r="D126" s="7" t="s">
        <v>492</v>
      </c>
      <c r="E126" s="7" t="s">
        <v>478</v>
      </c>
      <c r="F126" s="8" t="s">
        <v>493</v>
      </c>
      <c r="G126" s="8" t="s">
        <v>474</v>
      </c>
      <c r="H126" s="7" t="s">
        <v>70</v>
      </c>
      <c r="I126" s="8" t="s">
        <v>480</v>
      </c>
    </row>
    <row r="127" customFormat="false" ht="35.05" hidden="false" customHeight="false" outlineLevel="0" collapsed="false">
      <c r="A127" s="7" t="n">
        <v>3</v>
      </c>
      <c r="B127" s="7" t="s">
        <v>471</v>
      </c>
      <c r="C127" s="7" t="s">
        <v>494</v>
      </c>
      <c r="D127" s="7" t="s">
        <v>495</v>
      </c>
      <c r="E127" s="7" t="s">
        <v>483</v>
      </c>
      <c r="F127" s="8" t="s">
        <v>484</v>
      </c>
      <c r="G127" s="8" t="s">
        <v>474</v>
      </c>
      <c r="H127" s="7" t="s">
        <v>70</v>
      </c>
      <c r="I127" s="8" t="s">
        <v>485</v>
      </c>
    </row>
    <row r="128" customFormat="false" ht="35.05" hidden="false" customHeight="false" outlineLevel="0" collapsed="false">
      <c r="A128" s="7" t="n">
        <v>2</v>
      </c>
      <c r="B128" s="7" t="s">
        <v>471</v>
      </c>
      <c r="C128" s="7" t="s">
        <v>496</v>
      </c>
      <c r="D128" s="7" t="s">
        <v>497</v>
      </c>
      <c r="E128" s="7" t="s">
        <v>478</v>
      </c>
      <c r="F128" s="8" t="s">
        <v>498</v>
      </c>
      <c r="G128" s="8" t="s">
        <v>474</v>
      </c>
      <c r="H128" s="7" t="s">
        <v>70</v>
      </c>
      <c r="I128" s="8" t="s">
        <v>480</v>
      </c>
    </row>
    <row r="129" customFormat="false" ht="35.05" hidden="false" customHeight="false" outlineLevel="0" collapsed="false">
      <c r="A129" s="7" t="n">
        <v>3</v>
      </c>
      <c r="B129" s="7" t="s">
        <v>471</v>
      </c>
      <c r="C129" s="7" t="s">
        <v>499</v>
      </c>
      <c r="D129" s="7" t="s">
        <v>500</v>
      </c>
      <c r="E129" s="7" t="s">
        <v>483</v>
      </c>
      <c r="F129" s="8" t="s">
        <v>484</v>
      </c>
      <c r="G129" s="8" t="s">
        <v>474</v>
      </c>
      <c r="H129" s="7" t="s">
        <v>70</v>
      </c>
      <c r="I129" s="8" t="s">
        <v>485</v>
      </c>
    </row>
    <row r="130" customFormat="false" ht="35.05" hidden="false" customHeight="false" outlineLevel="0" collapsed="false">
      <c r="A130" s="7" t="n">
        <v>2</v>
      </c>
      <c r="B130" s="7" t="s">
        <v>471</v>
      </c>
      <c r="C130" s="7" t="s">
        <v>501</v>
      </c>
      <c r="D130" s="7" t="s">
        <v>502</v>
      </c>
      <c r="E130" s="7" t="s">
        <v>478</v>
      </c>
      <c r="F130" s="8" t="s">
        <v>503</v>
      </c>
      <c r="G130" s="8" t="s">
        <v>474</v>
      </c>
      <c r="H130" s="7" t="s">
        <v>70</v>
      </c>
      <c r="I130" s="8" t="s">
        <v>480</v>
      </c>
    </row>
    <row r="131" customFormat="false" ht="35.05" hidden="false" customHeight="false" outlineLevel="0" collapsed="false">
      <c r="A131" s="7" t="n">
        <v>3</v>
      </c>
      <c r="B131" s="7" t="s">
        <v>471</v>
      </c>
      <c r="C131" s="7" t="s">
        <v>504</v>
      </c>
      <c r="D131" s="7" t="s">
        <v>505</v>
      </c>
      <c r="E131" s="7" t="s">
        <v>483</v>
      </c>
      <c r="F131" s="8" t="s">
        <v>484</v>
      </c>
      <c r="G131" s="8" t="s">
        <v>474</v>
      </c>
      <c r="H131" s="7" t="s">
        <v>70</v>
      </c>
      <c r="I131" s="8" t="s">
        <v>485</v>
      </c>
    </row>
    <row r="132" customFormat="false" ht="35.05" hidden="false" customHeight="false" outlineLevel="0" collapsed="false">
      <c r="A132" s="7" t="n">
        <v>2</v>
      </c>
      <c r="B132" s="7" t="s">
        <v>471</v>
      </c>
      <c r="C132" s="7" t="s">
        <v>506</v>
      </c>
      <c r="D132" s="7" t="s">
        <v>507</v>
      </c>
      <c r="E132" s="7" t="s">
        <v>478</v>
      </c>
      <c r="F132" s="8" t="s">
        <v>508</v>
      </c>
      <c r="G132" s="8" t="s">
        <v>474</v>
      </c>
      <c r="H132" s="7" t="s">
        <v>70</v>
      </c>
      <c r="I132" s="8" t="s">
        <v>480</v>
      </c>
    </row>
    <row r="133" customFormat="false" ht="35.05" hidden="false" customHeight="false" outlineLevel="0" collapsed="false">
      <c r="A133" s="7" t="n">
        <v>3</v>
      </c>
      <c r="B133" s="7" t="s">
        <v>471</v>
      </c>
      <c r="C133" s="7" t="s">
        <v>509</v>
      </c>
      <c r="D133" s="7" t="s">
        <v>510</v>
      </c>
      <c r="E133" s="7" t="s">
        <v>483</v>
      </c>
      <c r="F133" s="8" t="s">
        <v>484</v>
      </c>
      <c r="G133" s="8" t="s">
        <v>474</v>
      </c>
      <c r="H133" s="7" t="s">
        <v>70</v>
      </c>
      <c r="I133" s="8" t="s">
        <v>485</v>
      </c>
    </row>
    <row r="134" customFormat="false" ht="35.05" hidden="false" customHeight="false" outlineLevel="0" collapsed="false">
      <c r="A134" s="7" t="n">
        <v>2</v>
      </c>
      <c r="B134" s="7" t="s">
        <v>471</v>
      </c>
      <c r="C134" s="7" t="s">
        <v>511</v>
      </c>
      <c r="D134" s="7" t="s">
        <v>512</v>
      </c>
      <c r="E134" s="7" t="s">
        <v>478</v>
      </c>
      <c r="F134" s="8" t="s">
        <v>513</v>
      </c>
      <c r="G134" s="8" t="s">
        <v>474</v>
      </c>
      <c r="H134" s="7" t="s">
        <v>70</v>
      </c>
      <c r="I134" s="8" t="s">
        <v>480</v>
      </c>
    </row>
    <row r="135" customFormat="false" ht="35.05" hidden="false" customHeight="false" outlineLevel="0" collapsed="false">
      <c r="A135" s="7" t="n">
        <v>3</v>
      </c>
      <c r="B135" s="7" t="s">
        <v>471</v>
      </c>
      <c r="C135" s="7" t="s">
        <v>514</v>
      </c>
      <c r="D135" s="7" t="s">
        <v>515</v>
      </c>
      <c r="E135" s="7" t="s">
        <v>483</v>
      </c>
      <c r="F135" s="8" t="s">
        <v>484</v>
      </c>
      <c r="G135" s="8" t="s">
        <v>474</v>
      </c>
      <c r="H135" s="7" t="s">
        <v>70</v>
      </c>
      <c r="I135" s="8" t="s">
        <v>485</v>
      </c>
    </row>
    <row r="136" customFormat="false" ht="35.05" hidden="false" customHeight="false" outlineLevel="0" collapsed="false">
      <c r="A136" s="7" t="n">
        <v>2</v>
      </c>
      <c r="B136" s="7" t="s">
        <v>471</v>
      </c>
      <c r="C136" s="7" t="s">
        <v>516</v>
      </c>
      <c r="D136" s="7" t="s">
        <v>517</v>
      </c>
      <c r="E136" s="7" t="s">
        <v>478</v>
      </c>
      <c r="F136" s="8" t="s">
        <v>518</v>
      </c>
      <c r="G136" s="8" t="s">
        <v>474</v>
      </c>
      <c r="H136" s="7" t="s">
        <v>70</v>
      </c>
      <c r="I136" s="8" t="s">
        <v>480</v>
      </c>
    </row>
    <row r="137" customFormat="false" ht="35.05" hidden="false" customHeight="false" outlineLevel="0" collapsed="false">
      <c r="A137" s="7" t="n">
        <v>3</v>
      </c>
      <c r="B137" s="7" t="s">
        <v>471</v>
      </c>
      <c r="C137" s="7" t="s">
        <v>519</v>
      </c>
      <c r="D137" s="7" t="s">
        <v>520</v>
      </c>
      <c r="E137" s="7" t="s">
        <v>483</v>
      </c>
      <c r="F137" s="8" t="s">
        <v>484</v>
      </c>
      <c r="G137" s="8" t="s">
        <v>474</v>
      </c>
      <c r="H137" s="7" t="s">
        <v>70</v>
      </c>
      <c r="I137" s="8" t="s">
        <v>485</v>
      </c>
    </row>
    <row r="138" customFormat="false" ht="35.05" hidden="false" customHeight="false" outlineLevel="0" collapsed="false">
      <c r="A138" s="7" t="n">
        <v>2</v>
      </c>
      <c r="B138" s="7" t="s">
        <v>471</v>
      </c>
      <c r="C138" s="7" t="s">
        <v>521</v>
      </c>
      <c r="D138" s="7" t="s">
        <v>522</v>
      </c>
      <c r="E138" s="7" t="s">
        <v>478</v>
      </c>
      <c r="F138" s="8" t="s">
        <v>523</v>
      </c>
      <c r="G138" s="8" t="s">
        <v>474</v>
      </c>
      <c r="H138" s="7" t="s">
        <v>70</v>
      </c>
      <c r="I138" s="8" t="s">
        <v>480</v>
      </c>
    </row>
    <row r="139" customFormat="false" ht="35.05" hidden="false" customHeight="false" outlineLevel="0" collapsed="false">
      <c r="A139" s="7" t="n">
        <v>3</v>
      </c>
      <c r="B139" s="7" t="s">
        <v>471</v>
      </c>
      <c r="C139" s="7" t="s">
        <v>524</v>
      </c>
      <c r="D139" s="7" t="s">
        <v>525</v>
      </c>
      <c r="E139" s="7" t="s">
        <v>483</v>
      </c>
      <c r="F139" s="8" t="s">
        <v>484</v>
      </c>
      <c r="G139" s="8" t="s">
        <v>474</v>
      </c>
      <c r="H139" s="7" t="s">
        <v>70</v>
      </c>
      <c r="I139" s="8" t="s">
        <v>485</v>
      </c>
    </row>
    <row r="140" customFormat="false" ht="35.05" hidden="false" customHeight="false" outlineLevel="0" collapsed="false">
      <c r="A140" s="7" t="n">
        <v>2</v>
      </c>
      <c r="B140" s="7" t="s">
        <v>471</v>
      </c>
      <c r="C140" s="7" t="s">
        <v>526</v>
      </c>
      <c r="D140" s="7" t="s">
        <v>527</v>
      </c>
      <c r="E140" s="7" t="s">
        <v>478</v>
      </c>
      <c r="F140" s="8" t="s">
        <v>528</v>
      </c>
      <c r="G140" s="8" t="s">
        <v>474</v>
      </c>
      <c r="H140" s="7" t="s">
        <v>70</v>
      </c>
      <c r="I140" s="8" t="s">
        <v>480</v>
      </c>
    </row>
    <row r="141" customFormat="false" ht="35.05" hidden="false" customHeight="false" outlineLevel="0" collapsed="false">
      <c r="A141" s="7" t="n">
        <v>3</v>
      </c>
      <c r="B141" s="7" t="s">
        <v>471</v>
      </c>
      <c r="C141" s="7" t="s">
        <v>529</v>
      </c>
      <c r="D141" s="7" t="s">
        <v>530</v>
      </c>
      <c r="E141" s="7" t="s">
        <v>483</v>
      </c>
      <c r="F141" s="8" t="s">
        <v>484</v>
      </c>
      <c r="G141" s="8" t="s">
        <v>474</v>
      </c>
      <c r="H141" s="7" t="s">
        <v>70</v>
      </c>
      <c r="I141" s="8" t="s">
        <v>485</v>
      </c>
    </row>
    <row r="142" customFormat="false" ht="35.05" hidden="false" customHeight="false" outlineLevel="0" collapsed="false">
      <c r="A142" s="7" t="n">
        <v>2</v>
      </c>
      <c r="B142" s="7" t="s">
        <v>471</v>
      </c>
      <c r="C142" s="7" t="s">
        <v>531</v>
      </c>
      <c r="D142" s="7" t="s">
        <v>532</v>
      </c>
      <c r="E142" s="7" t="s">
        <v>478</v>
      </c>
      <c r="F142" s="8" t="s">
        <v>533</v>
      </c>
      <c r="G142" s="8" t="s">
        <v>474</v>
      </c>
      <c r="H142" s="7" t="s">
        <v>70</v>
      </c>
      <c r="I142" s="8" t="s">
        <v>480</v>
      </c>
    </row>
    <row r="143" customFormat="false" ht="35.05" hidden="false" customHeight="false" outlineLevel="0" collapsed="false">
      <c r="A143" s="7" t="n">
        <v>3</v>
      </c>
      <c r="B143" s="7" t="s">
        <v>471</v>
      </c>
      <c r="C143" s="7" t="s">
        <v>534</v>
      </c>
      <c r="D143" s="7" t="s">
        <v>535</v>
      </c>
      <c r="E143" s="7" t="s">
        <v>483</v>
      </c>
      <c r="F143" s="8" t="s">
        <v>484</v>
      </c>
      <c r="G143" s="8" t="s">
        <v>474</v>
      </c>
      <c r="H143" s="7" t="s">
        <v>70</v>
      </c>
      <c r="I143" s="8" t="s">
        <v>485</v>
      </c>
    </row>
    <row r="144" customFormat="false" ht="35.05" hidden="false" customHeight="false" outlineLevel="0" collapsed="false">
      <c r="A144" s="7" t="n">
        <v>2</v>
      </c>
      <c r="B144" s="7" t="s">
        <v>471</v>
      </c>
      <c r="C144" s="7" t="s">
        <v>536</v>
      </c>
      <c r="D144" s="7" t="s">
        <v>537</v>
      </c>
      <c r="E144" s="7" t="s">
        <v>478</v>
      </c>
      <c r="F144" s="8" t="s">
        <v>538</v>
      </c>
      <c r="G144" s="8" t="s">
        <v>474</v>
      </c>
      <c r="H144" s="7" t="s">
        <v>70</v>
      </c>
      <c r="I144" s="8" t="s">
        <v>480</v>
      </c>
    </row>
    <row r="145" customFormat="false" ht="35.05" hidden="false" customHeight="false" outlineLevel="0" collapsed="false">
      <c r="A145" s="7" t="n">
        <v>3</v>
      </c>
      <c r="B145" s="7" t="s">
        <v>471</v>
      </c>
      <c r="C145" s="7" t="s">
        <v>539</v>
      </c>
      <c r="D145" s="7" t="s">
        <v>540</v>
      </c>
      <c r="E145" s="7" t="s">
        <v>483</v>
      </c>
      <c r="F145" s="8" t="s">
        <v>484</v>
      </c>
      <c r="G145" s="8" t="s">
        <v>474</v>
      </c>
      <c r="H145" s="7" t="s">
        <v>70</v>
      </c>
      <c r="I145" s="8" t="s">
        <v>485</v>
      </c>
    </row>
    <row r="146" customFormat="false" ht="35.05" hidden="false" customHeight="false" outlineLevel="0" collapsed="false">
      <c r="A146" s="7" t="n">
        <v>2</v>
      </c>
      <c r="B146" s="7" t="s">
        <v>471</v>
      </c>
      <c r="C146" s="7" t="s">
        <v>541</v>
      </c>
      <c r="D146" s="7" t="s">
        <v>542</v>
      </c>
      <c r="E146" s="7" t="s">
        <v>478</v>
      </c>
      <c r="F146" s="8" t="s">
        <v>543</v>
      </c>
      <c r="G146" s="8" t="s">
        <v>474</v>
      </c>
      <c r="H146" s="7" t="s">
        <v>70</v>
      </c>
      <c r="I146" s="8" t="s">
        <v>480</v>
      </c>
    </row>
    <row r="147" customFormat="false" ht="35.05" hidden="false" customHeight="false" outlineLevel="0" collapsed="false">
      <c r="A147" s="7" t="n">
        <v>3</v>
      </c>
      <c r="B147" s="7" t="s">
        <v>471</v>
      </c>
      <c r="C147" s="7" t="s">
        <v>544</v>
      </c>
      <c r="D147" s="7" t="s">
        <v>545</v>
      </c>
      <c r="E147" s="7" t="s">
        <v>483</v>
      </c>
      <c r="F147" s="8" t="s">
        <v>484</v>
      </c>
      <c r="G147" s="8" t="s">
        <v>474</v>
      </c>
      <c r="H147" s="7" t="s">
        <v>70</v>
      </c>
      <c r="I147" s="8" t="s">
        <v>485</v>
      </c>
    </row>
    <row r="148" customFormat="false" ht="35.05" hidden="false" customHeight="false" outlineLevel="0" collapsed="false">
      <c r="A148" s="7" t="n">
        <v>2</v>
      </c>
      <c r="B148" s="7" t="s">
        <v>471</v>
      </c>
      <c r="C148" s="7" t="s">
        <v>546</v>
      </c>
      <c r="D148" s="7" t="s">
        <v>547</v>
      </c>
      <c r="E148" s="7" t="s">
        <v>478</v>
      </c>
      <c r="F148" s="8" t="s">
        <v>548</v>
      </c>
      <c r="G148" s="8" t="s">
        <v>474</v>
      </c>
      <c r="H148" s="7" t="s">
        <v>70</v>
      </c>
      <c r="I148" s="8" t="s">
        <v>480</v>
      </c>
    </row>
    <row r="149" customFormat="false" ht="35.05" hidden="false" customHeight="false" outlineLevel="0" collapsed="false">
      <c r="A149" s="7" t="n">
        <v>3</v>
      </c>
      <c r="B149" s="7" t="s">
        <v>471</v>
      </c>
      <c r="C149" s="7" t="s">
        <v>549</v>
      </c>
      <c r="D149" s="7" t="s">
        <v>550</v>
      </c>
      <c r="E149" s="7" t="s">
        <v>483</v>
      </c>
      <c r="F149" s="8" t="s">
        <v>484</v>
      </c>
      <c r="G149" s="8" t="s">
        <v>474</v>
      </c>
      <c r="H149" s="7" t="s">
        <v>70</v>
      </c>
      <c r="I149" s="8" t="s">
        <v>485</v>
      </c>
    </row>
    <row r="150" customFormat="false" ht="35.05" hidden="false" customHeight="false" outlineLevel="0" collapsed="false">
      <c r="A150" s="7" t="n">
        <v>2</v>
      </c>
      <c r="B150" s="7" t="s">
        <v>471</v>
      </c>
      <c r="C150" s="7" t="s">
        <v>551</v>
      </c>
      <c r="D150" s="7" t="s">
        <v>552</v>
      </c>
      <c r="E150" s="7" t="s">
        <v>478</v>
      </c>
      <c r="F150" s="8" t="s">
        <v>553</v>
      </c>
      <c r="G150" s="8" t="s">
        <v>474</v>
      </c>
      <c r="H150" s="7" t="s">
        <v>70</v>
      </c>
      <c r="I150" s="8" t="s">
        <v>480</v>
      </c>
    </row>
    <row r="151" customFormat="false" ht="35.05" hidden="false" customHeight="false" outlineLevel="0" collapsed="false">
      <c r="A151" s="7" t="n">
        <v>3</v>
      </c>
      <c r="B151" s="7" t="s">
        <v>471</v>
      </c>
      <c r="C151" s="7" t="s">
        <v>554</v>
      </c>
      <c r="D151" s="7" t="s">
        <v>555</v>
      </c>
      <c r="E151" s="7" t="s">
        <v>483</v>
      </c>
      <c r="F151" s="8" t="s">
        <v>484</v>
      </c>
      <c r="G151" s="8" t="s">
        <v>474</v>
      </c>
      <c r="H151" s="7" t="s">
        <v>70</v>
      </c>
      <c r="I151" s="8" t="s">
        <v>485</v>
      </c>
    </row>
    <row r="152" customFormat="false" ht="35.05" hidden="false" customHeight="false" outlineLevel="0" collapsed="false">
      <c r="A152" s="7" t="n">
        <v>2</v>
      </c>
      <c r="B152" s="7" t="s">
        <v>471</v>
      </c>
      <c r="C152" s="7" t="s">
        <v>556</v>
      </c>
      <c r="D152" s="7" t="s">
        <v>557</v>
      </c>
      <c r="E152" s="7" t="s">
        <v>478</v>
      </c>
      <c r="F152" s="8" t="s">
        <v>558</v>
      </c>
      <c r="G152" s="8" t="s">
        <v>474</v>
      </c>
      <c r="H152" s="7" t="s">
        <v>70</v>
      </c>
      <c r="I152" s="8" t="s">
        <v>480</v>
      </c>
    </row>
    <row r="153" customFormat="false" ht="35.05" hidden="false" customHeight="false" outlineLevel="0" collapsed="false">
      <c r="A153" s="7" t="n">
        <v>3</v>
      </c>
      <c r="B153" s="7" t="s">
        <v>471</v>
      </c>
      <c r="C153" s="7" t="s">
        <v>559</v>
      </c>
      <c r="D153" s="7" t="s">
        <v>560</v>
      </c>
      <c r="E153" s="7" t="s">
        <v>483</v>
      </c>
      <c r="F153" s="8" t="s">
        <v>484</v>
      </c>
      <c r="G153" s="8" t="s">
        <v>474</v>
      </c>
      <c r="H153" s="7" t="s">
        <v>70</v>
      </c>
      <c r="I153" s="8" t="s">
        <v>485</v>
      </c>
    </row>
    <row r="154" customFormat="false" ht="35.05" hidden="false" customHeight="false" outlineLevel="0" collapsed="false">
      <c r="A154" s="7" t="n">
        <v>2</v>
      </c>
      <c r="B154" s="7" t="s">
        <v>471</v>
      </c>
      <c r="C154" s="7" t="s">
        <v>561</v>
      </c>
      <c r="D154" s="7" t="s">
        <v>562</v>
      </c>
      <c r="E154" s="7" t="s">
        <v>478</v>
      </c>
      <c r="F154" s="8" t="s">
        <v>563</v>
      </c>
      <c r="G154" s="8" t="s">
        <v>474</v>
      </c>
      <c r="H154" s="7" t="s">
        <v>70</v>
      </c>
      <c r="I154" s="8" t="s">
        <v>480</v>
      </c>
    </row>
    <row r="155" customFormat="false" ht="35.05" hidden="false" customHeight="false" outlineLevel="0" collapsed="false">
      <c r="A155" s="7" t="n">
        <v>3</v>
      </c>
      <c r="B155" s="7" t="s">
        <v>471</v>
      </c>
      <c r="C155" s="7" t="s">
        <v>564</v>
      </c>
      <c r="D155" s="7" t="s">
        <v>565</v>
      </c>
      <c r="E155" s="7" t="s">
        <v>483</v>
      </c>
      <c r="F155" s="8" t="s">
        <v>484</v>
      </c>
      <c r="G155" s="8" t="s">
        <v>474</v>
      </c>
      <c r="H155" s="7" t="s">
        <v>70</v>
      </c>
      <c r="I155" s="8" t="s">
        <v>485</v>
      </c>
    </row>
    <row r="156" customFormat="false" ht="35.05" hidden="false" customHeight="false" outlineLevel="0" collapsed="false">
      <c r="A156" s="7" t="n">
        <v>2</v>
      </c>
      <c r="B156" s="7" t="s">
        <v>471</v>
      </c>
      <c r="C156" s="7" t="s">
        <v>566</v>
      </c>
      <c r="D156" s="7" t="s">
        <v>567</v>
      </c>
      <c r="E156" s="7" t="s">
        <v>478</v>
      </c>
      <c r="F156" s="8" t="s">
        <v>568</v>
      </c>
      <c r="G156" s="8" t="s">
        <v>474</v>
      </c>
      <c r="H156" s="7" t="s">
        <v>70</v>
      </c>
      <c r="I156" s="8" t="s">
        <v>480</v>
      </c>
    </row>
    <row r="157" customFormat="false" ht="35.05" hidden="false" customHeight="false" outlineLevel="0" collapsed="false">
      <c r="A157" s="7" t="n">
        <v>3</v>
      </c>
      <c r="B157" s="7" t="s">
        <v>471</v>
      </c>
      <c r="C157" s="7" t="s">
        <v>569</v>
      </c>
      <c r="D157" s="7" t="s">
        <v>570</v>
      </c>
      <c r="E157" s="7" t="s">
        <v>483</v>
      </c>
      <c r="F157" s="8" t="s">
        <v>484</v>
      </c>
      <c r="G157" s="8" t="s">
        <v>474</v>
      </c>
      <c r="H157" s="7" t="s">
        <v>70</v>
      </c>
      <c r="I157" s="8" t="s">
        <v>485</v>
      </c>
    </row>
    <row r="158" customFormat="false" ht="35.05" hidden="false" customHeight="false" outlineLevel="0" collapsed="false">
      <c r="A158" s="7" t="n">
        <v>2</v>
      </c>
      <c r="B158" s="7" t="s">
        <v>471</v>
      </c>
      <c r="C158" s="7" t="s">
        <v>571</v>
      </c>
      <c r="D158" s="7" t="s">
        <v>572</v>
      </c>
      <c r="E158" s="7" t="s">
        <v>478</v>
      </c>
      <c r="F158" s="8" t="s">
        <v>573</v>
      </c>
      <c r="G158" s="8" t="s">
        <v>474</v>
      </c>
      <c r="H158" s="7" t="s">
        <v>70</v>
      </c>
      <c r="I158" s="8" t="s">
        <v>480</v>
      </c>
    </row>
    <row r="159" customFormat="false" ht="35.05" hidden="false" customHeight="false" outlineLevel="0" collapsed="false">
      <c r="A159" s="7" t="n">
        <v>3</v>
      </c>
      <c r="B159" s="7" t="s">
        <v>471</v>
      </c>
      <c r="C159" s="7" t="s">
        <v>574</v>
      </c>
      <c r="D159" s="7" t="s">
        <v>575</v>
      </c>
      <c r="E159" s="7" t="s">
        <v>483</v>
      </c>
      <c r="F159" s="8" t="s">
        <v>484</v>
      </c>
      <c r="G159" s="8" t="s">
        <v>474</v>
      </c>
      <c r="H159" s="7" t="s">
        <v>70</v>
      </c>
      <c r="I159" s="8" t="s">
        <v>485</v>
      </c>
    </row>
    <row r="160" customFormat="false" ht="35.05" hidden="false" customHeight="false" outlineLevel="0" collapsed="false">
      <c r="A160" s="7" t="n">
        <v>2</v>
      </c>
      <c r="B160" s="7" t="s">
        <v>471</v>
      </c>
      <c r="C160" s="7" t="s">
        <v>576</v>
      </c>
      <c r="D160" s="7" t="s">
        <v>577</v>
      </c>
      <c r="E160" s="7" t="s">
        <v>478</v>
      </c>
      <c r="F160" s="8" t="s">
        <v>578</v>
      </c>
      <c r="G160" s="8" t="s">
        <v>474</v>
      </c>
      <c r="H160" s="7" t="s">
        <v>70</v>
      </c>
      <c r="I160" s="8" t="s">
        <v>480</v>
      </c>
    </row>
    <row r="161" customFormat="false" ht="35.05" hidden="false" customHeight="false" outlineLevel="0" collapsed="false">
      <c r="A161" s="7" t="n">
        <v>3</v>
      </c>
      <c r="B161" s="7" t="s">
        <v>471</v>
      </c>
      <c r="C161" s="7" t="s">
        <v>579</v>
      </c>
      <c r="D161" s="7" t="s">
        <v>580</v>
      </c>
      <c r="E161" s="7" t="s">
        <v>483</v>
      </c>
      <c r="F161" s="8" t="s">
        <v>484</v>
      </c>
      <c r="G161" s="8" t="s">
        <v>474</v>
      </c>
      <c r="H161" s="7" t="s">
        <v>70</v>
      </c>
      <c r="I161" s="8" t="s">
        <v>485</v>
      </c>
    </row>
    <row r="162" customFormat="false" ht="35.05" hidden="false" customHeight="false" outlineLevel="0" collapsed="false">
      <c r="A162" s="7" t="n">
        <v>2</v>
      </c>
      <c r="B162" s="7" t="s">
        <v>471</v>
      </c>
      <c r="C162" s="7" t="s">
        <v>581</v>
      </c>
      <c r="D162" s="7" t="s">
        <v>582</v>
      </c>
      <c r="E162" s="7" t="s">
        <v>478</v>
      </c>
      <c r="F162" s="8" t="s">
        <v>583</v>
      </c>
      <c r="G162" s="8" t="s">
        <v>474</v>
      </c>
      <c r="H162" s="7" t="s">
        <v>70</v>
      </c>
      <c r="I162" s="8" t="s">
        <v>480</v>
      </c>
    </row>
    <row r="163" customFormat="false" ht="35.05" hidden="false" customHeight="false" outlineLevel="0" collapsed="false">
      <c r="A163" s="7" t="n">
        <v>3</v>
      </c>
      <c r="B163" s="7" t="s">
        <v>471</v>
      </c>
      <c r="C163" s="7" t="s">
        <v>584</v>
      </c>
      <c r="D163" s="7" t="s">
        <v>585</v>
      </c>
      <c r="E163" s="7" t="s">
        <v>483</v>
      </c>
      <c r="F163" s="8" t="s">
        <v>484</v>
      </c>
      <c r="G163" s="8" t="s">
        <v>474</v>
      </c>
      <c r="H163" s="7" t="s">
        <v>70</v>
      </c>
      <c r="I163" s="8" t="s">
        <v>485</v>
      </c>
    </row>
    <row r="164" customFormat="false" ht="35.05" hidden="false" customHeight="false" outlineLevel="0" collapsed="false">
      <c r="A164" s="7" t="n">
        <v>2</v>
      </c>
      <c r="B164" s="7" t="s">
        <v>471</v>
      </c>
      <c r="C164" s="7" t="s">
        <v>586</v>
      </c>
      <c r="D164" s="7" t="s">
        <v>587</v>
      </c>
      <c r="E164" s="7" t="s">
        <v>478</v>
      </c>
      <c r="F164" s="8" t="s">
        <v>588</v>
      </c>
      <c r="G164" s="8" t="s">
        <v>474</v>
      </c>
      <c r="H164" s="7" t="s">
        <v>70</v>
      </c>
      <c r="I164" s="8" t="s">
        <v>480</v>
      </c>
    </row>
    <row r="165" customFormat="false" ht="35.05" hidden="false" customHeight="false" outlineLevel="0" collapsed="false">
      <c r="A165" s="7" t="n">
        <v>3</v>
      </c>
      <c r="B165" s="7" t="s">
        <v>471</v>
      </c>
      <c r="C165" s="7" t="s">
        <v>589</v>
      </c>
      <c r="D165" s="7" t="s">
        <v>590</v>
      </c>
      <c r="E165" s="7" t="s">
        <v>483</v>
      </c>
      <c r="F165" s="8" t="s">
        <v>484</v>
      </c>
      <c r="G165" s="8" t="s">
        <v>474</v>
      </c>
      <c r="H165" s="7" t="s">
        <v>70</v>
      </c>
      <c r="I165" s="8" t="s">
        <v>485</v>
      </c>
    </row>
    <row r="166" customFormat="false" ht="35.05" hidden="false" customHeight="false" outlineLevel="0" collapsed="false">
      <c r="A166" s="7" t="n">
        <v>2</v>
      </c>
      <c r="B166" s="7" t="s">
        <v>471</v>
      </c>
      <c r="C166" s="7" t="s">
        <v>591</v>
      </c>
      <c r="D166" s="7" t="s">
        <v>592</v>
      </c>
      <c r="E166" s="7" t="s">
        <v>478</v>
      </c>
      <c r="F166" s="8" t="s">
        <v>593</v>
      </c>
      <c r="G166" s="8" t="s">
        <v>474</v>
      </c>
      <c r="H166" s="7" t="s">
        <v>70</v>
      </c>
      <c r="I166" s="8" t="s">
        <v>480</v>
      </c>
    </row>
    <row r="167" customFormat="false" ht="35.05" hidden="false" customHeight="false" outlineLevel="0" collapsed="false">
      <c r="A167" s="7" t="n">
        <v>3</v>
      </c>
      <c r="B167" s="7" t="s">
        <v>471</v>
      </c>
      <c r="C167" s="7" t="s">
        <v>594</v>
      </c>
      <c r="D167" s="7" t="s">
        <v>595</v>
      </c>
      <c r="E167" s="7" t="s">
        <v>483</v>
      </c>
      <c r="F167" s="8" t="s">
        <v>484</v>
      </c>
      <c r="G167" s="8" t="s">
        <v>474</v>
      </c>
      <c r="H167" s="7" t="s">
        <v>70</v>
      </c>
      <c r="I167" s="8" t="s">
        <v>485</v>
      </c>
    </row>
    <row r="168" customFormat="false" ht="23.85" hidden="false" customHeight="false" outlineLevel="0" collapsed="false">
      <c r="A168" s="7" t="n">
        <v>2</v>
      </c>
      <c r="B168" s="7" t="s">
        <v>471</v>
      </c>
      <c r="C168" s="7" t="s">
        <v>91</v>
      </c>
      <c r="D168" s="7" t="s">
        <v>596</v>
      </c>
      <c r="E168" s="7" t="s">
        <v>478</v>
      </c>
      <c r="F168" s="8" t="s">
        <v>597</v>
      </c>
      <c r="G168" s="8" t="s">
        <v>94</v>
      </c>
      <c r="H168" s="7" t="s">
        <v>70</v>
      </c>
      <c r="I168" s="8" t="s">
        <v>598</v>
      </c>
    </row>
    <row r="169" customFormat="false" ht="23.85" hidden="false" customHeight="false" outlineLevel="0" collapsed="false">
      <c r="A169" s="7" t="n">
        <v>3</v>
      </c>
      <c r="B169" s="7" t="s">
        <v>471</v>
      </c>
      <c r="C169" s="7" t="s">
        <v>599</v>
      </c>
      <c r="D169" s="7" t="s">
        <v>600</v>
      </c>
      <c r="E169" s="7" t="s">
        <v>601</v>
      </c>
      <c r="F169" s="8" t="s">
        <v>602</v>
      </c>
      <c r="G169" s="8" t="s">
        <v>94</v>
      </c>
      <c r="H169" s="7" t="s">
        <v>70</v>
      </c>
      <c r="I169" s="8" t="s">
        <v>603</v>
      </c>
    </row>
    <row r="170" customFormat="false" ht="35.05" hidden="false" customHeight="false" outlineLevel="0" collapsed="false">
      <c r="A170" s="7" t="n">
        <v>4</v>
      </c>
      <c r="B170" s="7" t="s">
        <v>471</v>
      </c>
      <c r="C170" s="7" t="s">
        <v>604</v>
      </c>
      <c r="D170" s="7" t="s">
        <v>605</v>
      </c>
      <c r="E170" s="7" t="s">
        <v>606</v>
      </c>
      <c r="F170" s="8" t="s">
        <v>607</v>
      </c>
      <c r="G170" s="8" t="s">
        <v>474</v>
      </c>
      <c r="H170" s="7" t="s">
        <v>135</v>
      </c>
      <c r="I170" s="8" t="s">
        <v>608</v>
      </c>
    </row>
    <row r="171" customFormat="false" ht="15" hidden="false" customHeight="false" outlineLevel="0" collapsed="false">
      <c r="A171" s="7" t="n">
        <v>1</v>
      </c>
      <c r="B171" s="7" t="s">
        <v>609</v>
      </c>
      <c r="C171" s="7" t="s">
        <v>610</v>
      </c>
      <c r="D171" s="7" t="s">
        <v>611</v>
      </c>
      <c r="E171" s="7" t="s">
        <v>612</v>
      </c>
      <c r="F171" s="8" t="s">
        <v>613</v>
      </c>
      <c r="G171" s="8" t="s">
        <v>77</v>
      </c>
      <c r="H171" s="7" t="s">
        <v>614</v>
      </c>
      <c r="I171" s="8" t="s">
        <v>615</v>
      </c>
    </row>
    <row r="172" customFormat="false" ht="35.05" hidden="false" customHeight="false" outlineLevel="0" collapsed="false">
      <c r="A172" s="7" t="n">
        <v>2</v>
      </c>
      <c r="B172" s="7" t="s">
        <v>609</v>
      </c>
      <c r="C172" s="7" t="s">
        <v>616</v>
      </c>
      <c r="D172" s="7" t="s">
        <v>617</v>
      </c>
      <c r="E172" s="7" t="s">
        <v>618</v>
      </c>
      <c r="F172" s="8" t="s">
        <v>619</v>
      </c>
      <c r="G172" s="8" t="s">
        <v>620</v>
      </c>
      <c r="H172" s="7" t="s">
        <v>70</v>
      </c>
      <c r="I172" s="8" t="s">
        <v>621</v>
      </c>
    </row>
    <row r="173" customFormat="false" ht="23.85" hidden="false" customHeight="false" outlineLevel="0" collapsed="false">
      <c r="A173" s="7" t="n">
        <v>2</v>
      </c>
      <c r="B173" s="7" t="s">
        <v>609</v>
      </c>
      <c r="C173" s="7" t="s">
        <v>622</v>
      </c>
      <c r="D173" s="7" t="s">
        <v>623</v>
      </c>
      <c r="E173" s="7" t="s">
        <v>618</v>
      </c>
      <c r="F173" s="8" t="s">
        <v>624</v>
      </c>
      <c r="G173" s="8" t="s">
        <v>164</v>
      </c>
      <c r="H173" s="7" t="s">
        <v>70</v>
      </c>
      <c r="I173" s="8" t="s">
        <v>621</v>
      </c>
    </row>
    <row r="174" customFormat="false" ht="23.85" hidden="false" customHeight="false" outlineLevel="0" collapsed="false">
      <c r="A174" s="7" t="n">
        <v>2</v>
      </c>
      <c r="B174" s="7" t="s">
        <v>609</v>
      </c>
      <c r="C174" s="7" t="s">
        <v>625</v>
      </c>
      <c r="D174" s="7" t="s">
        <v>626</v>
      </c>
      <c r="E174" s="7" t="s">
        <v>618</v>
      </c>
      <c r="F174" s="8" t="s">
        <v>627</v>
      </c>
      <c r="G174" s="8" t="s">
        <v>628</v>
      </c>
      <c r="H174" s="7" t="s">
        <v>70</v>
      </c>
      <c r="I174" s="8" t="s">
        <v>621</v>
      </c>
    </row>
    <row r="175" customFormat="false" ht="23.85" hidden="false" customHeight="false" outlineLevel="0" collapsed="false">
      <c r="A175" s="7" t="n">
        <v>2</v>
      </c>
      <c r="B175" s="7" t="s">
        <v>609</v>
      </c>
      <c r="C175" s="7" t="s">
        <v>629</v>
      </c>
      <c r="D175" s="7" t="s">
        <v>630</v>
      </c>
      <c r="E175" s="7" t="s">
        <v>618</v>
      </c>
      <c r="F175" s="8" t="s">
        <v>631</v>
      </c>
      <c r="G175" s="8" t="s">
        <v>632</v>
      </c>
      <c r="H175" s="7" t="s">
        <v>70</v>
      </c>
      <c r="I175" s="8" t="s">
        <v>621</v>
      </c>
    </row>
    <row r="176" customFormat="false" ht="23.85" hidden="false" customHeight="false" outlineLevel="0" collapsed="false">
      <c r="A176" s="7" t="n">
        <v>2</v>
      </c>
      <c r="B176" s="7" t="s">
        <v>609</v>
      </c>
      <c r="C176" s="7" t="s">
        <v>633</v>
      </c>
      <c r="D176" s="7" t="s">
        <v>634</v>
      </c>
      <c r="E176" s="7" t="s">
        <v>618</v>
      </c>
      <c r="F176" s="8" t="s">
        <v>635</v>
      </c>
      <c r="G176" s="8" t="s">
        <v>636</v>
      </c>
      <c r="H176" s="7" t="s">
        <v>70</v>
      </c>
      <c r="I176" s="8" t="s">
        <v>621</v>
      </c>
    </row>
    <row r="177" customFormat="false" ht="23.85" hidden="false" customHeight="false" outlineLevel="0" collapsed="false">
      <c r="A177" s="7" t="n">
        <v>2</v>
      </c>
      <c r="B177" s="7" t="s">
        <v>609</v>
      </c>
      <c r="C177" s="7" t="s">
        <v>637</v>
      </c>
      <c r="D177" s="7" t="s">
        <v>638</v>
      </c>
      <c r="E177" s="7" t="s">
        <v>618</v>
      </c>
      <c r="F177" s="8" t="s">
        <v>639</v>
      </c>
      <c r="G177" s="8" t="s">
        <v>640</v>
      </c>
      <c r="H177" s="7" t="s">
        <v>70</v>
      </c>
      <c r="I177" s="8" t="s">
        <v>621</v>
      </c>
    </row>
    <row r="178" customFormat="false" ht="23.85" hidden="false" customHeight="false" outlineLevel="0" collapsed="false">
      <c r="A178" s="7" t="n">
        <v>2</v>
      </c>
      <c r="B178" s="7" t="s">
        <v>609</v>
      </c>
      <c r="C178" s="7" t="s">
        <v>641</v>
      </c>
      <c r="D178" s="7" t="s">
        <v>642</v>
      </c>
      <c r="E178" s="7" t="s">
        <v>618</v>
      </c>
      <c r="F178" s="8" t="s">
        <v>643</v>
      </c>
      <c r="G178" s="8" t="s">
        <v>644</v>
      </c>
      <c r="H178" s="7" t="s">
        <v>70</v>
      </c>
      <c r="I178" s="8" t="s">
        <v>621</v>
      </c>
    </row>
    <row r="179" customFormat="false" ht="23.85" hidden="false" customHeight="false" outlineLevel="0" collapsed="false">
      <c r="A179" s="7" t="n">
        <v>2</v>
      </c>
      <c r="B179" s="7" t="s">
        <v>609</v>
      </c>
      <c r="C179" s="7" t="s">
        <v>645</v>
      </c>
      <c r="D179" s="7" t="s">
        <v>646</v>
      </c>
      <c r="E179" s="7" t="s">
        <v>618</v>
      </c>
      <c r="F179" s="8" t="s">
        <v>647</v>
      </c>
      <c r="G179" s="8" t="s">
        <v>648</v>
      </c>
      <c r="H179" s="7" t="s">
        <v>70</v>
      </c>
      <c r="I179" s="8" t="s">
        <v>621</v>
      </c>
    </row>
    <row r="180" customFormat="false" ht="15" hidden="false" customHeight="false" outlineLevel="0" collapsed="false">
      <c r="A180" s="7" t="n">
        <v>1</v>
      </c>
      <c r="B180" s="7" t="s">
        <v>649</v>
      </c>
      <c r="C180" s="7" t="s">
        <v>650</v>
      </c>
      <c r="D180" s="7" t="s">
        <v>651</v>
      </c>
      <c r="E180" s="7" t="s">
        <v>650</v>
      </c>
      <c r="F180" s="8" t="s">
        <v>652</v>
      </c>
      <c r="G180" s="8" t="s">
        <v>77</v>
      </c>
      <c r="H180" s="7" t="s">
        <v>653</v>
      </c>
      <c r="I180" s="8" t="s">
        <v>654</v>
      </c>
    </row>
    <row r="181" customFormat="false" ht="23.85" hidden="false" customHeight="false" outlineLevel="0" collapsed="false">
      <c r="A181" s="7" t="n">
        <v>2</v>
      </c>
      <c r="B181" s="7" t="s">
        <v>649</v>
      </c>
      <c r="C181" s="7" t="s">
        <v>655</v>
      </c>
      <c r="D181" s="7" t="s">
        <v>656</v>
      </c>
      <c r="E181" s="7" t="s">
        <v>657</v>
      </c>
      <c r="F181" s="8" t="s">
        <v>658</v>
      </c>
      <c r="G181" s="8" t="s">
        <v>77</v>
      </c>
      <c r="H181" s="7" t="s">
        <v>653</v>
      </c>
      <c r="I181" s="8" t="s">
        <v>659</v>
      </c>
    </row>
    <row r="182" customFormat="false" ht="23.85" hidden="false" customHeight="false" outlineLevel="0" collapsed="false">
      <c r="A182" s="7" t="n">
        <v>2</v>
      </c>
      <c r="B182" s="7" t="s">
        <v>649</v>
      </c>
      <c r="C182" s="7" t="s">
        <v>660</v>
      </c>
      <c r="D182" s="7" t="s">
        <v>661</v>
      </c>
      <c r="E182" s="7" t="s">
        <v>657</v>
      </c>
      <c r="F182" s="8" t="s">
        <v>662</v>
      </c>
      <c r="G182" s="8" t="s">
        <v>77</v>
      </c>
      <c r="H182" s="7" t="s">
        <v>653</v>
      </c>
      <c r="I182" s="8" t="s">
        <v>659</v>
      </c>
    </row>
    <row r="183" customFormat="false" ht="23.85" hidden="false" customHeight="false" outlineLevel="0" collapsed="false">
      <c r="A183" s="7" t="n">
        <v>2</v>
      </c>
      <c r="B183" s="7" t="s">
        <v>649</v>
      </c>
      <c r="C183" s="7" t="s">
        <v>663</v>
      </c>
      <c r="D183" s="7" t="s">
        <v>664</v>
      </c>
      <c r="E183" s="7" t="s">
        <v>657</v>
      </c>
      <c r="F183" s="8" t="s">
        <v>665</v>
      </c>
      <c r="G183" s="8" t="s">
        <v>77</v>
      </c>
      <c r="H183" s="7" t="s">
        <v>653</v>
      </c>
      <c r="I183" s="8" t="s">
        <v>659</v>
      </c>
    </row>
    <row r="184" customFormat="false" ht="23.85" hidden="false" customHeight="false" outlineLevel="0" collapsed="false">
      <c r="A184" s="7" t="n">
        <v>2</v>
      </c>
      <c r="B184" s="7" t="s">
        <v>649</v>
      </c>
      <c r="C184" s="7" t="s">
        <v>666</v>
      </c>
      <c r="D184" s="7" t="s">
        <v>667</v>
      </c>
      <c r="E184" s="7" t="s">
        <v>657</v>
      </c>
      <c r="F184" s="8" t="s">
        <v>668</v>
      </c>
      <c r="G184" s="8" t="s">
        <v>77</v>
      </c>
      <c r="H184" s="7" t="s">
        <v>653</v>
      </c>
      <c r="I184" s="8" t="s">
        <v>659</v>
      </c>
    </row>
    <row r="185" customFormat="false" ht="23.85" hidden="false" customHeight="false" outlineLevel="0" collapsed="false">
      <c r="A185" s="7" t="n">
        <v>2</v>
      </c>
      <c r="B185" s="7" t="s">
        <v>649</v>
      </c>
      <c r="C185" s="7" t="s">
        <v>669</v>
      </c>
      <c r="D185" s="7" t="s">
        <v>670</v>
      </c>
      <c r="E185" s="7" t="s">
        <v>657</v>
      </c>
      <c r="F185" s="8" t="s">
        <v>671</v>
      </c>
      <c r="G185" s="8" t="s">
        <v>77</v>
      </c>
      <c r="H185" s="7" t="s">
        <v>653</v>
      </c>
      <c r="I185" s="8" t="s">
        <v>659</v>
      </c>
    </row>
    <row r="186" customFormat="false" ht="23.85" hidden="false" customHeight="false" outlineLevel="0" collapsed="false">
      <c r="A186" s="7" t="n">
        <v>2</v>
      </c>
      <c r="B186" s="7" t="s">
        <v>649</v>
      </c>
      <c r="C186" s="7" t="s">
        <v>672</v>
      </c>
      <c r="D186" s="7" t="s">
        <v>673</v>
      </c>
      <c r="E186" s="7" t="s">
        <v>657</v>
      </c>
      <c r="F186" s="8" t="s">
        <v>674</v>
      </c>
      <c r="G186" s="8" t="s">
        <v>77</v>
      </c>
      <c r="H186" s="7" t="s">
        <v>653</v>
      </c>
      <c r="I186" s="8" t="s">
        <v>659</v>
      </c>
    </row>
    <row r="187" customFormat="false" ht="23.85" hidden="false" customHeight="false" outlineLevel="0" collapsed="false">
      <c r="A187" s="7" t="n">
        <v>2</v>
      </c>
      <c r="B187" s="7" t="s">
        <v>649</v>
      </c>
      <c r="C187" s="7" t="s">
        <v>675</v>
      </c>
      <c r="D187" s="7" t="s">
        <v>676</v>
      </c>
      <c r="E187" s="7" t="s">
        <v>657</v>
      </c>
      <c r="F187" s="8" t="s">
        <v>677</v>
      </c>
      <c r="G187" s="8" t="s">
        <v>77</v>
      </c>
      <c r="H187" s="7" t="s">
        <v>653</v>
      </c>
      <c r="I187" s="8" t="s">
        <v>659</v>
      </c>
    </row>
    <row r="188" customFormat="false" ht="23.85" hidden="false" customHeight="false" outlineLevel="0" collapsed="false">
      <c r="A188" s="7" t="n">
        <v>2</v>
      </c>
      <c r="B188" s="7" t="s">
        <v>649</v>
      </c>
      <c r="C188" s="7" t="s">
        <v>678</v>
      </c>
      <c r="D188" s="7" t="s">
        <v>679</v>
      </c>
      <c r="E188" s="7" t="s">
        <v>657</v>
      </c>
      <c r="F188" s="8" t="s">
        <v>680</v>
      </c>
      <c r="G188" s="8" t="s">
        <v>77</v>
      </c>
      <c r="H188" s="7" t="s">
        <v>653</v>
      </c>
      <c r="I188" s="8" t="s">
        <v>659</v>
      </c>
    </row>
    <row r="189" customFormat="false" ht="23.85" hidden="false" customHeight="false" outlineLevel="0" collapsed="false">
      <c r="A189" s="7" t="n">
        <v>2</v>
      </c>
      <c r="B189" s="7" t="s">
        <v>649</v>
      </c>
      <c r="C189" s="7" t="s">
        <v>681</v>
      </c>
      <c r="D189" s="7" t="s">
        <v>682</v>
      </c>
      <c r="E189" s="7" t="s">
        <v>657</v>
      </c>
      <c r="F189" s="8" t="s">
        <v>683</v>
      </c>
      <c r="G189" s="8" t="s">
        <v>77</v>
      </c>
      <c r="H189" s="7" t="s">
        <v>653</v>
      </c>
      <c r="I189" s="8" t="s">
        <v>659</v>
      </c>
    </row>
    <row r="190" customFormat="false" ht="23.85" hidden="false" customHeight="false" outlineLevel="0" collapsed="false">
      <c r="A190" s="7" t="n">
        <v>3</v>
      </c>
      <c r="B190" s="7" t="s">
        <v>649</v>
      </c>
      <c r="C190" s="7" t="s">
        <v>684</v>
      </c>
      <c r="D190" s="7" t="s">
        <v>685</v>
      </c>
      <c r="E190" s="7" t="s">
        <v>686</v>
      </c>
      <c r="F190" s="8" t="s">
        <v>687</v>
      </c>
      <c r="G190" s="8" t="s">
        <v>77</v>
      </c>
      <c r="H190" s="7" t="s">
        <v>688</v>
      </c>
      <c r="I190" s="8" t="s">
        <v>689</v>
      </c>
    </row>
    <row r="191" customFormat="false" ht="23.85" hidden="false" customHeight="false" outlineLevel="0" collapsed="false">
      <c r="A191" s="7" t="n">
        <v>1</v>
      </c>
      <c r="B191" s="7" t="s">
        <v>690</v>
      </c>
      <c r="C191" s="7" t="s">
        <v>691</v>
      </c>
      <c r="D191" s="7" t="s">
        <v>692</v>
      </c>
      <c r="E191" s="7" t="s">
        <v>693</v>
      </c>
      <c r="F191" s="8" t="s">
        <v>694</v>
      </c>
      <c r="G191" s="8" t="s">
        <v>77</v>
      </c>
      <c r="H191" s="7" t="s">
        <v>70</v>
      </c>
      <c r="I191" s="8" t="s">
        <v>695</v>
      </c>
    </row>
    <row r="192" customFormat="false" ht="15" hidden="false" customHeight="false" outlineLevel="0" collapsed="false">
      <c r="A192" s="7" t="n">
        <v>2</v>
      </c>
      <c r="B192" s="7" t="s">
        <v>690</v>
      </c>
      <c r="C192" s="7" t="s">
        <v>696</v>
      </c>
      <c r="D192" s="7" t="s">
        <v>697</v>
      </c>
      <c r="E192" s="7" t="s">
        <v>693</v>
      </c>
      <c r="F192" s="8" t="s">
        <v>698</v>
      </c>
      <c r="G192" s="8" t="s">
        <v>77</v>
      </c>
      <c r="H192" s="7" t="s">
        <v>70</v>
      </c>
      <c r="I192" s="8" t="s">
        <v>699</v>
      </c>
    </row>
    <row r="193" customFormat="false" ht="23.85" hidden="false" customHeight="false" outlineLevel="0" collapsed="false">
      <c r="A193" s="7" t="n">
        <v>2</v>
      </c>
      <c r="B193" s="7" t="s">
        <v>690</v>
      </c>
      <c r="C193" s="7" t="s">
        <v>700</v>
      </c>
      <c r="D193" s="7" t="s">
        <v>701</v>
      </c>
      <c r="E193" s="7" t="s">
        <v>693</v>
      </c>
      <c r="F193" s="8" t="s">
        <v>702</v>
      </c>
      <c r="G193" s="8" t="s">
        <v>77</v>
      </c>
      <c r="H193" s="7" t="s">
        <v>70</v>
      </c>
      <c r="I193" s="8" t="s">
        <v>699</v>
      </c>
    </row>
    <row r="194" customFormat="false" ht="23.85" hidden="false" customHeight="false" outlineLevel="0" collapsed="false">
      <c r="A194" s="7" t="n">
        <v>2</v>
      </c>
      <c r="B194" s="7" t="s">
        <v>690</v>
      </c>
      <c r="C194" s="7" t="s">
        <v>703</v>
      </c>
      <c r="D194" s="7" t="s">
        <v>704</v>
      </c>
      <c r="E194" s="7" t="s">
        <v>693</v>
      </c>
      <c r="F194" s="8" t="s">
        <v>705</v>
      </c>
      <c r="G194" s="8" t="s">
        <v>77</v>
      </c>
      <c r="H194" s="7" t="s">
        <v>70</v>
      </c>
      <c r="I194" s="8" t="s">
        <v>699</v>
      </c>
    </row>
    <row r="195" customFormat="false" ht="15" hidden="false" customHeight="false" outlineLevel="0" collapsed="false">
      <c r="A195" s="7" t="n">
        <v>2</v>
      </c>
      <c r="B195" s="7" t="s">
        <v>690</v>
      </c>
      <c r="C195" s="7" t="s">
        <v>706</v>
      </c>
      <c r="D195" s="7" t="s">
        <v>707</v>
      </c>
      <c r="E195" s="7" t="s">
        <v>693</v>
      </c>
      <c r="F195" s="8" t="s">
        <v>708</v>
      </c>
      <c r="G195" s="8" t="s">
        <v>77</v>
      </c>
      <c r="H195" s="7" t="s">
        <v>70</v>
      </c>
      <c r="I195" s="8" t="s">
        <v>699</v>
      </c>
    </row>
    <row r="196" customFormat="false" ht="15" hidden="false" customHeight="false" outlineLevel="0" collapsed="false">
      <c r="A196" s="7" t="n">
        <v>2</v>
      </c>
      <c r="B196" s="7" t="s">
        <v>690</v>
      </c>
      <c r="C196" s="7" t="s">
        <v>709</v>
      </c>
      <c r="D196" s="7" t="s">
        <v>710</v>
      </c>
      <c r="E196" s="7" t="s">
        <v>693</v>
      </c>
      <c r="F196" s="8" t="s">
        <v>711</v>
      </c>
      <c r="G196" s="8" t="s">
        <v>77</v>
      </c>
      <c r="H196" s="7" t="s">
        <v>70</v>
      </c>
      <c r="I196" s="8" t="s">
        <v>699</v>
      </c>
    </row>
    <row r="197" customFormat="false" ht="15" hidden="false" customHeight="false" outlineLevel="0" collapsed="false">
      <c r="A197" s="7" t="n">
        <v>1</v>
      </c>
      <c r="B197" s="7" t="s">
        <v>712</v>
      </c>
      <c r="C197" s="7" t="s">
        <v>713</v>
      </c>
      <c r="D197" s="7" t="s">
        <v>714</v>
      </c>
      <c r="E197" s="7" t="s">
        <v>713</v>
      </c>
      <c r="F197" s="8" t="s">
        <v>715</v>
      </c>
      <c r="G197" s="8" t="s">
        <v>77</v>
      </c>
      <c r="H197" s="7" t="s">
        <v>716</v>
      </c>
      <c r="I197" s="8" t="s">
        <v>717</v>
      </c>
    </row>
    <row r="198" customFormat="false" ht="15" hidden="false" customHeight="false" outlineLevel="0" collapsed="false">
      <c r="A198" s="7" t="n">
        <v>2</v>
      </c>
      <c r="B198" s="7" t="s">
        <v>712</v>
      </c>
      <c r="C198" s="7" t="s">
        <v>718</v>
      </c>
      <c r="D198" s="7" t="s">
        <v>719</v>
      </c>
      <c r="E198" s="7" t="s">
        <v>720</v>
      </c>
      <c r="F198" s="8" t="s">
        <v>721</v>
      </c>
      <c r="G198" s="8" t="s">
        <v>77</v>
      </c>
      <c r="H198" s="7" t="s">
        <v>722</v>
      </c>
      <c r="I198" s="8" t="s">
        <v>723</v>
      </c>
    </row>
    <row r="199" customFormat="false" ht="15" hidden="false" customHeight="false" outlineLevel="0" collapsed="false">
      <c r="A199" s="7" t="n">
        <v>1</v>
      </c>
      <c r="B199" s="7" t="s">
        <v>712</v>
      </c>
      <c r="C199" s="7" t="s">
        <v>724</v>
      </c>
      <c r="D199" s="7" t="s">
        <v>725</v>
      </c>
      <c r="E199" s="7" t="s">
        <v>726</v>
      </c>
      <c r="F199" s="8" t="s">
        <v>727</v>
      </c>
      <c r="G199" s="8" t="s">
        <v>77</v>
      </c>
      <c r="H199" s="7" t="s">
        <v>728</v>
      </c>
      <c r="I199" s="8" t="s">
        <v>729</v>
      </c>
    </row>
    <row r="200" customFormat="false" ht="15" hidden="false" customHeight="false" outlineLevel="0" collapsed="false">
      <c r="A200" s="7" t="n">
        <v>1</v>
      </c>
      <c r="B200" s="7" t="s">
        <v>712</v>
      </c>
      <c r="C200" s="7" t="s">
        <v>730</v>
      </c>
      <c r="D200" s="7" t="s">
        <v>731</v>
      </c>
      <c r="E200" s="7" t="s">
        <v>730</v>
      </c>
      <c r="F200" s="8" t="s">
        <v>732</v>
      </c>
      <c r="G200" s="8" t="s">
        <v>77</v>
      </c>
      <c r="H200" s="7" t="s">
        <v>733</v>
      </c>
      <c r="I200" s="8" t="s">
        <v>734</v>
      </c>
    </row>
    <row r="201" customFormat="false" ht="23.85" hidden="false" customHeight="false" outlineLevel="0" collapsed="false">
      <c r="A201" s="7" t="n">
        <v>1</v>
      </c>
      <c r="B201" s="7" t="s">
        <v>712</v>
      </c>
      <c r="C201" s="7" t="s">
        <v>735</v>
      </c>
      <c r="D201" s="7" t="s">
        <v>736</v>
      </c>
      <c r="E201" s="7" t="s">
        <v>737</v>
      </c>
      <c r="F201" s="8" t="s">
        <v>738</v>
      </c>
      <c r="G201" s="8" t="s">
        <v>77</v>
      </c>
      <c r="H201" s="7" t="s">
        <v>70</v>
      </c>
      <c r="I201" s="8" t="s">
        <v>739</v>
      </c>
    </row>
    <row r="202" customFormat="false" ht="15" hidden="false" customHeight="false" outlineLevel="0" collapsed="false">
      <c r="A202" s="7" t="n">
        <v>1</v>
      </c>
      <c r="B202" s="7" t="s">
        <v>740</v>
      </c>
      <c r="C202" s="7" t="s">
        <v>741</v>
      </c>
      <c r="D202" s="7" t="s">
        <v>742</v>
      </c>
      <c r="E202" s="7" t="s">
        <v>743</v>
      </c>
      <c r="F202" s="8" t="s">
        <v>744</v>
      </c>
      <c r="G202" s="8" t="s">
        <v>77</v>
      </c>
      <c r="H202" s="7" t="s">
        <v>70</v>
      </c>
      <c r="I202" s="8" t="s">
        <v>745</v>
      </c>
    </row>
    <row r="203" customFormat="false" ht="15" hidden="false" customHeight="false" outlineLevel="0" collapsed="false">
      <c r="A203" s="7" t="n">
        <v>2</v>
      </c>
      <c r="B203" s="7" t="s">
        <v>740</v>
      </c>
      <c r="C203" s="7" t="s">
        <v>746</v>
      </c>
      <c r="D203" s="7" t="s">
        <v>747</v>
      </c>
      <c r="E203" s="7" t="s">
        <v>748</v>
      </c>
      <c r="F203" s="8" t="s">
        <v>749</v>
      </c>
      <c r="G203" s="8" t="s">
        <v>77</v>
      </c>
      <c r="H203" s="7" t="s">
        <v>70</v>
      </c>
      <c r="I203" s="8" t="s">
        <v>750</v>
      </c>
    </row>
    <row r="204" customFormat="false" ht="15" hidden="false" customHeight="false" outlineLevel="0" collapsed="false">
      <c r="A204" s="7" t="n">
        <v>2</v>
      </c>
      <c r="B204" s="7" t="s">
        <v>740</v>
      </c>
      <c r="C204" s="7" t="s">
        <v>751</v>
      </c>
      <c r="D204" s="7" t="s">
        <v>752</v>
      </c>
      <c r="E204" s="7" t="s">
        <v>748</v>
      </c>
      <c r="F204" s="8" t="s">
        <v>753</v>
      </c>
      <c r="G204" s="8" t="s">
        <v>77</v>
      </c>
      <c r="H204" s="7" t="s">
        <v>70</v>
      </c>
      <c r="I204" s="8" t="s">
        <v>750</v>
      </c>
    </row>
    <row r="205" customFormat="false" ht="15" hidden="false" customHeight="false" outlineLevel="0" collapsed="false">
      <c r="A205" s="7" t="n">
        <v>2</v>
      </c>
      <c r="B205" s="7" t="s">
        <v>740</v>
      </c>
      <c r="C205" s="7" t="s">
        <v>754</v>
      </c>
      <c r="D205" s="7" t="s">
        <v>755</v>
      </c>
      <c r="E205" s="7" t="s">
        <v>748</v>
      </c>
      <c r="F205" s="8" t="s">
        <v>756</v>
      </c>
      <c r="G205" s="8" t="s">
        <v>77</v>
      </c>
      <c r="H205" s="7" t="s">
        <v>70</v>
      </c>
      <c r="I205" s="8" t="s">
        <v>750</v>
      </c>
    </row>
    <row r="206" customFormat="false" ht="15" hidden="false" customHeight="false" outlineLevel="0" collapsed="false">
      <c r="A206" s="7" t="n">
        <v>2</v>
      </c>
      <c r="B206" s="7" t="s">
        <v>740</v>
      </c>
      <c r="C206" s="7" t="s">
        <v>757</v>
      </c>
      <c r="D206" s="7" t="s">
        <v>758</v>
      </c>
      <c r="E206" s="7" t="s">
        <v>748</v>
      </c>
      <c r="F206" s="8" t="s">
        <v>759</v>
      </c>
      <c r="G206" s="8" t="s">
        <v>77</v>
      </c>
      <c r="H206" s="7" t="s">
        <v>70</v>
      </c>
      <c r="I206" s="8" t="s">
        <v>750</v>
      </c>
    </row>
    <row r="207" customFormat="false" ht="23.85" hidden="false" customHeight="false" outlineLevel="0" collapsed="false">
      <c r="A207" s="7" t="n">
        <v>2</v>
      </c>
      <c r="B207" s="7" t="s">
        <v>740</v>
      </c>
      <c r="C207" s="7" t="s">
        <v>760</v>
      </c>
      <c r="D207" s="7" t="s">
        <v>761</v>
      </c>
      <c r="E207" s="7" t="s">
        <v>748</v>
      </c>
      <c r="F207" s="8" t="s">
        <v>762</v>
      </c>
      <c r="G207" s="8" t="s">
        <v>77</v>
      </c>
      <c r="H207" s="7" t="s">
        <v>70</v>
      </c>
      <c r="I207" s="8" t="s">
        <v>750</v>
      </c>
    </row>
    <row r="208" customFormat="false" ht="23.85" hidden="false" customHeight="false" outlineLevel="0" collapsed="false">
      <c r="A208" s="7" t="n">
        <v>2</v>
      </c>
      <c r="B208" s="7" t="s">
        <v>740</v>
      </c>
      <c r="C208" s="7" t="s">
        <v>763</v>
      </c>
      <c r="D208" s="7" t="s">
        <v>764</v>
      </c>
      <c r="E208" s="7" t="s">
        <v>748</v>
      </c>
      <c r="F208" s="8" t="s">
        <v>765</v>
      </c>
      <c r="G208" s="8" t="s">
        <v>77</v>
      </c>
      <c r="H208" s="7" t="s">
        <v>70</v>
      </c>
      <c r="I208" s="8" t="s">
        <v>750</v>
      </c>
    </row>
    <row r="209" customFormat="false" ht="23.85" hidden="false" customHeight="false" outlineLevel="0" collapsed="false">
      <c r="A209" s="7" t="n">
        <v>2</v>
      </c>
      <c r="B209" s="7" t="s">
        <v>740</v>
      </c>
      <c r="C209" s="7" t="s">
        <v>766</v>
      </c>
      <c r="D209" s="7" t="s">
        <v>767</v>
      </c>
      <c r="E209" s="7" t="s">
        <v>748</v>
      </c>
      <c r="F209" s="8" t="s">
        <v>768</v>
      </c>
      <c r="G209" s="8" t="s">
        <v>77</v>
      </c>
      <c r="H209" s="7" t="s">
        <v>70</v>
      </c>
      <c r="I209" s="8" t="s">
        <v>750</v>
      </c>
    </row>
    <row r="210" customFormat="false" ht="15" hidden="false" customHeight="false" outlineLevel="0" collapsed="false">
      <c r="A210" s="7" t="n">
        <v>2</v>
      </c>
      <c r="B210" s="7" t="s">
        <v>740</v>
      </c>
      <c r="C210" s="7" t="s">
        <v>769</v>
      </c>
      <c r="D210" s="7" t="s">
        <v>770</v>
      </c>
      <c r="E210" s="7" t="s">
        <v>748</v>
      </c>
      <c r="F210" s="8" t="s">
        <v>771</v>
      </c>
      <c r="G210" s="8" t="s">
        <v>77</v>
      </c>
      <c r="H210" s="7" t="s">
        <v>70</v>
      </c>
      <c r="I210" s="8" t="s">
        <v>750</v>
      </c>
    </row>
    <row r="211" customFormat="false" ht="15" hidden="false" customHeight="false" outlineLevel="0" collapsed="false">
      <c r="A211" s="7" t="n">
        <v>2</v>
      </c>
      <c r="B211" s="7" t="s">
        <v>740</v>
      </c>
      <c r="C211" s="7" t="s">
        <v>772</v>
      </c>
      <c r="D211" s="7" t="s">
        <v>773</v>
      </c>
      <c r="E211" s="7" t="s">
        <v>748</v>
      </c>
      <c r="F211" s="8" t="s">
        <v>774</v>
      </c>
      <c r="G211" s="8" t="s">
        <v>77</v>
      </c>
      <c r="H211" s="7" t="s">
        <v>70</v>
      </c>
      <c r="I211" s="8" t="s">
        <v>750</v>
      </c>
    </row>
    <row r="212" customFormat="false" ht="15" hidden="false" customHeight="false" outlineLevel="0" collapsed="false">
      <c r="A212" s="7" t="n">
        <v>2</v>
      </c>
      <c r="B212" s="7" t="s">
        <v>740</v>
      </c>
      <c r="C212" s="7" t="s">
        <v>775</v>
      </c>
      <c r="D212" s="7" t="s">
        <v>776</v>
      </c>
      <c r="E212" s="7" t="s">
        <v>748</v>
      </c>
      <c r="F212" s="8" t="s">
        <v>777</v>
      </c>
      <c r="G212" s="8" t="s">
        <v>77</v>
      </c>
      <c r="H212" s="7" t="s">
        <v>70</v>
      </c>
      <c r="I212" s="8" t="s">
        <v>750</v>
      </c>
    </row>
    <row r="213" customFormat="false" ht="15" hidden="false" customHeight="false" outlineLevel="0" collapsed="false">
      <c r="A213" s="7" t="n">
        <v>2</v>
      </c>
      <c r="B213" s="7" t="s">
        <v>740</v>
      </c>
      <c r="C213" s="7" t="s">
        <v>778</v>
      </c>
      <c r="D213" s="7" t="s">
        <v>779</v>
      </c>
      <c r="E213" s="7" t="s">
        <v>748</v>
      </c>
      <c r="F213" s="8" t="s">
        <v>780</v>
      </c>
      <c r="G213" s="8" t="s">
        <v>77</v>
      </c>
      <c r="H213" s="7" t="s">
        <v>70</v>
      </c>
      <c r="I213" s="8" t="s">
        <v>750</v>
      </c>
    </row>
    <row r="214" customFormat="false" ht="15" hidden="false" customHeight="false" outlineLevel="0" collapsed="false">
      <c r="A214" s="7" t="n">
        <v>1</v>
      </c>
      <c r="B214" s="7" t="s">
        <v>781</v>
      </c>
      <c r="C214" s="7" t="s">
        <v>781</v>
      </c>
      <c r="D214" s="7" t="s">
        <v>782</v>
      </c>
      <c r="E214" s="7" t="s">
        <v>781</v>
      </c>
      <c r="F214" s="8" t="s">
        <v>783</v>
      </c>
      <c r="G214" s="8" t="s">
        <v>77</v>
      </c>
      <c r="H214" s="7" t="s">
        <v>784</v>
      </c>
      <c r="I214" s="8" t="s">
        <v>70</v>
      </c>
    </row>
    <row r="215" customFormat="false" ht="15" hidden="false" customHeight="false" outlineLevel="0" collapsed="false">
      <c r="A215" s="7" t="n">
        <v>1</v>
      </c>
      <c r="B215" s="7" t="s">
        <v>781</v>
      </c>
      <c r="C215" s="7" t="s">
        <v>70</v>
      </c>
      <c r="D215" s="7" t="s">
        <v>785</v>
      </c>
      <c r="E215" s="7" t="s">
        <v>786</v>
      </c>
      <c r="F215" s="8" t="s">
        <v>787</v>
      </c>
      <c r="G215" s="8" t="s">
        <v>77</v>
      </c>
      <c r="H215" s="7" t="s">
        <v>788</v>
      </c>
      <c r="I215" s="8" t="s">
        <v>789</v>
      </c>
    </row>
    <row r="216" customFormat="false" ht="15" hidden="false" customHeight="false" outlineLevel="0" collapsed="false">
      <c r="A216" s="7" t="n">
        <v>2</v>
      </c>
      <c r="B216" s="7" t="s">
        <v>781</v>
      </c>
      <c r="C216" s="7" t="s">
        <v>790</v>
      </c>
      <c r="D216" s="7" t="s">
        <v>791</v>
      </c>
      <c r="E216" s="7" t="s">
        <v>792</v>
      </c>
      <c r="F216" s="8" t="s">
        <v>793</v>
      </c>
      <c r="G216" s="8" t="s">
        <v>77</v>
      </c>
      <c r="H216" s="7" t="s">
        <v>794</v>
      </c>
      <c r="I216" s="8" t="s">
        <v>795</v>
      </c>
    </row>
    <row r="217" customFormat="false" ht="15" hidden="false" customHeight="false" outlineLevel="0" collapsed="false">
      <c r="A217" s="7" t="n">
        <v>2</v>
      </c>
      <c r="B217" s="7" t="s">
        <v>781</v>
      </c>
      <c r="C217" s="7" t="s">
        <v>796</v>
      </c>
      <c r="D217" s="7" t="s">
        <v>797</v>
      </c>
      <c r="E217" s="7" t="s">
        <v>792</v>
      </c>
      <c r="F217" s="8" t="s">
        <v>793</v>
      </c>
      <c r="G217" s="8" t="s">
        <v>77</v>
      </c>
      <c r="H217" s="7" t="s">
        <v>794</v>
      </c>
      <c r="I217" s="8" t="s">
        <v>795</v>
      </c>
    </row>
    <row r="218" customFormat="false" ht="15" hidden="false" customHeight="false" outlineLevel="0" collapsed="false">
      <c r="A218" s="7" t="n">
        <v>2</v>
      </c>
      <c r="B218" s="7" t="s">
        <v>781</v>
      </c>
      <c r="C218" s="7" t="s">
        <v>798</v>
      </c>
      <c r="D218" s="7" t="s">
        <v>799</v>
      </c>
      <c r="E218" s="7" t="s">
        <v>792</v>
      </c>
      <c r="F218" s="8" t="s">
        <v>793</v>
      </c>
      <c r="G218" s="8" t="s">
        <v>77</v>
      </c>
      <c r="H218" s="7" t="s">
        <v>794</v>
      </c>
      <c r="I218" s="8" t="s">
        <v>795</v>
      </c>
    </row>
    <row r="219" customFormat="false" ht="15" hidden="false" customHeight="false" outlineLevel="0" collapsed="false">
      <c r="A219" s="7" t="n">
        <v>2</v>
      </c>
      <c r="B219" s="7" t="s">
        <v>781</v>
      </c>
      <c r="C219" s="7" t="s">
        <v>800</v>
      </c>
      <c r="D219" s="7" t="s">
        <v>801</v>
      </c>
      <c r="E219" s="7" t="s">
        <v>792</v>
      </c>
      <c r="F219" s="8" t="s">
        <v>793</v>
      </c>
      <c r="G219" s="8" t="s">
        <v>77</v>
      </c>
      <c r="H219" s="7" t="s">
        <v>794</v>
      </c>
      <c r="I219" s="8" t="s">
        <v>795</v>
      </c>
    </row>
    <row r="220" customFormat="false" ht="15" hidden="false" customHeight="false" outlineLevel="0" collapsed="false">
      <c r="A220" s="7" t="n">
        <v>2</v>
      </c>
      <c r="B220" s="7" t="s">
        <v>781</v>
      </c>
      <c r="C220" s="7" t="s">
        <v>802</v>
      </c>
      <c r="D220" s="7" t="s">
        <v>803</v>
      </c>
      <c r="E220" s="7" t="s">
        <v>792</v>
      </c>
      <c r="F220" s="8" t="s">
        <v>793</v>
      </c>
      <c r="G220" s="8" t="s">
        <v>77</v>
      </c>
      <c r="H220" s="7" t="s">
        <v>794</v>
      </c>
      <c r="I220" s="8" t="s">
        <v>795</v>
      </c>
    </row>
    <row r="221" customFormat="false" ht="15" hidden="false" customHeight="false" outlineLevel="0" collapsed="false">
      <c r="A221" s="7" t="n">
        <v>1</v>
      </c>
      <c r="B221" s="7" t="s">
        <v>693</v>
      </c>
      <c r="C221" s="7" t="s">
        <v>804</v>
      </c>
      <c r="D221" s="7" t="s">
        <v>805</v>
      </c>
      <c r="E221" s="7" t="s">
        <v>806</v>
      </c>
      <c r="F221" s="8" t="s">
        <v>807</v>
      </c>
      <c r="G221" s="8" t="s">
        <v>77</v>
      </c>
      <c r="H221" s="7"/>
      <c r="I221" s="8"/>
    </row>
    <row r="223" customFormat="false" ht="18" hidden="false" customHeight="true" outlineLevel="0" collapsed="false">
      <c r="A223" s="9" t="s">
        <v>808</v>
      </c>
      <c r="B223" s="9"/>
      <c r="C223" s="9"/>
      <c r="D223" s="9"/>
      <c r="E223" s="9"/>
      <c r="F223" s="9"/>
      <c r="G223" s="9"/>
      <c r="H223" s="9"/>
      <c r="I223" s="9"/>
    </row>
    <row r="224" customFormat="false" ht="30" hidden="false" customHeight="true" outlineLevel="0" collapsed="false">
      <c r="A224" s="10" t="s">
        <v>809</v>
      </c>
      <c r="B224" s="10"/>
      <c r="C224" s="10"/>
      <c r="D224" s="10"/>
      <c r="E224" s="10"/>
      <c r="F224" s="10"/>
      <c r="G224" s="10"/>
      <c r="H224" s="10"/>
      <c r="I224" s="10"/>
    </row>
    <row r="225" customFormat="false" ht="30" hidden="false" customHeight="true" outlineLevel="0" collapsed="false">
      <c r="A225" s="10" t="s">
        <v>810</v>
      </c>
      <c r="B225" s="10"/>
      <c r="C225" s="10"/>
      <c r="D225" s="10"/>
      <c r="E225" s="10"/>
      <c r="F225" s="10"/>
      <c r="G225" s="10"/>
      <c r="H225" s="10"/>
      <c r="I225" s="10"/>
    </row>
    <row r="226" customFormat="false" ht="30" hidden="false" customHeight="true" outlineLevel="0" collapsed="false">
      <c r="A226" s="10" t="s">
        <v>811</v>
      </c>
      <c r="B226" s="10"/>
      <c r="C226" s="10"/>
      <c r="D226" s="10"/>
      <c r="E226" s="10"/>
      <c r="F226" s="10"/>
      <c r="G226" s="10"/>
      <c r="H226" s="10"/>
      <c r="I226" s="10"/>
    </row>
    <row r="227" customFormat="false" ht="30" hidden="false" customHeight="true" outlineLevel="0" collapsed="false">
      <c r="A227" s="10" t="s">
        <v>812</v>
      </c>
      <c r="B227" s="10"/>
      <c r="C227" s="10"/>
      <c r="D227" s="10"/>
      <c r="E227" s="10"/>
      <c r="F227" s="10"/>
      <c r="G227" s="10"/>
      <c r="H227" s="10"/>
      <c r="I227" s="10"/>
    </row>
    <row r="228" customFormat="false" ht="30" hidden="false" customHeight="true" outlineLevel="0" collapsed="false">
      <c r="A228" s="10" t="s">
        <v>813</v>
      </c>
      <c r="B228" s="10"/>
      <c r="C228" s="10"/>
      <c r="D228" s="10"/>
      <c r="E228" s="10"/>
      <c r="F228" s="10"/>
      <c r="G228" s="10"/>
      <c r="H228" s="10"/>
      <c r="I228" s="10"/>
    </row>
    <row r="229" customFormat="false" ht="30" hidden="false" customHeight="true" outlineLevel="0" collapsed="false">
      <c r="A229" s="10" t="s">
        <v>814</v>
      </c>
      <c r="B229" s="10"/>
      <c r="C229" s="10"/>
      <c r="D229" s="10"/>
      <c r="E229" s="10"/>
      <c r="F229" s="10"/>
      <c r="G229" s="10"/>
      <c r="H229" s="10"/>
      <c r="I229" s="10"/>
    </row>
    <row r="230" customFormat="false" ht="30" hidden="false" customHeight="true" outlineLevel="0" collapsed="false">
      <c r="A230" s="10" t="s">
        <v>815</v>
      </c>
      <c r="B230" s="10"/>
      <c r="C230" s="10"/>
      <c r="D230" s="10"/>
      <c r="E230" s="10"/>
      <c r="F230" s="10"/>
      <c r="G230" s="10"/>
      <c r="H230" s="10"/>
      <c r="I230" s="10"/>
    </row>
    <row r="231" customFormat="false" ht="30" hidden="false" customHeight="true" outlineLevel="0" collapsed="false">
      <c r="A231" s="10" t="s">
        <v>816</v>
      </c>
      <c r="B231" s="10"/>
      <c r="C231" s="10"/>
      <c r="D231" s="10"/>
      <c r="E231" s="10"/>
      <c r="F231" s="10"/>
      <c r="G231" s="10"/>
      <c r="H231" s="10"/>
      <c r="I231" s="10"/>
    </row>
    <row r="232" customFormat="false" ht="30" hidden="false" customHeight="true" outlineLevel="0" collapsed="false">
      <c r="A232" s="10" t="s">
        <v>817</v>
      </c>
      <c r="B232" s="10"/>
      <c r="C232" s="10"/>
      <c r="D232" s="10"/>
      <c r="E232" s="10"/>
      <c r="F232" s="10"/>
      <c r="G232" s="10"/>
      <c r="H232" s="10"/>
      <c r="I232" s="10"/>
    </row>
  </sheetData>
  <autoFilter ref="A1:I221"/>
  <mergeCells count="10">
    <mergeCell ref="A223:I223"/>
    <mergeCell ref="A224:I224"/>
    <mergeCell ref="A225:I225"/>
    <mergeCell ref="A226:I226"/>
    <mergeCell ref="A227:I227"/>
    <mergeCell ref="A228:I228"/>
    <mergeCell ref="A229:I229"/>
    <mergeCell ref="A230:I230"/>
    <mergeCell ref="A231:I231"/>
    <mergeCell ref="A232:I2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3" min="3" style="0" width="34"/>
    <col collapsed="false" customWidth="true" hidden="false" outlineLevel="0" max="4" min="4" style="0" width="40"/>
    <col collapsed="false" customWidth="true" hidden="false" outlineLevel="0" max="5" min="5" style="0" width="90"/>
    <col collapsed="false" customWidth="true" hidden="false" outlineLevel="0" max="6" min="6" style="0" width="50"/>
  </cols>
  <sheetData>
    <row r="1" customFormat="false" ht="31.5" hidden="false" customHeight="true" outlineLevel="0" collapsed="false">
      <c r="A1" s="6" t="s">
        <v>818</v>
      </c>
      <c r="B1" s="6" t="s">
        <v>819</v>
      </c>
      <c r="C1" s="6" t="s">
        <v>820</v>
      </c>
      <c r="D1" s="6" t="s">
        <v>60</v>
      </c>
      <c r="E1" s="6" t="s">
        <v>821</v>
      </c>
      <c r="F1" s="6" t="s">
        <v>822</v>
      </c>
    </row>
    <row r="2" customFormat="false" ht="23.85" hidden="false" customHeight="false" outlineLevel="0" collapsed="false">
      <c r="A2" s="7" t="s">
        <v>823</v>
      </c>
      <c r="B2" s="7" t="n">
        <v>1</v>
      </c>
      <c r="C2" s="7" t="s">
        <v>72</v>
      </c>
      <c r="D2" s="7" t="s">
        <v>74</v>
      </c>
      <c r="E2" s="8" t="s">
        <v>824</v>
      </c>
      <c r="F2" s="8" t="s">
        <v>825</v>
      </c>
    </row>
    <row r="3" customFormat="false" ht="23.85" hidden="false" customHeight="false" outlineLevel="0" collapsed="false">
      <c r="A3" s="7" t="s">
        <v>823</v>
      </c>
      <c r="B3" s="7" t="n">
        <v>2</v>
      </c>
      <c r="C3" s="7" t="s">
        <v>471</v>
      </c>
      <c r="D3" s="7" t="s">
        <v>472</v>
      </c>
      <c r="E3" s="8" t="s">
        <v>826</v>
      </c>
      <c r="F3" s="8" t="s">
        <v>827</v>
      </c>
    </row>
    <row r="4" customFormat="false" ht="23.85" hidden="false" customHeight="false" outlineLevel="0" collapsed="false">
      <c r="A4" s="7" t="s">
        <v>823</v>
      </c>
      <c r="B4" s="7" t="n">
        <v>3</v>
      </c>
      <c r="C4" s="7" t="s">
        <v>609</v>
      </c>
      <c r="D4" s="7" t="s">
        <v>611</v>
      </c>
      <c r="E4" s="8" t="s">
        <v>828</v>
      </c>
      <c r="F4" s="8" t="s">
        <v>829</v>
      </c>
    </row>
    <row r="5" customFormat="false" ht="15" hidden="false" customHeight="false" outlineLevel="0" collapsed="false">
      <c r="A5" s="7" t="s">
        <v>823</v>
      </c>
      <c r="B5" s="7" t="n">
        <v>4</v>
      </c>
      <c r="C5" s="7" t="s">
        <v>649</v>
      </c>
      <c r="D5" s="7" t="s">
        <v>651</v>
      </c>
      <c r="E5" s="8" t="s">
        <v>830</v>
      </c>
      <c r="F5" s="8" t="s">
        <v>831</v>
      </c>
    </row>
    <row r="6" customFormat="false" ht="15" hidden="false" customHeight="false" outlineLevel="0" collapsed="false">
      <c r="A6" s="7" t="s">
        <v>823</v>
      </c>
      <c r="B6" s="7" t="n">
        <v>5</v>
      </c>
      <c r="C6" s="7" t="s">
        <v>690</v>
      </c>
      <c r="D6" s="7" t="s">
        <v>692</v>
      </c>
      <c r="E6" s="8" t="s">
        <v>832</v>
      </c>
      <c r="F6" s="8"/>
    </row>
    <row r="7" customFormat="false" ht="15" hidden="false" customHeight="false" outlineLevel="0" collapsed="false">
      <c r="A7" s="7" t="s">
        <v>823</v>
      </c>
      <c r="B7" s="7" t="n">
        <v>6</v>
      </c>
      <c r="C7" s="7" t="s">
        <v>712</v>
      </c>
      <c r="D7" s="7" t="s">
        <v>714</v>
      </c>
      <c r="E7" s="8" t="s">
        <v>833</v>
      </c>
      <c r="F7" s="8"/>
    </row>
    <row r="8" customFormat="false" ht="15" hidden="false" customHeight="false" outlineLevel="0" collapsed="false">
      <c r="A8" s="7" t="s">
        <v>823</v>
      </c>
      <c r="B8" s="7" t="n">
        <v>7</v>
      </c>
      <c r="C8" s="7" t="s">
        <v>781</v>
      </c>
      <c r="D8" s="7" t="s">
        <v>782</v>
      </c>
      <c r="E8" s="8"/>
      <c r="F8" s="8"/>
    </row>
    <row r="9" customFormat="false" ht="15" hidden="false" customHeight="false" outlineLevel="0" collapsed="false">
      <c r="A9" s="7" t="s">
        <v>823</v>
      </c>
      <c r="B9" s="7" t="n">
        <v>8</v>
      </c>
      <c r="C9" s="7" t="s">
        <v>70</v>
      </c>
      <c r="D9" s="7" t="s">
        <v>785</v>
      </c>
      <c r="E9" s="8"/>
      <c r="F9" s="8" t="s">
        <v>834</v>
      </c>
    </row>
    <row r="10" customFormat="false" ht="23.85" hidden="false" customHeight="false" outlineLevel="0" collapsed="false">
      <c r="A10" s="7" t="s">
        <v>835</v>
      </c>
      <c r="B10" s="7"/>
      <c r="C10" s="7" t="s">
        <v>79</v>
      </c>
      <c r="D10" s="7" t="s">
        <v>80</v>
      </c>
      <c r="E10" s="8" t="s">
        <v>836</v>
      </c>
      <c r="F10" s="8" t="s">
        <v>837</v>
      </c>
    </row>
    <row r="11" customFormat="false" ht="57.45" hidden="false" customHeight="false" outlineLevel="0" collapsed="false">
      <c r="A11" s="7" t="s">
        <v>835</v>
      </c>
      <c r="B11" s="7"/>
      <c r="C11" s="7" t="s">
        <v>142</v>
      </c>
      <c r="D11" s="7" t="s">
        <v>143</v>
      </c>
      <c r="E11" s="8" t="s">
        <v>838</v>
      </c>
      <c r="F11" s="8" t="s">
        <v>839</v>
      </c>
    </row>
    <row r="12" customFormat="false" ht="57.45" hidden="false" customHeight="false" outlineLevel="0" collapsed="false">
      <c r="A12" s="7" t="s">
        <v>835</v>
      </c>
      <c r="B12" s="7"/>
      <c r="C12" s="7" t="s">
        <v>182</v>
      </c>
      <c r="D12" s="7" t="s">
        <v>183</v>
      </c>
      <c r="E12" s="8" t="s">
        <v>840</v>
      </c>
      <c r="F12" s="8" t="s">
        <v>841</v>
      </c>
    </row>
    <row r="13" customFormat="false" ht="57.45" hidden="false" customHeight="false" outlineLevel="0" collapsed="false">
      <c r="A13" s="7" t="s">
        <v>835</v>
      </c>
      <c r="B13" s="7"/>
      <c r="C13" s="7" t="s">
        <v>231</v>
      </c>
      <c r="D13" s="7" t="s">
        <v>232</v>
      </c>
      <c r="E13" s="8" t="s">
        <v>842</v>
      </c>
      <c r="F13" s="8" t="s">
        <v>843</v>
      </c>
    </row>
    <row r="14" customFormat="false" ht="23.85" hidden="false" customHeight="false" outlineLevel="0" collapsed="false">
      <c r="A14" s="7" t="s">
        <v>835</v>
      </c>
      <c r="B14" s="7"/>
      <c r="C14" s="7" t="s">
        <v>265</v>
      </c>
      <c r="D14" s="7" t="s">
        <v>266</v>
      </c>
      <c r="E14" s="8" t="s">
        <v>844</v>
      </c>
      <c r="F14" s="8" t="s">
        <v>845</v>
      </c>
    </row>
    <row r="15" customFormat="false" ht="23.85" hidden="false" customHeight="false" outlineLevel="0" collapsed="false">
      <c r="A15" s="7" t="s">
        <v>835</v>
      </c>
      <c r="B15" s="7"/>
      <c r="C15" s="7" t="s">
        <v>291</v>
      </c>
      <c r="D15" s="7" t="s">
        <v>292</v>
      </c>
      <c r="E15" s="8" t="s">
        <v>846</v>
      </c>
      <c r="F15" s="8" t="s">
        <v>847</v>
      </c>
    </row>
    <row r="16" customFormat="false" ht="23.85" hidden="false" customHeight="false" outlineLevel="0" collapsed="false">
      <c r="A16" s="7" t="s">
        <v>835</v>
      </c>
      <c r="B16" s="7"/>
      <c r="C16" s="7" t="s">
        <v>309</v>
      </c>
      <c r="D16" s="7" t="s">
        <v>310</v>
      </c>
      <c r="E16" s="8" t="s">
        <v>848</v>
      </c>
      <c r="F16" s="8" t="s">
        <v>847</v>
      </c>
    </row>
    <row r="17" customFormat="false" ht="35.05" hidden="false" customHeight="false" outlineLevel="0" collapsed="false">
      <c r="A17" s="7" t="s">
        <v>835</v>
      </c>
      <c r="B17" s="7"/>
      <c r="C17" s="7" t="s">
        <v>345</v>
      </c>
      <c r="D17" s="7" t="s">
        <v>346</v>
      </c>
      <c r="E17" s="8" t="s">
        <v>849</v>
      </c>
      <c r="F17" s="8" t="s">
        <v>847</v>
      </c>
    </row>
    <row r="18" customFormat="false" ht="23.85" hidden="false" customHeight="false" outlineLevel="0" collapsed="false">
      <c r="A18" s="7" t="s">
        <v>835</v>
      </c>
      <c r="B18" s="7"/>
      <c r="C18" s="7" t="s">
        <v>371</v>
      </c>
      <c r="D18" s="7" t="s">
        <v>372</v>
      </c>
      <c r="E18" s="8" t="s">
        <v>850</v>
      </c>
      <c r="F18" s="8" t="s">
        <v>847</v>
      </c>
    </row>
    <row r="19" customFormat="false" ht="23.85" hidden="false" customHeight="false" outlineLevel="0" collapsed="false">
      <c r="A19" s="7" t="s">
        <v>835</v>
      </c>
      <c r="B19" s="7"/>
      <c r="C19" s="7" t="s">
        <v>400</v>
      </c>
      <c r="D19" s="7" t="s">
        <v>401</v>
      </c>
      <c r="E19" s="8" t="s">
        <v>851</v>
      </c>
      <c r="F19" s="8" t="s">
        <v>847</v>
      </c>
    </row>
    <row r="20" customFormat="false" ht="46.25" hidden="false" customHeight="false" outlineLevel="0" collapsed="false">
      <c r="A20" s="7" t="s">
        <v>835</v>
      </c>
      <c r="B20" s="7"/>
      <c r="C20" s="7" t="s">
        <v>425</v>
      </c>
      <c r="D20" s="7" t="s">
        <v>426</v>
      </c>
      <c r="E20" s="8" t="s">
        <v>852</v>
      </c>
      <c r="F20" s="8" t="s">
        <v>853</v>
      </c>
    </row>
    <row r="21" customFormat="false" ht="46.25" hidden="false" customHeight="false" outlineLevel="0" collapsed="false">
      <c r="A21" s="7" t="s">
        <v>835</v>
      </c>
      <c r="B21" s="7"/>
      <c r="C21" s="7" t="s">
        <v>445</v>
      </c>
      <c r="D21" s="7" t="s">
        <v>446</v>
      </c>
      <c r="E21" s="8" t="s">
        <v>854</v>
      </c>
      <c r="F21" s="8" t="s">
        <v>855</v>
      </c>
    </row>
    <row r="22" customFormat="false" ht="15" hidden="false" customHeight="false" outlineLevel="0" collapsed="false">
      <c r="A22" s="7" t="s">
        <v>856</v>
      </c>
      <c r="B22" s="7"/>
      <c r="C22" s="7" t="s">
        <v>857</v>
      </c>
      <c r="D22" s="7"/>
      <c r="E22" s="8" t="s">
        <v>858</v>
      </c>
      <c r="F22" s="8" t="s">
        <v>859</v>
      </c>
    </row>
    <row r="23" customFormat="false" ht="15" hidden="false" customHeight="false" outlineLevel="0" collapsed="false">
      <c r="A23" s="7" t="s">
        <v>856</v>
      </c>
      <c r="B23" s="7"/>
      <c r="C23" s="7" t="s">
        <v>476</v>
      </c>
      <c r="D23" s="7" t="s">
        <v>477</v>
      </c>
      <c r="E23" s="8" t="s">
        <v>860</v>
      </c>
      <c r="F23" s="8" t="s">
        <v>861</v>
      </c>
    </row>
    <row r="24" customFormat="false" ht="15" hidden="false" customHeight="false" outlineLevel="0" collapsed="false">
      <c r="A24" s="7" t="s">
        <v>856</v>
      </c>
      <c r="B24" s="7"/>
      <c r="C24" s="7" t="s">
        <v>486</v>
      </c>
      <c r="D24" s="7" t="s">
        <v>487</v>
      </c>
      <c r="E24" s="8" t="s">
        <v>862</v>
      </c>
      <c r="F24" s="8" t="s">
        <v>861</v>
      </c>
    </row>
    <row r="25" customFormat="false" ht="15" hidden="false" customHeight="false" outlineLevel="0" collapsed="false">
      <c r="A25" s="7" t="s">
        <v>856</v>
      </c>
      <c r="B25" s="7"/>
      <c r="C25" s="7" t="s">
        <v>491</v>
      </c>
      <c r="D25" s="7" t="s">
        <v>492</v>
      </c>
      <c r="E25" s="8" t="s">
        <v>863</v>
      </c>
      <c r="F25" s="8" t="s">
        <v>861</v>
      </c>
    </row>
    <row r="26" customFormat="false" ht="23.85" hidden="false" customHeight="false" outlineLevel="0" collapsed="false">
      <c r="A26" s="7" t="s">
        <v>856</v>
      </c>
      <c r="B26" s="7"/>
      <c r="C26" s="7" t="s">
        <v>864</v>
      </c>
      <c r="D26" s="7"/>
      <c r="E26" s="8" t="s">
        <v>865</v>
      </c>
      <c r="F26" s="8" t="s">
        <v>859</v>
      </c>
    </row>
    <row r="27" customFormat="false" ht="15" hidden="false" customHeight="false" outlineLevel="0" collapsed="false">
      <c r="A27" s="7" t="s">
        <v>856</v>
      </c>
      <c r="B27" s="7"/>
      <c r="C27" s="7" t="s">
        <v>496</v>
      </c>
      <c r="D27" s="7" t="s">
        <v>497</v>
      </c>
      <c r="E27" s="8" t="s">
        <v>866</v>
      </c>
      <c r="F27" s="8" t="s">
        <v>861</v>
      </c>
    </row>
    <row r="28" customFormat="false" ht="15" hidden="false" customHeight="false" outlineLevel="0" collapsed="false">
      <c r="A28" s="7" t="s">
        <v>856</v>
      </c>
      <c r="B28" s="7"/>
      <c r="C28" s="7" t="s">
        <v>501</v>
      </c>
      <c r="D28" s="7" t="s">
        <v>502</v>
      </c>
      <c r="E28" s="8" t="s">
        <v>867</v>
      </c>
      <c r="F28" s="8" t="s">
        <v>861</v>
      </c>
    </row>
    <row r="29" customFormat="false" ht="15" hidden="false" customHeight="false" outlineLevel="0" collapsed="false">
      <c r="A29" s="7" t="s">
        <v>856</v>
      </c>
      <c r="B29" s="7"/>
      <c r="C29" s="7" t="s">
        <v>506</v>
      </c>
      <c r="D29" s="7" t="s">
        <v>507</v>
      </c>
      <c r="E29" s="8" t="s">
        <v>868</v>
      </c>
      <c r="F29" s="8" t="s">
        <v>861</v>
      </c>
    </row>
    <row r="30" customFormat="false" ht="15" hidden="false" customHeight="false" outlineLevel="0" collapsed="false">
      <c r="A30" s="7" t="s">
        <v>856</v>
      </c>
      <c r="B30" s="7"/>
      <c r="C30" s="7" t="s">
        <v>511</v>
      </c>
      <c r="D30" s="7" t="s">
        <v>512</v>
      </c>
      <c r="E30" s="8" t="s">
        <v>869</v>
      </c>
      <c r="F30" s="8" t="s">
        <v>861</v>
      </c>
    </row>
    <row r="31" customFormat="false" ht="15" hidden="false" customHeight="false" outlineLevel="0" collapsed="false">
      <c r="A31" s="7" t="s">
        <v>856</v>
      </c>
      <c r="B31" s="7"/>
      <c r="C31" s="7" t="s">
        <v>516</v>
      </c>
      <c r="D31" s="7" t="s">
        <v>517</v>
      </c>
      <c r="E31" s="8" t="s">
        <v>870</v>
      </c>
      <c r="F31" s="8" t="s">
        <v>861</v>
      </c>
    </row>
    <row r="32" customFormat="false" ht="15" hidden="false" customHeight="false" outlineLevel="0" collapsed="false">
      <c r="A32" s="7" t="s">
        <v>856</v>
      </c>
      <c r="B32" s="7"/>
      <c r="C32" s="7" t="s">
        <v>521</v>
      </c>
      <c r="D32" s="7" t="s">
        <v>522</v>
      </c>
      <c r="E32" s="8" t="s">
        <v>871</v>
      </c>
      <c r="F32" s="8" t="s">
        <v>861</v>
      </c>
    </row>
    <row r="33" customFormat="false" ht="15" hidden="false" customHeight="false" outlineLevel="0" collapsed="false">
      <c r="A33" s="7" t="s">
        <v>856</v>
      </c>
      <c r="B33" s="7"/>
      <c r="C33" s="7" t="s">
        <v>526</v>
      </c>
      <c r="D33" s="7" t="s">
        <v>527</v>
      </c>
      <c r="E33" s="8" t="s">
        <v>872</v>
      </c>
      <c r="F33" s="8" t="s">
        <v>861</v>
      </c>
    </row>
    <row r="34" customFormat="false" ht="15" hidden="false" customHeight="false" outlineLevel="0" collapsed="false">
      <c r="A34" s="7" t="s">
        <v>856</v>
      </c>
      <c r="B34" s="7"/>
      <c r="C34" s="7" t="s">
        <v>531</v>
      </c>
      <c r="D34" s="7" t="s">
        <v>532</v>
      </c>
      <c r="E34" s="8" t="s">
        <v>873</v>
      </c>
      <c r="F34" s="8" t="s">
        <v>861</v>
      </c>
    </row>
    <row r="35" customFormat="false" ht="15" hidden="false" customHeight="false" outlineLevel="0" collapsed="false">
      <c r="A35" s="7" t="s">
        <v>856</v>
      </c>
      <c r="B35" s="7"/>
      <c r="C35" s="7" t="s">
        <v>536</v>
      </c>
      <c r="D35" s="7" t="s">
        <v>537</v>
      </c>
      <c r="E35" s="8" t="s">
        <v>874</v>
      </c>
      <c r="F35" s="8" t="s">
        <v>861</v>
      </c>
    </row>
    <row r="36" customFormat="false" ht="15" hidden="false" customHeight="false" outlineLevel="0" collapsed="false">
      <c r="A36" s="7" t="s">
        <v>856</v>
      </c>
      <c r="B36" s="7"/>
      <c r="C36" s="7" t="s">
        <v>875</v>
      </c>
      <c r="D36" s="7"/>
      <c r="E36" s="8" t="s">
        <v>876</v>
      </c>
      <c r="F36" s="8" t="s">
        <v>859</v>
      </c>
    </row>
    <row r="37" customFormat="false" ht="15" hidden="false" customHeight="false" outlineLevel="0" collapsed="false">
      <c r="A37" s="7" t="s">
        <v>856</v>
      </c>
      <c r="B37" s="7"/>
      <c r="C37" s="7" t="s">
        <v>541</v>
      </c>
      <c r="D37" s="7" t="s">
        <v>542</v>
      </c>
      <c r="E37" s="8" t="s">
        <v>877</v>
      </c>
      <c r="F37" s="8" t="s">
        <v>861</v>
      </c>
    </row>
    <row r="38" customFormat="false" ht="15" hidden="false" customHeight="false" outlineLevel="0" collapsed="false">
      <c r="A38" s="7" t="s">
        <v>856</v>
      </c>
      <c r="B38" s="7"/>
      <c r="C38" s="7" t="s">
        <v>546</v>
      </c>
      <c r="D38" s="7" t="s">
        <v>547</v>
      </c>
      <c r="E38" s="8" t="s">
        <v>878</v>
      </c>
      <c r="F38" s="8" t="s">
        <v>861</v>
      </c>
    </row>
    <row r="39" customFormat="false" ht="23.85" hidden="false" customHeight="false" outlineLevel="0" collapsed="false">
      <c r="A39" s="7" t="s">
        <v>856</v>
      </c>
      <c r="B39" s="7"/>
      <c r="C39" s="7" t="s">
        <v>879</v>
      </c>
      <c r="D39" s="7"/>
      <c r="E39" s="8" t="s">
        <v>880</v>
      </c>
      <c r="F39" s="8" t="s">
        <v>859</v>
      </c>
    </row>
    <row r="40" customFormat="false" ht="15" hidden="false" customHeight="false" outlineLevel="0" collapsed="false">
      <c r="A40" s="7" t="s">
        <v>856</v>
      </c>
      <c r="B40" s="7"/>
      <c r="C40" s="7" t="s">
        <v>551</v>
      </c>
      <c r="D40" s="7" t="s">
        <v>552</v>
      </c>
      <c r="E40" s="8" t="s">
        <v>881</v>
      </c>
      <c r="F40" s="8" t="s">
        <v>861</v>
      </c>
    </row>
    <row r="41" customFormat="false" ht="15" hidden="false" customHeight="false" outlineLevel="0" collapsed="false">
      <c r="A41" s="7" t="s">
        <v>856</v>
      </c>
      <c r="B41" s="7"/>
      <c r="C41" s="7" t="s">
        <v>556</v>
      </c>
      <c r="D41" s="7" t="s">
        <v>557</v>
      </c>
      <c r="E41" s="8" t="s">
        <v>882</v>
      </c>
      <c r="F41" s="8" t="s">
        <v>861</v>
      </c>
    </row>
    <row r="42" customFormat="false" ht="15" hidden="false" customHeight="false" outlineLevel="0" collapsed="false">
      <c r="A42" s="7" t="s">
        <v>856</v>
      </c>
      <c r="B42" s="7"/>
      <c r="C42" s="7" t="s">
        <v>561</v>
      </c>
      <c r="D42" s="7" t="s">
        <v>562</v>
      </c>
      <c r="E42" s="8" t="s">
        <v>883</v>
      </c>
      <c r="F42" s="8" t="s">
        <v>861</v>
      </c>
    </row>
    <row r="43" customFormat="false" ht="15" hidden="false" customHeight="false" outlineLevel="0" collapsed="false">
      <c r="A43" s="7" t="s">
        <v>856</v>
      </c>
      <c r="B43" s="7"/>
      <c r="C43" s="7" t="s">
        <v>566</v>
      </c>
      <c r="D43" s="7" t="s">
        <v>567</v>
      </c>
      <c r="E43" s="8" t="s">
        <v>884</v>
      </c>
      <c r="F43" s="8" t="s">
        <v>861</v>
      </c>
    </row>
    <row r="44" customFormat="false" ht="15" hidden="false" customHeight="false" outlineLevel="0" collapsed="false">
      <c r="A44" s="7" t="s">
        <v>856</v>
      </c>
      <c r="B44" s="7"/>
      <c r="C44" s="7" t="s">
        <v>571</v>
      </c>
      <c r="D44" s="7" t="s">
        <v>572</v>
      </c>
      <c r="E44" s="8" t="s">
        <v>885</v>
      </c>
      <c r="F44" s="8" t="s">
        <v>861</v>
      </c>
    </row>
    <row r="45" customFormat="false" ht="15" hidden="false" customHeight="false" outlineLevel="0" collapsed="false">
      <c r="A45" s="7" t="s">
        <v>856</v>
      </c>
      <c r="B45" s="7"/>
      <c r="C45" s="7" t="s">
        <v>576</v>
      </c>
      <c r="D45" s="7" t="s">
        <v>577</v>
      </c>
      <c r="E45" s="8" t="s">
        <v>886</v>
      </c>
      <c r="F45" s="8" t="s">
        <v>861</v>
      </c>
    </row>
    <row r="46" customFormat="false" ht="15" hidden="false" customHeight="false" outlineLevel="0" collapsed="false">
      <c r="A46" s="7" t="s">
        <v>856</v>
      </c>
      <c r="B46" s="7"/>
      <c r="C46" s="7" t="s">
        <v>581</v>
      </c>
      <c r="D46" s="7" t="s">
        <v>582</v>
      </c>
      <c r="E46" s="8" t="s">
        <v>887</v>
      </c>
      <c r="F46" s="8" t="s">
        <v>861</v>
      </c>
    </row>
    <row r="47" customFormat="false" ht="15" hidden="false" customHeight="false" outlineLevel="0" collapsed="false">
      <c r="A47" s="7" t="s">
        <v>856</v>
      </c>
      <c r="B47" s="7"/>
      <c r="C47" s="7" t="s">
        <v>586</v>
      </c>
      <c r="D47" s="7" t="s">
        <v>587</v>
      </c>
      <c r="E47" s="8" t="s">
        <v>888</v>
      </c>
      <c r="F47" s="8" t="s">
        <v>861</v>
      </c>
    </row>
    <row r="48" customFormat="false" ht="15" hidden="false" customHeight="false" outlineLevel="0" collapsed="false">
      <c r="A48" s="7" t="s">
        <v>856</v>
      </c>
      <c r="B48" s="7"/>
      <c r="C48" s="7" t="s">
        <v>591</v>
      </c>
      <c r="D48" s="7" t="s">
        <v>592</v>
      </c>
      <c r="E48" s="8" t="s">
        <v>889</v>
      </c>
      <c r="F48" s="8" t="s">
        <v>861</v>
      </c>
    </row>
    <row r="49" customFormat="false" ht="46.25" hidden="false" customHeight="false" outlineLevel="0" collapsed="false">
      <c r="A49" s="7" t="s">
        <v>856</v>
      </c>
      <c r="B49" s="7"/>
      <c r="C49" s="7" t="s">
        <v>91</v>
      </c>
      <c r="D49" s="7" t="s">
        <v>596</v>
      </c>
      <c r="E49" s="8" t="s">
        <v>890</v>
      </c>
      <c r="F49" s="8" t="s">
        <v>891</v>
      </c>
    </row>
    <row r="50" customFormat="false" ht="23.85" hidden="false" customHeight="false" outlineLevel="0" collapsed="false">
      <c r="A50" s="7" t="s">
        <v>892</v>
      </c>
      <c r="B50" s="7"/>
      <c r="C50" s="7" t="s">
        <v>893</v>
      </c>
      <c r="D50" s="7"/>
      <c r="E50" s="8" t="s">
        <v>894</v>
      </c>
      <c r="F50" s="8" t="s">
        <v>895</v>
      </c>
    </row>
    <row r="51" customFormat="false" ht="15" hidden="false" customHeight="false" outlineLevel="0" collapsed="false">
      <c r="A51" s="7" t="s">
        <v>896</v>
      </c>
      <c r="B51" s="7"/>
      <c r="C51" s="7" t="s">
        <v>897</v>
      </c>
      <c r="D51" s="7"/>
      <c r="E51" s="8" t="s">
        <v>898</v>
      </c>
      <c r="F51" s="8"/>
    </row>
    <row r="52" customFormat="false" ht="15" hidden="false" customHeight="false" outlineLevel="0" collapsed="false">
      <c r="A52" s="7" t="s">
        <v>896</v>
      </c>
      <c r="B52" s="7"/>
      <c r="C52" s="7" t="s">
        <v>899</v>
      </c>
      <c r="D52" s="7"/>
      <c r="E52" s="8" t="s">
        <v>900</v>
      </c>
      <c r="F52" s="8"/>
    </row>
    <row r="53" customFormat="false" ht="15" hidden="false" customHeight="false" outlineLevel="0" collapsed="false">
      <c r="A53" s="7" t="s">
        <v>896</v>
      </c>
      <c r="B53" s="7"/>
      <c r="C53" s="7" t="s">
        <v>901</v>
      </c>
      <c r="D53" s="7"/>
      <c r="E53" s="8" t="s">
        <v>741</v>
      </c>
      <c r="F53" s="8" t="s">
        <v>902</v>
      </c>
    </row>
    <row r="54" customFormat="false" ht="15" hidden="false" customHeight="false" outlineLevel="0" collapsed="false">
      <c r="A54" s="7" t="s">
        <v>896</v>
      </c>
      <c r="B54" s="7"/>
      <c r="C54" s="7" t="s">
        <v>903</v>
      </c>
      <c r="D54" s="7"/>
      <c r="E54" s="8" t="s">
        <v>904</v>
      </c>
      <c r="F54" s="8"/>
    </row>
    <row r="55" customFormat="false" ht="15" hidden="false" customHeight="false" outlineLevel="0" collapsed="false">
      <c r="A55" s="7" t="s">
        <v>896</v>
      </c>
      <c r="B55" s="7"/>
      <c r="C55" s="7" t="s">
        <v>905</v>
      </c>
      <c r="D55" s="7"/>
      <c r="E55" s="8" t="s">
        <v>906</v>
      </c>
      <c r="F55"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3" min="3" style="0" width="42"/>
    <col collapsed="false" customWidth="true" hidden="false" outlineLevel="0" max="4" min="4" style="0" width="46"/>
    <col collapsed="false" customWidth="true" hidden="false" outlineLevel="0" max="5" min="5" style="0" width="14"/>
    <col collapsed="false" customWidth="true" hidden="false" outlineLevel="0" max="6" min="6" style="0" width="10"/>
    <col collapsed="false" customWidth="true" hidden="false" outlineLevel="0" max="7" min="7" style="0" width="44"/>
    <col collapsed="false" customWidth="true" hidden="false" outlineLevel="0" max="8" min="8" style="0" width="56"/>
    <col collapsed="false" customWidth="true" hidden="false" outlineLevel="0" max="9" min="9" style="0" width="24"/>
    <col collapsed="false" customWidth="true" hidden="false" outlineLevel="0" max="10" min="10" style="0" width="28"/>
    <col collapsed="false" customWidth="true" hidden="false" outlineLevel="0" max="11" min="11" style="0" width="44"/>
    <col collapsed="false" customWidth="true" hidden="false" outlineLevel="0" max="15" min="12" style="0" width="12"/>
  </cols>
  <sheetData>
    <row r="1" customFormat="false" ht="31.5" hidden="false" customHeight="true" outlineLevel="0" collapsed="false">
      <c r="A1" s="6" t="s">
        <v>38</v>
      </c>
      <c r="B1" s="6" t="s">
        <v>907</v>
      </c>
      <c r="C1" s="6" t="s">
        <v>908</v>
      </c>
      <c r="D1" s="6" t="s">
        <v>3</v>
      </c>
      <c r="E1" s="6" t="s">
        <v>909</v>
      </c>
      <c r="F1" s="6" t="s">
        <v>910</v>
      </c>
      <c r="G1" s="6" t="s">
        <v>911</v>
      </c>
      <c r="H1" s="6" t="s">
        <v>912</v>
      </c>
      <c r="I1" s="6" t="s">
        <v>63</v>
      </c>
      <c r="J1" s="6" t="s">
        <v>913</v>
      </c>
      <c r="K1" s="6" t="s">
        <v>914</v>
      </c>
      <c r="L1" s="6" t="s">
        <v>915</v>
      </c>
      <c r="M1" s="6" t="s">
        <v>916</v>
      </c>
      <c r="N1" s="6" t="s">
        <v>917</v>
      </c>
      <c r="O1" s="6" t="s">
        <v>918</v>
      </c>
    </row>
    <row r="2" customFormat="false" ht="23.85" hidden="false" customHeight="false" outlineLevel="0" collapsed="false">
      <c r="A2" s="7" t="s">
        <v>65</v>
      </c>
      <c r="B2" s="7" t="s">
        <v>693</v>
      </c>
      <c r="C2" s="8" t="s">
        <v>919</v>
      </c>
      <c r="D2" s="8" t="s">
        <v>920</v>
      </c>
      <c r="E2" s="7" t="s">
        <v>921</v>
      </c>
      <c r="F2" s="7" t="s">
        <v>922</v>
      </c>
      <c r="G2" s="8" t="s">
        <v>67</v>
      </c>
      <c r="H2" s="8" t="s">
        <v>923</v>
      </c>
      <c r="I2" s="7" t="s">
        <v>70</v>
      </c>
      <c r="J2" s="8" t="s">
        <v>924</v>
      </c>
      <c r="K2" s="8" t="s">
        <v>925</v>
      </c>
      <c r="L2" s="7" t="n">
        <f aca="false">COUNTIF('Mapa de Serviços'!$J:$J,$A2)</f>
        <v>0</v>
      </c>
      <c r="M2" s="7" t="n">
        <f aca="false">COUNTIF('Mapa de Marcas'!$L:$L,$A2)</f>
        <v>0</v>
      </c>
      <c r="N2" s="7" t="n">
        <f aca="false">COUNTIF('Camadas Programáticas'!$I$15:$I$272,$A2)</f>
        <v>0</v>
      </c>
      <c r="O2" s="7" t="n">
        <f aca="false">COUNTIF(Arquitetura!$E:$E,$A2)</f>
        <v>1</v>
      </c>
    </row>
    <row r="3" customFormat="false" ht="23.85" hidden="false" customHeight="false" outlineLevel="0" collapsed="false">
      <c r="A3" s="7" t="s">
        <v>81</v>
      </c>
      <c r="B3" s="7" t="s">
        <v>72</v>
      </c>
      <c r="C3" s="8" t="s">
        <v>926</v>
      </c>
      <c r="D3" s="8" t="s">
        <v>927</v>
      </c>
      <c r="E3" s="7" t="s">
        <v>928</v>
      </c>
      <c r="F3" s="7" t="s">
        <v>929</v>
      </c>
      <c r="G3" s="8" t="s">
        <v>930</v>
      </c>
      <c r="H3" s="8" t="s">
        <v>931</v>
      </c>
      <c r="I3" s="7" t="s">
        <v>70</v>
      </c>
      <c r="J3" s="8" t="s">
        <v>932</v>
      </c>
      <c r="K3" s="8" t="s">
        <v>933</v>
      </c>
      <c r="L3" s="7" t="n">
        <f aca="false">COUNTIF('Mapa de Serviços'!$J:$J,$A3)</f>
        <v>12</v>
      </c>
      <c r="M3" s="7" t="n">
        <f aca="false">COUNTIF('Mapa de Marcas'!$L:$L,$A3)</f>
        <v>1</v>
      </c>
      <c r="N3" s="7" t="n">
        <f aca="false">COUNTIF('Camadas Programáticas'!$I$15:$I$272,$A3)</f>
        <v>0</v>
      </c>
      <c r="O3" s="7" t="n">
        <f aca="false">COUNTIF(Arquitetura!$E:$E,$A3)</f>
        <v>13</v>
      </c>
    </row>
    <row r="4" customFormat="false" ht="23.85" hidden="false" customHeight="false" outlineLevel="0" collapsed="false">
      <c r="A4" s="7" t="s">
        <v>87</v>
      </c>
      <c r="B4" s="7" t="s">
        <v>72</v>
      </c>
      <c r="C4" s="8" t="s">
        <v>934</v>
      </c>
      <c r="D4" s="8" t="s">
        <v>935</v>
      </c>
      <c r="E4" s="7" t="s">
        <v>928</v>
      </c>
      <c r="F4" s="7" t="s">
        <v>936</v>
      </c>
      <c r="G4" s="8" t="s">
        <v>937</v>
      </c>
      <c r="H4" s="8" t="s">
        <v>938</v>
      </c>
      <c r="I4" s="7" t="s">
        <v>70</v>
      </c>
      <c r="J4" s="8" t="s">
        <v>939</v>
      </c>
      <c r="K4" s="8" t="s">
        <v>940</v>
      </c>
      <c r="L4" s="7" t="n">
        <f aca="false">COUNTIF('Mapa de Serviços'!$J:$J,$A4)</f>
        <v>81</v>
      </c>
      <c r="M4" s="7" t="n">
        <f aca="false">COUNTIF('Mapa de Marcas'!$L:$L,$A4)</f>
        <v>0</v>
      </c>
      <c r="N4" s="7" t="n">
        <f aca="false">COUNTIF('Camadas Programáticas'!$I$15:$I$272,$A4)</f>
        <v>0</v>
      </c>
      <c r="O4" s="7" t="n">
        <f aca="false">COUNTIF(Arquitetura!$E:$E,$A4)</f>
        <v>81</v>
      </c>
    </row>
    <row r="5" customFormat="false" ht="23.85" hidden="false" customHeight="false" outlineLevel="0" collapsed="false">
      <c r="A5" s="7" t="s">
        <v>133</v>
      </c>
      <c r="B5" s="7" t="s">
        <v>72</v>
      </c>
      <c r="C5" s="8" t="s">
        <v>941</v>
      </c>
      <c r="D5" s="8" t="s">
        <v>942</v>
      </c>
      <c r="E5" s="7" t="s">
        <v>943</v>
      </c>
      <c r="F5" s="7" t="s">
        <v>944</v>
      </c>
      <c r="G5" s="8" t="s">
        <v>945</v>
      </c>
      <c r="H5" s="8" t="s">
        <v>946</v>
      </c>
      <c r="I5" s="7" t="s">
        <v>135</v>
      </c>
      <c r="J5" s="8" t="s">
        <v>947</v>
      </c>
      <c r="K5" s="8" t="s">
        <v>948</v>
      </c>
      <c r="L5" s="7" t="n">
        <f aca="false">COUNTIF('Mapa de Serviços'!$J:$J,$A5)</f>
        <v>680</v>
      </c>
      <c r="M5" s="7" t="n">
        <f aca="false">COUNTIF('Mapa de Marcas'!$L:$L,$A5)</f>
        <v>0</v>
      </c>
      <c r="N5" s="7" t="n">
        <f aca="false">COUNTIF('Camadas Programáticas'!$I$15:$I$272,$A5)</f>
        <v>0</v>
      </c>
      <c r="O5" s="7" t="n">
        <f aca="false">COUNTIF(Arquitetura!$E:$E,$A5)</f>
        <v>12</v>
      </c>
    </row>
    <row r="6" customFormat="false" ht="23.85" hidden="false" customHeight="false" outlineLevel="0" collapsed="false">
      <c r="A6" s="7" t="s">
        <v>949</v>
      </c>
      <c r="B6" s="7" t="s">
        <v>72</v>
      </c>
      <c r="C6" s="8" t="s">
        <v>950</v>
      </c>
      <c r="D6" s="8" t="s">
        <v>951</v>
      </c>
      <c r="E6" s="7" t="s">
        <v>943</v>
      </c>
      <c r="F6" s="7" t="s">
        <v>952</v>
      </c>
      <c r="G6" s="8" t="s">
        <v>953</v>
      </c>
      <c r="H6" s="8" t="s">
        <v>954</v>
      </c>
      <c r="I6" s="7" t="s">
        <v>955</v>
      </c>
      <c r="J6" s="8" t="s">
        <v>956</v>
      </c>
      <c r="K6" s="8" t="s">
        <v>957</v>
      </c>
      <c r="L6" s="7" t="n">
        <f aca="false">COUNTIF('Mapa de Serviços'!$J:$J,$A6)</f>
        <v>46</v>
      </c>
      <c r="M6" s="7" t="n">
        <f aca="false">COUNTIF('Mapa de Marcas'!$L:$L,$A6)</f>
        <v>0</v>
      </c>
      <c r="N6" s="7" t="n">
        <f aca="false">COUNTIF('Camadas Programáticas'!$I$15:$I$272,$A6)</f>
        <v>0</v>
      </c>
      <c r="O6" s="7" t="n">
        <f aca="false">COUNTIF(Arquitetura!$E:$E,$A6)</f>
        <v>0</v>
      </c>
    </row>
    <row r="7" customFormat="false" ht="23.85" hidden="false" customHeight="false" outlineLevel="0" collapsed="false">
      <c r="A7" s="7" t="s">
        <v>958</v>
      </c>
      <c r="B7" s="7" t="s">
        <v>959</v>
      </c>
      <c r="C7" s="8" t="s">
        <v>960</v>
      </c>
      <c r="D7" s="8" t="s">
        <v>961</v>
      </c>
      <c r="E7" s="7" t="s">
        <v>943</v>
      </c>
      <c r="F7" s="7" t="s">
        <v>944</v>
      </c>
      <c r="G7" s="8" t="s">
        <v>945</v>
      </c>
      <c r="H7" s="8" t="s">
        <v>962</v>
      </c>
      <c r="I7" s="7" t="s">
        <v>135</v>
      </c>
      <c r="J7" s="8" t="s">
        <v>963</v>
      </c>
      <c r="K7" s="8" t="s">
        <v>964</v>
      </c>
      <c r="L7" s="7" t="n">
        <f aca="false">COUNTIF('Mapa de Serviços'!$J:$J,$A7)</f>
        <v>0</v>
      </c>
      <c r="M7" s="7" t="n">
        <f aca="false">COUNTIF('Mapa de Marcas'!$L:$L,$A7)</f>
        <v>0</v>
      </c>
      <c r="N7" s="7" t="n">
        <f aca="false">COUNTIF('Camadas Programáticas'!$I$15:$I$272,$A7)</f>
        <v>18</v>
      </c>
      <c r="O7" s="7" t="n">
        <f aca="false">COUNTIF(Arquitetura!$E:$E,$A7)</f>
        <v>0</v>
      </c>
    </row>
    <row r="8" customFormat="false" ht="23.85" hidden="false" customHeight="false" outlineLevel="0" collapsed="false">
      <c r="A8" s="7" t="s">
        <v>965</v>
      </c>
      <c r="B8" s="7" t="s">
        <v>959</v>
      </c>
      <c r="C8" s="8" t="s">
        <v>966</v>
      </c>
      <c r="D8" s="8" t="s">
        <v>967</v>
      </c>
      <c r="E8" s="7" t="s">
        <v>943</v>
      </c>
      <c r="F8" s="7" t="s">
        <v>968</v>
      </c>
      <c r="G8" s="8" t="s">
        <v>969</v>
      </c>
      <c r="H8" s="8" t="s">
        <v>970</v>
      </c>
      <c r="I8" s="7" t="s">
        <v>135</v>
      </c>
      <c r="J8" s="8" t="s">
        <v>971</v>
      </c>
      <c r="K8" s="8" t="s">
        <v>972</v>
      </c>
      <c r="L8" s="7" t="n">
        <f aca="false">COUNTIF('Mapa de Serviços'!$J:$J,$A8)</f>
        <v>0</v>
      </c>
      <c r="M8" s="7" t="n">
        <f aca="false">COUNTIF('Mapa de Marcas'!$L:$L,$A8)</f>
        <v>11</v>
      </c>
      <c r="N8" s="7" t="n">
        <f aca="false">COUNTIF('Camadas Programáticas'!$I$15:$I$272,$A8)</f>
        <v>180</v>
      </c>
      <c r="O8" s="7" t="n">
        <f aca="false">COUNTIF(Arquitetura!$E:$E,$A8)</f>
        <v>0</v>
      </c>
    </row>
    <row r="9" customFormat="false" ht="23.85" hidden="false" customHeight="false" outlineLevel="0" collapsed="false">
      <c r="A9" s="7" t="s">
        <v>973</v>
      </c>
      <c r="B9" s="7" t="s">
        <v>959</v>
      </c>
      <c r="C9" s="8" t="s">
        <v>974</v>
      </c>
      <c r="D9" s="8" t="s">
        <v>975</v>
      </c>
      <c r="E9" s="7" t="s">
        <v>943</v>
      </c>
      <c r="F9" s="7" t="s">
        <v>968</v>
      </c>
      <c r="G9" s="8" t="s">
        <v>976</v>
      </c>
      <c r="H9" s="8" t="s">
        <v>977</v>
      </c>
      <c r="I9" s="7" t="s">
        <v>135</v>
      </c>
      <c r="J9" s="8" t="s">
        <v>963</v>
      </c>
      <c r="K9" s="8" t="s">
        <v>978</v>
      </c>
      <c r="L9" s="7" t="n">
        <f aca="false">COUNTIF('Mapa de Serviços'!$J:$J,$A9)</f>
        <v>0</v>
      </c>
      <c r="M9" s="7" t="n">
        <f aca="false">COUNTIF('Mapa de Marcas'!$L:$L,$A9)</f>
        <v>0</v>
      </c>
      <c r="N9" s="7" t="n">
        <f aca="false">COUNTIF('Camadas Programáticas'!$I$15:$I$272,$A9)</f>
        <v>60</v>
      </c>
      <c r="O9" s="7" t="n">
        <f aca="false">COUNTIF(Arquitetura!$E:$E,$A9)</f>
        <v>0</v>
      </c>
    </row>
    <row r="10" customFormat="false" ht="23.85" hidden="false" customHeight="false" outlineLevel="0" collapsed="false">
      <c r="A10" s="7" t="s">
        <v>478</v>
      </c>
      <c r="B10" s="7" t="s">
        <v>979</v>
      </c>
      <c r="C10" s="8" t="s">
        <v>980</v>
      </c>
      <c r="D10" s="8" t="s">
        <v>981</v>
      </c>
      <c r="E10" s="7" t="s">
        <v>928</v>
      </c>
      <c r="F10" s="7" t="s">
        <v>936</v>
      </c>
      <c r="G10" s="8" t="s">
        <v>982</v>
      </c>
      <c r="H10" s="8" t="s">
        <v>983</v>
      </c>
      <c r="I10" s="7" t="s">
        <v>70</v>
      </c>
      <c r="J10" s="8" t="s">
        <v>984</v>
      </c>
      <c r="K10" s="8" t="s">
        <v>985</v>
      </c>
      <c r="L10" s="7" t="n">
        <f aca="false">COUNTIF('Mapa de Serviços'!$J:$J,$A10)</f>
        <v>0</v>
      </c>
      <c r="M10" s="7" t="n">
        <f aca="false">COUNTIF('Mapa de Marcas'!$L:$L,$A10)</f>
        <v>24</v>
      </c>
      <c r="N10" s="7" t="n">
        <f aca="false">COUNTIF('Camadas Programáticas'!$I$15:$I$272,$A10)</f>
        <v>0</v>
      </c>
      <c r="O10" s="7" t="n">
        <f aca="false">COUNTIF(Arquitetura!$E:$E,$A10)</f>
        <v>24</v>
      </c>
    </row>
    <row r="11" customFormat="false" ht="23.85" hidden="false" customHeight="false" outlineLevel="0" collapsed="false">
      <c r="A11" s="7" t="s">
        <v>483</v>
      </c>
      <c r="B11" s="7" t="s">
        <v>979</v>
      </c>
      <c r="C11" s="8" t="s">
        <v>986</v>
      </c>
      <c r="D11" s="8" t="s">
        <v>987</v>
      </c>
      <c r="E11" s="7" t="s">
        <v>928</v>
      </c>
      <c r="F11" s="7" t="s">
        <v>988</v>
      </c>
      <c r="G11" s="8" t="s">
        <v>989</v>
      </c>
      <c r="H11" s="8" t="s">
        <v>990</v>
      </c>
      <c r="I11" s="7" t="s">
        <v>70</v>
      </c>
      <c r="J11" s="8" t="s">
        <v>991</v>
      </c>
      <c r="K11" s="8" t="s">
        <v>992</v>
      </c>
      <c r="L11" s="7" t="n">
        <f aca="false">COUNTIF('Mapa de Serviços'!$J:$J,$A11)</f>
        <v>0</v>
      </c>
      <c r="M11" s="7" t="n">
        <f aca="false">COUNTIF('Mapa de Marcas'!$L:$L,$A11)</f>
        <v>164</v>
      </c>
      <c r="N11" s="7" t="n">
        <f aca="false">COUNTIF('Camadas Programáticas'!$I$15:$I$272,$A11)</f>
        <v>0</v>
      </c>
      <c r="O11" s="7" t="n">
        <f aca="false">COUNTIF(Arquitetura!$E:$E,$A11)</f>
        <v>23</v>
      </c>
    </row>
    <row r="12" customFormat="false" ht="23.85" hidden="false" customHeight="false" outlineLevel="0" collapsed="false">
      <c r="A12" s="7" t="s">
        <v>606</v>
      </c>
      <c r="B12" s="7" t="s">
        <v>979</v>
      </c>
      <c r="C12" s="8" t="s">
        <v>993</v>
      </c>
      <c r="D12" s="8" t="s">
        <v>994</v>
      </c>
      <c r="E12" s="7" t="s">
        <v>943</v>
      </c>
      <c r="F12" s="7" t="s">
        <v>968</v>
      </c>
      <c r="G12" s="8" t="s">
        <v>605</v>
      </c>
      <c r="H12" s="8" t="s">
        <v>995</v>
      </c>
      <c r="I12" s="7" t="s">
        <v>135</v>
      </c>
      <c r="J12" s="8" t="s">
        <v>996</v>
      </c>
      <c r="K12" s="8" t="s">
        <v>997</v>
      </c>
      <c r="L12" s="7" t="n">
        <f aca="false">COUNTIF('Mapa de Serviços'!$J:$J,$A12)</f>
        <v>0</v>
      </c>
      <c r="M12" s="7" t="n">
        <f aca="false">COUNTIF('Mapa de Marcas'!$L:$L,$A12)</f>
        <v>47</v>
      </c>
      <c r="N12" s="7" t="n">
        <f aca="false">COUNTIF('Camadas Programáticas'!$I$15:$I$272,$A12)</f>
        <v>0</v>
      </c>
      <c r="O12" s="7" t="n">
        <f aca="false">COUNTIF(Arquitetura!$E:$E,$A12)</f>
        <v>1</v>
      </c>
    </row>
    <row r="13" customFormat="false" ht="23.85" hidden="false" customHeight="false" outlineLevel="0" collapsed="false">
      <c r="A13" s="7" t="s">
        <v>998</v>
      </c>
      <c r="B13" s="7" t="s">
        <v>979</v>
      </c>
      <c r="C13" s="8" t="s">
        <v>999</v>
      </c>
      <c r="D13" s="8" t="s">
        <v>1000</v>
      </c>
      <c r="E13" s="7" t="s">
        <v>928</v>
      </c>
      <c r="F13" s="7" t="s">
        <v>952</v>
      </c>
      <c r="G13" s="8" t="s">
        <v>1001</v>
      </c>
      <c r="H13" s="8" t="s">
        <v>1002</v>
      </c>
      <c r="I13" s="7" t="s">
        <v>955</v>
      </c>
      <c r="J13" s="8" t="s">
        <v>956</v>
      </c>
      <c r="K13" s="8" t="s">
        <v>957</v>
      </c>
      <c r="L13" s="7" t="n">
        <f aca="false">COUNTIF('Mapa de Serviços'!$J:$J,$A13)</f>
        <v>0</v>
      </c>
      <c r="M13" s="7" t="n">
        <f aca="false">COUNTIF('Mapa de Marcas'!$L:$L,$A13)</f>
        <v>214</v>
      </c>
      <c r="N13" s="7" t="n">
        <f aca="false">COUNTIF('Camadas Programáticas'!$I$15:$I$272,$A13)</f>
        <v>0</v>
      </c>
      <c r="O13" s="7" t="n">
        <f aca="false">COUNTIF(Arquitetura!$E:$E,$A13)</f>
        <v>0</v>
      </c>
    </row>
    <row r="14" customFormat="false" ht="23.85" hidden="false" customHeight="false" outlineLevel="0" collapsed="false">
      <c r="A14" s="7" t="s">
        <v>601</v>
      </c>
      <c r="B14" s="7" t="s">
        <v>979</v>
      </c>
      <c r="C14" s="8" t="s">
        <v>1003</v>
      </c>
      <c r="D14" s="8" t="s">
        <v>1004</v>
      </c>
      <c r="E14" s="7" t="s">
        <v>928</v>
      </c>
      <c r="F14" s="7" t="s">
        <v>944</v>
      </c>
      <c r="G14" s="8" t="s">
        <v>1005</v>
      </c>
      <c r="H14" s="8" t="s">
        <v>1006</v>
      </c>
      <c r="I14" s="7" t="s">
        <v>70</v>
      </c>
      <c r="J14" s="8" t="s">
        <v>1007</v>
      </c>
      <c r="K14" s="8" t="s">
        <v>1008</v>
      </c>
      <c r="L14" s="7" t="n">
        <f aca="false">COUNTIF('Mapa de Serviços'!$J:$J,$A14)</f>
        <v>0</v>
      </c>
      <c r="M14" s="7" t="n">
        <f aca="false">COUNTIF('Mapa de Marcas'!$L:$L,$A14)</f>
        <v>20</v>
      </c>
      <c r="N14" s="7" t="n">
        <f aca="false">COUNTIF('Camadas Programáticas'!$I$15:$I$272,$A14)</f>
        <v>0</v>
      </c>
      <c r="O14" s="7" t="n">
        <f aca="false">COUNTIF(Arquitetura!$E:$E,$A14)</f>
        <v>1</v>
      </c>
    </row>
    <row r="15" customFormat="false" ht="23.85" hidden="false" customHeight="false" outlineLevel="0" collapsed="false">
      <c r="A15" s="7" t="s">
        <v>1009</v>
      </c>
      <c r="B15" s="7" t="s">
        <v>979</v>
      </c>
      <c r="C15" s="8" t="s">
        <v>1010</v>
      </c>
      <c r="D15" s="8" t="s">
        <v>1011</v>
      </c>
      <c r="E15" s="7" t="s">
        <v>928</v>
      </c>
      <c r="F15" s="7" t="s">
        <v>968</v>
      </c>
      <c r="G15" s="8" t="s">
        <v>1012</v>
      </c>
      <c r="H15" s="8" t="s">
        <v>1013</v>
      </c>
      <c r="I15" s="7" t="s">
        <v>70</v>
      </c>
      <c r="J15" s="8" t="s">
        <v>1014</v>
      </c>
      <c r="K15" s="8" t="s">
        <v>1015</v>
      </c>
      <c r="L15" s="7" t="n">
        <f aca="false">COUNTIF('Mapa de Serviços'!$J:$J,$A15)</f>
        <v>0</v>
      </c>
      <c r="M15" s="7" t="n">
        <f aca="false">COUNTIF('Mapa de Marcas'!$L:$L,$A15)</f>
        <v>20</v>
      </c>
      <c r="N15" s="7" t="n">
        <f aca="false">COUNTIF('Camadas Programáticas'!$I$15:$I$272,$A15)</f>
        <v>0</v>
      </c>
      <c r="O15" s="7" t="n">
        <f aca="false">COUNTIF(Arquitetura!$E:$E,$A15)</f>
        <v>0</v>
      </c>
    </row>
    <row r="16" customFormat="false" ht="23.85" hidden="false" customHeight="false" outlineLevel="0" collapsed="false">
      <c r="A16" s="7" t="s">
        <v>1016</v>
      </c>
      <c r="B16" s="7" t="s">
        <v>979</v>
      </c>
      <c r="C16" s="8" t="s">
        <v>1017</v>
      </c>
      <c r="D16" s="8" t="s">
        <v>1018</v>
      </c>
      <c r="E16" s="7" t="s">
        <v>928</v>
      </c>
      <c r="F16" s="7" t="s">
        <v>952</v>
      </c>
      <c r="G16" s="8" t="s">
        <v>1019</v>
      </c>
      <c r="H16" s="8" t="s">
        <v>1020</v>
      </c>
      <c r="I16" s="7" t="s">
        <v>955</v>
      </c>
      <c r="J16" s="8" t="s">
        <v>956</v>
      </c>
      <c r="K16" s="8" t="s">
        <v>957</v>
      </c>
      <c r="L16" s="7" t="n">
        <f aca="false">COUNTIF('Mapa de Serviços'!$J:$J,$A16)</f>
        <v>0</v>
      </c>
      <c r="M16" s="7" t="n">
        <f aca="false">COUNTIF('Mapa de Marcas'!$L:$L,$A16)</f>
        <v>73</v>
      </c>
      <c r="N16" s="7" t="n">
        <f aca="false">COUNTIF('Camadas Programáticas'!$I$15:$I$272,$A16)</f>
        <v>0</v>
      </c>
      <c r="O16" s="7" t="n">
        <f aca="false">COUNTIF(Arquitetura!$E:$E,$A16)</f>
        <v>0</v>
      </c>
    </row>
    <row r="17" customFormat="false" ht="23.85" hidden="false" customHeight="false" outlineLevel="0" collapsed="false">
      <c r="A17" s="7" t="s">
        <v>1021</v>
      </c>
      <c r="B17" s="7" t="s">
        <v>979</v>
      </c>
      <c r="C17" s="8" t="s">
        <v>1022</v>
      </c>
      <c r="D17" s="8" t="s">
        <v>1023</v>
      </c>
      <c r="E17" s="7" t="s">
        <v>943</v>
      </c>
      <c r="F17" s="7" t="s">
        <v>952</v>
      </c>
      <c r="G17" s="8" t="s">
        <v>1024</v>
      </c>
      <c r="H17" s="8" t="s">
        <v>1025</v>
      </c>
      <c r="I17" s="7" t="s">
        <v>955</v>
      </c>
      <c r="J17" s="8" t="s">
        <v>956</v>
      </c>
      <c r="K17" s="8" t="s">
        <v>957</v>
      </c>
      <c r="L17" s="7" t="n">
        <f aca="false">COUNTIF('Mapa de Serviços'!$J:$J,$A17)</f>
        <v>7</v>
      </c>
      <c r="M17" s="7" t="n">
        <f aca="false">COUNTIF('Mapa de Marcas'!$L:$L,$A17)</f>
        <v>13</v>
      </c>
      <c r="N17" s="7" t="n">
        <f aca="false">COUNTIF('Camadas Programáticas'!$I$15:$I$272,$A17)</f>
        <v>0</v>
      </c>
      <c r="O17" s="7" t="n">
        <f aca="false">COUNTIF(Arquitetura!$E:$E,$A17)</f>
        <v>0</v>
      </c>
    </row>
    <row r="18" customFormat="false" ht="23.85" hidden="false" customHeight="false" outlineLevel="0" collapsed="false">
      <c r="A18" s="7" t="s">
        <v>1026</v>
      </c>
      <c r="B18" s="7" t="s">
        <v>979</v>
      </c>
      <c r="C18" s="8" t="s">
        <v>1027</v>
      </c>
      <c r="D18" s="8" t="s">
        <v>1028</v>
      </c>
      <c r="E18" s="7" t="s">
        <v>1029</v>
      </c>
      <c r="F18" s="7" t="s">
        <v>952</v>
      </c>
      <c r="G18" s="8" t="s">
        <v>1030</v>
      </c>
      <c r="H18" s="8" t="s">
        <v>1031</v>
      </c>
      <c r="I18" s="7" t="s">
        <v>1032</v>
      </c>
      <c r="J18" s="8" t="s">
        <v>1032</v>
      </c>
      <c r="K18" s="8" t="s">
        <v>1033</v>
      </c>
      <c r="L18" s="7" t="n">
        <f aca="false">COUNTIF('Mapa de Serviços'!$J:$J,$A18)</f>
        <v>0</v>
      </c>
      <c r="M18" s="7" t="n">
        <f aca="false">COUNTIF('Mapa de Marcas'!$L:$L,$A18)</f>
        <v>2</v>
      </c>
      <c r="N18" s="7" t="n">
        <f aca="false">COUNTIF('Camadas Programáticas'!$I$15:$I$272,$A18)</f>
        <v>0</v>
      </c>
      <c r="O18" s="7" t="n">
        <f aca="false">COUNTIF(Arquitetura!$E:$E,$A18)</f>
        <v>0</v>
      </c>
    </row>
    <row r="19" customFormat="false" ht="15" hidden="false" customHeight="false" outlineLevel="0" collapsed="false">
      <c r="A19" s="7" t="s">
        <v>1034</v>
      </c>
      <c r="B19" s="7" t="s">
        <v>693</v>
      </c>
      <c r="C19" s="8" t="s">
        <v>1035</v>
      </c>
      <c r="D19" s="8" t="s">
        <v>1036</v>
      </c>
      <c r="E19" s="7" t="s">
        <v>921</v>
      </c>
      <c r="F19" s="7" t="s">
        <v>952</v>
      </c>
      <c r="G19" s="8" t="s">
        <v>692</v>
      </c>
      <c r="H19" s="8" t="s">
        <v>1037</v>
      </c>
      <c r="I19" s="7" t="s">
        <v>1032</v>
      </c>
      <c r="J19" s="8" t="s">
        <v>1038</v>
      </c>
      <c r="K19" s="8" t="s">
        <v>1033</v>
      </c>
      <c r="L19" s="7" t="n">
        <f aca="false">COUNTIF('Mapa de Serviços'!$J:$J,$A19)</f>
        <v>0</v>
      </c>
      <c r="M19" s="7" t="n">
        <f aca="false">COUNTIF('Mapa de Marcas'!$L:$L,$A19)</f>
        <v>2</v>
      </c>
      <c r="N19" s="7" t="n">
        <f aca="false">COUNTIF('Camadas Programáticas'!$I$15:$I$272,$A19)</f>
        <v>0</v>
      </c>
      <c r="O19" s="7" t="n">
        <f aca="false">COUNTIF(Arquitetura!$E:$E,$A19)</f>
        <v>0</v>
      </c>
    </row>
    <row r="20" customFormat="false" ht="15" hidden="false" customHeight="false" outlineLevel="0" collapsed="false">
      <c r="A20" s="7" t="s">
        <v>1039</v>
      </c>
      <c r="B20" s="7" t="s">
        <v>693</v>
      </c>
      <c r="C20" s="8" t="s">
        <v>1040</v>
      </c>
      <c r="D20" s="8" t="s">
        <v>1041</v>
      </c>
      <c r="E20" s="7" t="s">
        <v>921</v>
      </c>
      <c r="F20" s="7" t="s">
        <v>952</v>
      </c>
      <c r="G20" s="8" t="s">
        <v>704</v>
      </c>
      <c r="H20" s="8" t="s">
        <v>1042</v>
      </c>
      <c r="I20" s="7" t="s">
        <v>1032</v>
      </c>
      <c r="J20" s="8" t="s">
        <v>1038</v>
      </c>
      <c r="K20" s="8" t="s">
        <v>1043</v>
      </c>
      <c r="L20" s="7" t="n">
        <f aca="false">COUNTIF('Mapa de Serviços'!$J:$J,$A20)</f>
        <v>0</v>
      </c>
      <c r="M20" s="7" t="n">
        <f aca="false">COUNTIF('Mapa de Marcas'!$L:$L,$A20)</f>
        <v>8</v>
      </c>
      <c r="N20" s="7" t="n">
        <f aca="false">COUNTIF('Camadas Programáticas'!$I$15:$I$272,$A20)</f>
        <v>0</v>
      </c>
      <c r="O20" s="7" t="n">
        <f aca="false">COUNTIF(Arquitetura!$E:$E,$A20)</f>
        <v>0</v>
      </c>
    </row>
    <row r="21" customFormat="false" ht="15" hidden="false" customHeight="false" outlineLevel="0" collapsed="false">
      <c r="A21" s="7" t="s">
        <v>1044</v>
      </c>
      <c r="B21" s="7" t="s">
        <v>1045</v>
      </c>
      <c r="C21" s="8" t="s">
        <v>1046</v>
      </c>
      <c r="D21" s="8" t="s">
        <v>1047</v>
      </c>
      <c r="E21" s="7" t="s">
        <v>921</v>
      </c>
      <c r="F21" s="7" t="s">
        <v>1048</v>
      </c>
      <c r="G21" s="8" t="s">
        <v>1049</v>
      </c>
      <c r="H21" s="8" t="s">
        <v>1032</v>
      </c>
      <c r="I21" s="7" t="s">
        <v>1032</v>
      </c>
      <c r="J21" s="8" t="s">
        <v>1032</v>
      </c>
      <c r="K21" s="8" t="s">
        <v>1050</v>
      </c>
      <c r="L21" s="7" t="n">
        <f aca="false">COUNTIF('Mapa de Serviços'!$J:$J,$A21)</f>
        <v>0</v>
      </c>
      <c r="M21" s="7" t="n">
        <f aca="false">COUNTIF('Mapa de Marcas'!$L:$L,$A21)</f>
        <v>11</v>
      </c>
      <c r="N21" s="7" t="n">
        <f aca="false">COUNTIF('Camadas Programáticas'!$I$15:$I$272,$A21)</f>
        <v>0</v>
      </c>
      <c r="O21" s="7" t="n">
        <f aca="false">COUNTIF(Arquitetura!$E:$E,$A21)</f>
        <v>0</v>
      </c>
    </row>
    <row r="22" customFormat="false" ht="15" hidden="false" customHeight="false" outlineLevel="0" collapsed="false">
      <c r="A22" s="7" t="s">
        <v>720</v>
      </c>
      <c r="B22" s="7" t="s">
        <v>712</v>
      </c>
      <c r="C22" s="8" t="s">
        <v>1051</v>
      </c>
      <c r="D22" s="8" t="s">
        <v>1052</v>
      </c>
      <c r="E22" s="7" t="s">
        <v>1029</v>
      </c>
      <c r="F22" s="7" t="s">
        <v>936</v>
      </c>
      <c r="G22" s="8" t="s">
        <v>1053</v>
      </c>
      <c r="H22" s="8" t="s">
        <v>1054</v>
      </c>
      <c r="I22" s="7" t="s">
        <v>722</v>
      </c>
      <c r="J22" s="8" t="s">
        <v>1007</v>
      </c>
      <c r="K22" s="8" t="s">
        <v>1055</v>
      </c>
      <c r="L22" s="7" t="n">
        <f aca="false">COUNTIF('Mapa de Serviços'!$J:$J,$A22)</f>
        <v>90</v>
      </c>
      <c r="M22" s="7" t="n">
        <f aca="false">COUNTIF('Mapa de Marcas'!$L:$L,$A22)</f>
        <v>41</v>
      </c>
      <c r="N22" s="7" t="n">
        <f aca="false">COUNTIF('Camadas Programáticas'!$I$15:$I$272,$A22)</f>
        <v>0</v>
      </c>
      <c r="O22" s="7" t="n">
        <f aca="false">COUNTIF(Arquitetura!$E:$E,$A22)</f>
        <v>1</v>
      </c>
    </row>
    <row r="23" customFormat="false" ht="15" hidden="false" customHeight="false" outlineLevel="0" collapsed="false">
      <c r="A23" s="7" t="s">
        <v>1056</v>
      </c>
      <c r="B23" s="7" t="s">
        <v>712</v>
      </c>
      <c r="C23" s="8" t="s">
        <v>1057</v>
      </c>
      <c r="D23" s="8" t="s">
        <v>1058</v>
      </c>
      <c r="E23" s="7" t="s">
        <v>1029</v>
      </c>
      <c r="F23" s="7" t="s">
        <v>936</v>
      </c>
      <c r="G23" s="8" t="s">
        <v>1059</v>
      </c>
      <c r="H23" s="8" t="s">
        <v>1060</v>
      </c>
      <c r="I23" s="7" t="s">
        <v>728</v>
      </c>
      <c r="J23" s="8" t="s">
        <v>1061</v>
      </c>
      <c r="K23" s="8" t="s">
        <v>1062</v>
      </c>
      <c r="L23" s="7" t="n">
        <f aca="false">COUNTIF('Mapa de Serviços'!$J:$J,$A23)</f>
        <v>15</v>
      </c>
      <c r="M23" s="7" t="n">
        <f aca="false">COUNTIF('Mapa de Marcas'!$L:$L,$A23)</f>
        <v>0</v>
      </c>
      <c r="N23" s="7" t="n">
        <f aca="false">COUNTIF('Camadas Programáticas'!$I$15:$I$272,$A23)</f>
        <v>0</v>
      </c>
      <c r="O23" s="7" t="n">
        <f aca="false">COUNTIF(Arquitetura!$E:$E,$A23)</f>
        <v>0</v>
      </c>
    </row>
    <row r="24" customFormat="false" ht="15" hidden="false" customHeight="false" outlineLevel="0" collapsed="false">
      <c r="A24" s="7" t="s">
        <v>1063</v>
      </c>
      <c r="B24" s="7" t="s">
        <v>712</v>
      </c>
      <c r="C24" s="8" t="s">
        <v>1064</v>
      </c>
      <c r="D24" s="8" t="s">
        <v>1065</v>
      </c>
      <c r="E24" s="7" t="s">
        <v>1029</v>
      </c>
      <c r="F24" s="7" t="s">
        <v>936</v>
      </c>
      <c r="G24" s="8" t="s">
        <v>1066</v>
      </c>
      <c r="H24" s="8" t="s">
        <v>1067</v>
      </c>
      <c r="I24" s="7" t="s">
        <v>1068</v>
      </c>
      <c r="J24" s="8" t="s">
        <v>1069</v>
      </c>
      <c r="K24" s="8" t="s">
        <v>1070</v>
      </c>
      <c r="L24" s="7" t="n">
        <f aca="false">COUNTIF('Mapa de Serviços'!$J:$J,$A24)</f>
        <v>2</v>
      </c>
      <c r="M24" s="7" t="n">
        <f aca="false">COUNTIF('Mapa de Marcas'!$L:$L,$A24)</f>
        <v>0</v>
      </c>
      <c r="N24" s="7" t="n">
        <f aca="false">COUNTIF('Camadas Programáticas'!$I$15:$I$272,$A24)</f>
        <v>0</v>
      </c>
      <c r="O24" s="7" t="n">
        <f aca="false">COUNTIF(Arquitetura!$E:$E,$A24)</f>
        <v>0</v>
      </c>
    </row>
    <row r="25" customFormat="false" ht="15" hidden="false" customHeight="false" outlineLevel="0" collapsed="false">
      <c r="A25" s="7" t="s">
        <v>1071</v>
      </c>
      <c r="B25" s="7" t="s">
        <v>712</v>
      </c>
      <c r="C25" s="8" t="s">
        <v>1072</v>
      </c>
      <c r="D25" s="8" t="s">
        <v>1073</v>
      </c>
      <c r="E25" s="7" t="s">
        <v>1029</v>
      </c>
      <c r="F25" s="7" t="s">
        <v>936</v>
      </c>
      <c r="G25" s="8" t="s">
        <v>1074</v>
      </c>
      <c r="H25" s="8" t="s">
        <v>1075</v>
      </c>
      <c r="I25" s="7" t="s">
        <v>70</v>
      </c>
      <c r="J25" s="8" t="s">
        <v>1007</v>
      </c>
      <c r="K25" s="8" t="s">
        <v>1076</v>
      </c>
      <c r="L25" s="7" t="n">
        <f aca="false">COUNTIF('Mapa de Serviços'!$J:$J,$A25)</f>
        <v>1</v>
      </c>
      <c r="M25" s="7" t="n">
        <f aca="false">COUNTIF('Mapa de Marcas'!$L:$L,$A25)</f>
        <v>0</v>
      </c>
      <c r="N25" s="7" t="n">
        <f aca="false">COUNTIF('Camadas Programáticas'!$I$15:$I$272,$A25)</f>
        <v>0</v>
      </c>
      <c r="O25" s="7" t="n">
        <f aca="false">COUNTIF(Arquitetura!$E:$E,$A25)</f>
        <v>0</v>
      </c>
    </row>
    <row r="26" customFormat="false" ht="15" hidden="false" customHeight="false" outlineLevel="0" collapsed="false">
      <c r="A26" s="7" t="s">
        <v>618</v>
      </c>
      <c r="B26" s="7" t="s">
        <v>786</v>
      </c>
      <c r="C26" s="8" t="s">
        <v>1077</v>
      </c>
      <c r="D26" s="8" t="s">
        <v>1078</v>
      </c>
      <c r="E26" s="7" t="s">
        <v>928</v>
      </c>
      <c r="F26" s="7" t="s">
        <v>936</v>
      </c>
      <c r="G26" s="8" t="s">
        <v>1079</v>
      </c>
      <c r="H26" s="8" t="s">
        <v>1080</v>
      </c>
      <c r="I26" s="7" t="s">
        <v>70</v>
      </c>
      <c r="J26" s="8" t="s">
        <v>1081</v>
      </c>
      <c r="K26" s="8" t="s">
        <v>1082</v>
      </c>
      <c r="L26" s="7" t="n">
        <f aca="false">COUNTIF('Mapa de Serviços'!$J:$J,$A26)</f>
        <v>0</v>
      </c>
      <c r="M26" s="7" t="n">
        <f aca="false">COUNTIF('Mapa de Marcas'!$L:$L,$A26)</f>
        <v>0</v>
      </c>
      <c r="N26" s="7" t="n">
        <f aca="false">COUNTIF('Camadas Programáticas'!$I$15:$I$272,$A26)</f>
        <v>0</v>
      </c>
      <c r="O26" s="7" t="n">
        <f aca="false">COUNTIF(Arquitetura!$E:$E,$A26)</f>
        <v>8</v>
      </c>
    </row>
    <row r="27" customFormat="false" ht="15" hidden="false" customHeight="false" outlineLevel="0" collapsed="false">
      <c r="A27" s="7" t="s">
        <v>686</v>
      </c>
      <c r="B27" s="7" t="s">
        <v>1083</v>
      </c>
      <c r="C27" s="8" t="s">
        <v>1084</v>
      </c>
      <c r="D27" s="8" t="s">
        <v>1085</v>
      </c>
      <c r="E27" s="7" t="s">
        <v>928</v>
      </c>
      <c r="F27" s="7" t="s">
        <v>944</v>
      </c>
      <c r="G27" s="8" t="s">
        <v>1086</v>
      </c>
      <c r="H27" s="8" t="s">
        <v>1087</v>
      </c>
      <c r="I27" s="7" t="s">
        <v>688</v>
      </c>
      <c r="J27" s="8" t="s">
        <v>1088</v>
      </c>
      <c r="K27" s="8" t="s">
        <v>1089</v>
      </c>
      <c r="L27" s="7" t="n">
        <f aca="false">COUNTIF('Mapa de Serviços'!$J:$J,$A27)</f>
        <v>0</v>
      </c>
      <c r="M27" s="7" t="n">
        <f aca="false">COUNTIF('Mapa de Marcas'!$L:$L,$A27)</f>
        <v>0</v>
      </c>
      <c r="N27" s="7" t="n">
        <f aca="false">COUNTIF('Camadas Programáticas'!$I$15:$I$272,$A27)</f>
        <v>0</v>
      </c>
      <c r="O27" s="7" t="n">
        <f aca="false">COUNTIF(Arquitetura!$E:$E,$A27)</f>
        <v>1</v>
      </c>
    </row>
    <row r="28" customFormat="false" ht="15" hidden="false" customHeight="false" outlineLevel="0" collapsed="false">
      <c r="A28" s="7" t="s">
        <v>792</v>
      </c>
      <c r="B28" s="7" t="s">
        <v>786</v>
      </c>
      <c r="C28" s="8" t="s">
        <v>1090</v>
      </c>
      <c r="D28" s="8" t="s">
        <v>1091</v>
      </c>
      <c r="E28" s="7" t="s">
        <v>943</v>
      </c>
      <c r="F28" s="7" t="s">
        <v>936</v>
      </c>
      <c r="G28" s="8" t="s">
        <v>1092</v>
      </c>
      <c r="H28" s="8" t="s">
        <v>1093</v>
      </c>
      <c r="I28" s="7" t="s">
        <v>794</v>
      </c>
      <c r="J28" s="8" t="s">
        <v>1094</v>
      </c>
      <c r="K28" s="8" t="s">
        <v>1095</v>
      </c>
      <c r="L28" s="7" t="n">
        <f aca="false">COUNTIF('Mapa de Serviços'!$J:$J,$A28)</f>
        <v>0</v>
      </c>
      <c r="M28" s="7" t="n">
        <f aca="false">COUNTIF('Mapa de Marcas'!$L:$L,$A28)</f>
        <v>0</v>
      </c>
      <c r="N28" s="7" t="n">
        <f aca="false">COUNTIF('Camadas Programáticas'!$I$15:$I$272,$A28)</f>
        <v>0</v>
      </c>
      <c r="O28" s="7" t="n">
        <f aca="false">COUNTIF(Arquitetura!$E:$E,$A28)</f>
        <v>5</v>
      </c>
    </row>
  </sheetData>
  <autoFilter ref="A1:O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8"/>
    <col collapsed="false" customWidth="true" hidden="false" outlineLevel="0" max="3" min="3" style="0" width="40"/>
    <col collapsed="false" customWidth="true" hidden="false" outlineLevel="0" max="4" min="4" style="0" width="60"/>
    <col collapsed="false" customWidth="true" hidden="false" outlineLevel="0" max="5" min="5" style="0" width="40"/>
    <col collapsed="false" customWidth="true" hidden="false" outlineLevel="0" max="7" min="6" style="0" width="11"/>
    <col collapsed="false" customWidth="true" hidden="false" outlineLevel="0" max="8" min="8" style="0" width="12"/>
    <col collapsed="false" customWidth="true" hidden="false" outlineLevel="0" max="9" min="9" style="0" width="11"/>
    <col collapsed="false" customWidth="true" hidden="false" outlineLevel="0" max="10" min="10" style="0" width="14"/>
    <col collapsed="false" customWidth="true" hidden="false" outlineLevel="0" max="11" min="11" style="0" width="11"/>
    <col collapsed="false" customWidth="true" hidden="false" outlineLevel="0" max="13" min="12" style="0" width="12"/>
  </cols>
  <sheetData>
    <row r="1" customFormat="false" ht="31.5" hidden="false" customHeight="true" outlineLevel="0" collapsed="false">
      <c r="A1" s="6" t="s">
        <v>1096</v>
      </c>
      <c r="B1" s="6" t="s">
        <v>1097</v>
      </c>
      <c r="C1" s="6" t="s">
        <v>1098</v>
      </c>
      <c r="D1" s="6" t="s">
        <v>1099</v>
      </c>
      <c r="E1" s="6" t="s">
        <v>1100</v>
      </c>
      <c r="F1" s="6" t="s">
        <v>1101</v>
      </c>
      <c r="G1" s="6" t="s">
        <v>1102</v>
      </c>
      <c r="H1" s="6" t="s">
        <v>1103</v>
      </c>
      <c r="I1" s="6" t="s">
        <v>1104</v>
      </c>
      <c r="J1" s="6" t="s">
        <v>1105</v>
      </c>
      <c r="K1" s="6" t="s">
        <v>1106</v>
      </c>
      <c r="L1" s="6" t="s">
        <v>1107</v>
      </c>
      <c r="M1" s="6" t="s">
        <v>1108</v>
      </c>
    </row>
    <row r="2" customFormat="false" ht="35.05" hidden="false" customHeight="false" outlineLevel="0" collapsed="false">
      <c r="A2" s="7" t="s">
        <v>79</v>
      </c>
      <c r="B2" s="7" t="s">
        <v>80</v>
      </c>
      <c r="C2" s="8" t="s">
        <v>1109</v>
      </c>
      <c r="D2" s="8" t="s">
        <v>1110</v>
      </c>
      <c r="E2" s="8" t="s">
        <v>83</v>
      </c>
      <c r="F2" s="7" t="n">
        <f aca="false">COUNTIF('Mapa de Serviços'!$B:$B,$A2)+COUNTIF('Mapa de Marcas'!$D:$D,$A2)</f>
        <v>137</v>
      </c>
      <c r="G2" s="7" t="n">
        <f aca="false">COUNTIFS('Mapa de Serviços'!$B:$B,$A2,'Mapa de Serviços'!$J:$J,"Página pilar")+COUNTIFS('Mapa de Marcas'!$D:$D,$A2,'Mapa de Marcas'!$L:$L,"Página pilar")+COUNTIFS('Mapa de Serviços'!$B:$B,$A2,'Mapa de Serviços'!$J:$J,"Página de subhub")+COUNTIFS('Mapa de Marcas'!$D:$D,$A2,'Mapa de Marcas'!$L:$L,"Página de subhub")+COUNTIFS('Mapa de Serviços'!$B:$B,$A2,'Mapa de Serviços'!$J:$J,"Página de serviço")+COUNTIFS('Mapa de Marcas'!$D:$D,$A2,'Mapa de Marcas'!$L:$L,"Página de serviço")+COUNTIFS('Mapa de Serviços'!$B:$B,$A2,'Mapa de Serviços'!$J:$J,"Página de sistema construtivo")+COUNTIFS('Mapa de Marcas'!$D:$D,$A2,'Mapa de Marcas'!$L:$L,"Página de sistema construtivo")+COUNTIFS('Mapa de Serviços'!$B:$B,$A2,'Mapa de Serviços'!$J:$J,"Página de marca")+COUNTIFS('Mapa de Marcas'!$D:$D,$A2,'Mapa de Marcas'!$L:$L,"Página de marca")+COUNTIFS('Mapa de Serviços'!$B:$B,$A2,'Mapa de Serviços'!$J:$J,"Página local")+COUNTIFS('Mapa de Marcas'!$D:$D,$A2,'Mapa de Marcas'!$L:$L,"Página local")+COUNTIFS('Mapa de Serviços'!$B:$B,$A2,'Mapa de Serviços'!$J:$J,"Página de categoria de marca")+COUNTIFS('Mapa de Marcas'!$D:$D,$A2,'Mapa de Marcas'!$L:$L,"Página de categoria de marca")+COUNTIFS('Mapa de Serviços'!$B:$B,$A2,'Mapa de Serviços'!$J:$J,"Página de marca por serviço")+COUNTIFS('Mapa de Marcas'!$D:$D,$A2,'Mapa de Marcas'!$L:$L,"Página de marca por serviço")+COUNTIFS('Mapa de Serviços'!$B:$B,$A2,'Mapa de Serviços'!$J:$J,"Página de sistema por serviço")+COUNTIFS('Mapa de Marcas'!$D:$D,$A2,'Mapa de Marcas'!$L:$L,"Página de sistema por serviço")</f>
        <v>113</v>
      </c>
      <c r="H2" s="7" t="n">
        <f aca="false">COUNTIFS('Mapa de Serviços'!$B:$B,$A2,'Mapa de Serviços'!$J:$J,"Seção dentro de outra página")+COUNTIFS('Mapa de Marcas'!$D:$D,$A2,'Mapa de Marcas'!$L:$L,"Seção dentro de outra página")+COUNTIFS('Mapa de Serviços'!$B:$B,$A2,'Mapa de Serviços'!$J:$J,"Seção na página da marca")+COUNTIFS('Mapa de Marcas'!$D:$D,$A2,'Mapa de Marcas'!$L:$L,"Seção na página da marca")+COUNTIFS('Mapa de Serviços'!$B:$B,$A2,'Mapa de Serviços'!$J:$J,"Seção na página do sistema")+COUNTIFS('Mapa de Marcas'!$D:$D,$A2,'Mapa de Marcas'!$L:$L,"Seção na página do sistema")+COUNTIFS('Mapa de Serviços'!$B:$B,$A2,'Mapa de Serviços'!$J:$J,"Seção em página de serviço")+COUNTIFS('Mapa de Marcas'!$D:$D,$A2,'Mapa de Marcas'!$L:$L,"Seção em página de serviço")</f>
        <v>2</v>
      </c>
      <c r="I2" s="7" t="n">
        <f aca="false">COUNTIFS('Mapa de Serviços'!$B:$B,$A2,'Mapa de Serviços'!$J:$J,"Artigo de blog")+COUNTIFS('Mapa de Marcas'!$D:$D,$A2,'Mapa de Marcas'!$L:$L,"Artigo de blog")+COUNTIFS('Mapa de Serviços'!$B:$B,$A2,'Mapa de Serviços'!$J:$J,"Guia para download")+COUNTIFS('Mapa de Marcas'!$D:$D,$A2,'Mapa de Marcas'!$L:$L,"Guia para download")+COUNTIFS('Mapa de Serviços'!$B:$B,$A2,'Mapa de Serviços'!$J:$J,"Calculadora")+COUNTIFS('Mapa de Marcas'!$D:$D,$A2,'Mapa de Marcas'!$L:$L,"Calculadora")+COUNTIFS('Mapa de Serviços'!$B:$B,$A2,'Mapa de Serviços'!$J:$J,"Página pilar de conteúdo")+COUNTIFS('Mapa de Marcas'!$D:$D,$A2,'Mapa de Marcas'!$L:$L,"Página pilar de conteúdo")</f>
        <v>14</v>
      </c>
      <c r="J2" s="7" t="n">
        <f aca="false">COUNTIF('Mapa de Marcas'!$D:$D,$A2)</f>
        <v>8</v>
      </c>
      <c r="K2" s="7" t="n">
        <f aca="false">COUNTIFS('Mapa de Serviços'!$B:$B,$A2,'Mapa de Serviços'!$P:$P,"Alta")+COUNTIFS('Mapa de Marcas'!$D:$D,$A2,'Mapa de Marcas'!$Q:$Q,"Alta")</f>
        <v>11</v>
      </c>
      <c r="L2" s="7" t="n">
        <f aca="false">COUNTIFS('Mapa de Serviços'!$B:$B,$A2,'Mapa de Serviços'!$Q:$Q,"Lacuna")+COUNTIFS('Mapa de Marcas'!$D:$D,$A2,'Mapa de Marcas'!$R:$R,"Lacuna")</f>
        <v>0</v>
      </c>
      <c r="M2" s="7" t="n">
        <f aca="false">COUNTIFS('Mapa de Serviços'!$B:$B,$A2,'Mapa de Serviços'!$S:$S,"Aprovar")+COUNTIFS('Mapa de Marcas'!$D:$D,$A2,'Mapa de Marcas'!$T:$T,"Aprovar")</f>
        <v>0</v>
      </c>
    </row>
    <row r="3" customFormat="false" ht="35.05" hidden="false" customHeight="false" outlineLevel="0" collapsed="false">
      <c r="A3" s="7" t="s">
        <v>142</v>
      </c>
      <c r="B3" s="7" t="s">
        <v>143</v>
      </c>
      <c r="C3" s="8" t="s">
        <v>1111</v>
      </c>
      <c r="D3" s="8" t="s">
        <v>1112</v>
      </c>
      <c r="E3" s="8" t="s">
        <v>145</v>
      </c>
      <c r="F3" s="7" t="n">
        <f aca="false">COUNTIF('Mapa de Serviços'!$B:$B,$A3)+COUNTIF('Mapa de Marcas'!$D:$D,$A3)</f>
        <v>155</v>
      </c>
      <c r="G3" s="7" t="n">
        <f aca="false">COUNTIFS('Mapa de Serviços'!$B:$B,$A3,'Mapa de Serviços'!$J:$J,"Página pilar")+COUNTIFS('Mapa de Marcas'!$D:$D,$A3,'Mapa de Marcas'!$L:$L,"Página pilar")+COUNTIFS('Mapa de Serviços'!$B:$B,$A3,'Mapa de Serviços'!$J:$J,"Página de subhub")+COUNTIFS('Mapa de Marcas'!$D:$D,$A3,'Mapa de Marcas'!$L:$L,"Página de subhub")+COUNTIFS('Mapa de Serviços'!$B:$B,$A3,'Mapa de Serviços'!$J:$J,"Página de serviço")+COUNTIFS('Mapa de Marcas'!$D:$D,$A3,'Mapa de Marcas'!$L:$L,"Página de serviço")+COUNTIFS('Mapa de Serviços'!$B:$B,$A3,'Mapa de Serviços'!$J:$J,"Página de sistema construtivo")+COUNTIFS('Mapa de Marcas'!$D:$D,$A3,'Mapa de Marcas'!$L:$L,"Página de sistema construtivo")+COUNTIFS('Mapa de Serviços'!$B:$B,$A3,'Mapa de Serviços'!$J:$J,"Página de marca")+COUNTIFS('Mapa de Marcas'!$D:$D,$A3,'Mapa de Marcas'!$L:$L,"Página de marca")+COUNTIFS('Mapa de Serviços'!$B:$B,$A3,'Mapa de Serviços'!$J:$J,"Página local")+COUNTIFS('Mapa de Marcas'!$D:$D,$A3,'Mapa de Marcas'!$L:$L,"Página local")+COUNTIFS('Mapa de Serviços'!$B:$B,$A3,'Mapa de Serviços'!$J:$J,"Página de categoria de marca")+COUNTIFS('Mapa de Marcas'!$D:$D,$A3,'Mapa de Marcas'!$L:$L,"Página de categoria de marca")+COUNTIFS('Mapa de Serviços'!$B:$B,$A3,'Mapa de Serviços'!$J:$J,"Página de marca por serviço")+COUNTIFS('Mapa de Marcas'!$D:$D,$A3,'Mapa de Marcas'!$L:$L,"Página de marca por serviço")+COUNTIFS('Mapa de Serviços'!$B:$B,$A3,'Mapa de Serviços'!$J:$J,"Página de sistema por serviço")+COUNTIFS('Mapa de Marcas'!$D:$D,$A3,'Mapa de Marcas'!$L:$L,"Página de sistema por serviço")</f>
        <v>126</v>
      </c>
      <c r="H3" s="7" t="n">
        <f aca="false">COUNTIFS('Mapa de Serviços'!$B:$B,$A3,'Mapa de Serviços'!$J:$J,"Seção dentro de outra página")+COUNTIFS('Mapa de Marcas'!$D:$D,$A3,'Mapa de Marcas'!$L:$L,"Seção dentro de outra página")+COUNTIFS('Mapa de Serviços'!$B:$B,$A3,'Mapa de Serviços'!$J:$J,"Seção na página da marca")+COUNTIFS('Mapa de Marcas'!$D:$D,$A3,'Mapa de Marcas'!$L:$L,"Seção na página da marca")+COUNTIFS('Mapa de Serviços'!$B:$B,$A3,'Mapa de Serviços'!$J:$J,"Seção na página do sistema")+COUNTIFS('Mapa de Marcas'!$D:$D,$A3,'Mapa de Marcas'!$L:$L,"Seção na página do sistema")+COUNTIFS('Mapa de Serviços'!$B:$B,$A3,'Mapa de Serviços'!$J:$J,"Seção em página de serviço")+COUNTIFS('Mapa de Marcas'!$D:$D,$A3,'Mapa de Marcas'!$L:$L,"Seção em página de serviço")</f>
        <v>2</v>
      </c>
      <c r="I3" s="7" t="n">
        <f aca="false">COUNTIFS('Mapa de Serviços'!$B:$B,$A3,'Mapa de Serviços'!$J:$J,"Artigo de blog")+COUNTIFS('Mapa de Marcas'!$D:$D,$A3,'Mapa de Marcas'!$L:$L,"Artigo de blog")+COUNTIFS('Mapa de Serviços'!$B:$B,$A3,'Mapa de Serviços'!$J:$J,"Guia para download")+COUNTIFS('Mapa de Marcas'!$D:$D,$A3,'Mapa de Marcas'!$L:$L,"Guia para download")+COUNTIFS('Mapa de Serviços'!$B:$B,$A3,'Mapa de Serviços'!$J:$J,"Calculadora")+COUNTIFS('Mapa de Marcas'!$D:$D,$A3,'Mapa de Marcas'!$L:$L,"Calculadora")+COUNTIFS('Mapa de Serviços'!$B:$B,$A3,'Mapa de Serviços'!$J:$J,"Página pilar de conteúdo")+COUNTIFS('Mapa de Marcas'!$D:$D,$A3,'Mapa de Marcas'!$L:$L,"Página pilar de conteúdo")</f>
        <v>22</v>
      </c>
      <c r="J3" s="7" t="n">
        <f aca="false">COUNTIF('Mapa de Marcas'!$D:$D,$A3)</f>
        <v>13</v>
      </c>
      <c r="K3" s="7" t="n">
        <f aca="false">COUNTIFS('Mapa de Serviços'!$B:$B,$A3,'Mapa de Serviços'!$P:$P,"Alta")+COUNTIFS('Mapa de Marcas'!$D:$D,$A3,'Mapa de Marcas'!$Q:$Q,"Alta")</f>
        <v>14</v>
      </c>
      <c r="L3" s="7" t="n">
        <f aca="false">COUNTIFS('Mapa de Serviços'!$B:$B,$A3,'Mapa de Serviços'!$Q:$Q,"Lacuna")+COUNTIFS('Mapa de Marcas'!$D:$D,$A3,'Mapa de Marcas'!$R:$R,"Lacuna")</f>
        <v>2</v>
      </c>
      <c r="M3" s="7" t="n">
        <f aca="false">COUNTIFS('Mapa de Serviços'!$B:$B,$A3,'Mapa de Serviços'!$S:$S,"Aprovar")+COUNTIFS('Mapa de Marcas'!$D:$D,$A3,'Mapa de Marcas'!$T:$T,"Aprovar")</f>
        <v>0</v>
      </c>
    </row>
    <row r="4" customFormat="false" ht="23.85" hidden="false" customHeight="false" outlineLevel="0" collapsed="false">
      <c r="A4" s="7" t="s">
        <v>182</v>
      </c>
      <c r="B4" s="7" t="s">
        <v>183</v>
      </c>
      <c r="C4" s="8" t="s">
        <v>1113</v>
      </c>
      <c r="D4" s="8" t="s">
        <v>1114</v>
      </c>
      <c r="E4" s="8" t="s">
        <v>185</v>
      </c>
      <c r="F4" s="7" t="n">
        <f aca="false">COUNTIF('Mapa de Serviços'!$B:$B,$A4)+COUNTIF('Mapa de Marcas'!$D:$D,$A4)</f>
        <v>132</v>
      </c>
      <c r="G4" s="7" t="n">
        <f aca="false">COUNTIFS('Mapa de Serviços'!$B:$B,$A4,'Mapa de Serviços'!$J:$J,"Página pilar")+COUNTIFS('Mapa de Marcas'!$D:$D,$A4,'Mapa de Marcas'!$L:$L,"Página pilar")+COUNTIFS('Mapa de Serviços'!$B:$B,$A4,'Mapa de Serviços'!$J:$J,"Página de subhub")+COUNTIFS('Mapa de Marcas'!$D:$D,$A4,'Mapa de Marcas'!$L:$L,"Página de subhub")+COUNTIFS('Mapa de Serviços'!$B:$B,$A4,'Mapa de Serviços'!$J:$J,"Página de serviço")+COUNTIFS('Mapa de Marcas'!$D:$D,$A4,'Mapa de Marcas'!$L:$L,"Página de serviço")+COUNTIFS('Mapa de Serviços'!$B:$B,$A4,'Mapa de Serviços'!$J:$J,"Página de sistema construtivo")+COUNTIFS('Mapa de Marcas'!$D:$D,$A4,'Mapa de Marcas'!$L:$L,"Página de sistema construtivo")+COUNTIFS('Mapa de Serviços'!$B:$B,$A4,'Mapa de Serviços'!$J:$J,"Página de marca")+COUNTIFS('Mapa de Marcas'!$D:$D,$A4,'Mapa de Marcas'!$L:$L,"Página de marca")+COUNTIFS('Mapa de Serviços'!$B:$B,$A4,'Mapa de Serviços'!$J:$J,"Página local")+COUNTIFS('Mapa de Marcas'!$D:$D,$A4,'Mapa de Marcas'!$L:$L,"Página local")+COUNTIFS('Mapa de Serviços'!$B:$B,$A4,'Mapa de Serviços'!$J:$J,"Página de categoria de marca")+COUNTIFS('Mapa de Marcas'!$D:$D,$A4,'Mapa de Marcas'!$L:$L,"Página de categoria de marca")+COUNTIFS('Mapa de Serviços'!$B:$B,$A4,'Mapa de Serviços'!$J:$J,"Página de marca por serviço")+COUNTIFS('Mapa de Marcas'!$D:$D,$A4,'Mapa de Marcas'!$L:$L,"Página de marca por serviço")+COUNTIFS('Mapa de Serviços'!$B:$B,$A4,'Mapa de Serviços'!$J:$J,"Página de sistema por serviço")+COUNTIFS('Mapa de Marcas'!$D:$D,$A4,'Mapa de Marcas'!$L:$L,"Página de sistema por serviço")</f>
        <v>114</v>
      </c>
      <c r="H4" s="7" t="n">
        <f aca="false">COUNTIFS('Mapa de Serviços'!$B:$B,$A4,'Mapa de Serviços'!$J:$J,"Seção dentro de outra página")+COUNTIFS('Mapa de Marcas'!$D:$D,$A4,'Mapa de Marcas'!$L:$L,"Seção dentro de outra página")+COUNTIFS('Mapa de Serviços'!$B:$B,$A4,'Mapa de Serviços'!$J:$J,"Seção na página da marca")+COUNTIFS('Mapa de Marcas'!$D:$D,$A4,'Mapa de Marcas'!$L:$L,"Seção na página da marca")+COUNTIFS('Mapa de Serviços'!$B:$B,$A4,'Mapa de Serviços'!$J:$J,"Seção na página do sistema")+COUNTIFS('Mapa de Marcas'!$D:$D,$A4,'Mapa de Marcas'!$L:$L,"Seção na página do sistema")+COUNTIFS('Mapa de Serviços'!$B:$B,$A4,'Mapa de Serviços'!$J:$J,"Seção em página de serviço")+COUNTIFS('Mapa de Marcas'!$D:$D,$A4,'Mapa de Marcas'!$L:$L,"Seção em página de serviço")</f>
        <v>7</v>
      </c>
      <c r="I4" s="7" t="n">
        <f aca="false">COUNTIFS('Mapa de Serviços'!$B:$B,$A4,'Mapa de Serviços'!$J:$J,"Artigo de blog")+COUNTIFS('Mapa de Marcas'!$D:$D,$A4,'Mapa de Marcas'!$L:$L,"Artigo de blog")+COUNTIFS('Mapa de Serviços'!$B:$B,$A4,'Mapa de Serviços'!$J:$J,"Guia para download")+COUNTIFS('Mapa de Marcas'!$D:$D,$A4,'Mapa de Marcas'!$L:$L,"Guia para download")+COUNTIFS('Mapa de Serviços'!$B:$B,$A4,'Mapa de Serviços'!$J:$J,"Calculadora")+COUNTIFS('Mapa de Marcas'!$D:$D,$A4,'Mapa de Marcas'!$L:$L,"Calculadora")+COUNTIFS('Mapa de Serviços'!$B:$B,$A4,'Mapa de Serviços'!$J:$J,"Página pilar de conteúdo")+COUNTIFS('Mapa de Marcas'!$D:$D,$A4,'Mapa de Marcas'!$L:$L,"Página pilar de conteúdo")</f>
        <v>11</v>
      </c>
      <c r="J4" s="7" t="n">
        <f aca="false">COUNTIF('Mapa de Marcas'!$D:$D,$A4)</f>
        <v>6</v>
      </c>
      <c r="K4" s="7" t="n">
        <f aca="false">COUNTIFS('Mapa de Serviços'!$B:$B,$A4,'Mapa de Serviços'!$P:$P,"Alta")+COUNTIFS('Mapa de Marcas'!$D:$D,$A4,'Mapa de Marcas'!$Q:$Q,"Alta")</f>
        <v>19</v>
      </c>
      <c r="L4" s="7" t="n">
        <f aca="false">COUNTIFS('Mapa de Serviços'!$B:$B,$A4,'Mapa de Serviços'!$Q:$Q,"Lacuna")+COUNTIFS('Mapa de Marcas'!$D:$D,$A4,'Mapa de Marcas'!$R:$R,"Lacuna")</f>
        <v>0</v>
      </c>
      <c r="M4" s="7" t="n">
        <f aca="false">COUNTIFS('Mapa de Serviços'!$B:$B,$A4,'Mapa de Serviços'!$S:$S,"Aprovar")+COUNTIFS('Mapa de Marcas'!$D:$D,$A4,'Mapa de Marcas'!$T:$T,"Aprovar")</f>
        <v>0</v>
      </c>
    </row>
    <row r="5" customFormat="false" ht="23.85" hidden="false" customHeight="false" outlineLevel="0" collapsed="false">
      <c r="A5" s="7" t="s">
        <v>231</v>
      </c>
      <c r="B5" s="7" t="s">
        <v>232</v>
      </c>
      <c r="C5" s="8" t="s">
        <v>1115</v>
      </c>
      <c r="D5" s="8" t="s">
        <v>1116</v>
      </c>
      <c r="E5" s="8" t="s">
        <v>234</v>
      </c>
      <c r="F5" s="7" t="n">
        <f aca="false">COUNTIF('Mapa de Serviços'!$B:$B,$A5)+COUNTIF('Mapa de Marcas'!$D:$D,$A5)</f>
        <v>130</v>
      </c>
      <c r="G5" s="7" t="n">
        <f aca="false">COUNTIFS('Mapa de Serviços'!$B:$B,$A5,'Mapa de Serviços'!$J:$J,"Página pilar")+COUNTIFS('Mapa de Marcas'!$D:$D,$A5,'Mapa de Marcas'!$L:$L,"Página pilar")+COUNTIFS('Mapa de Serviços'!$B:$B,$A5,'Mapa de Serviços'!$J:$J,"Página de subhub")+COUNTIFS('Mapa de Marcas'!$D:$D,$A5,'Mapa de Marcas'!$L:$L,"Página de subhub")+COUNTIFS('Mapa de Serviços'!$B:$B,$A5,'Mapa de Serviços'!$J:$J,"Página de serviço")+COUNTIFS('Mapa de Marcas'!$D:$D,$A5,'Mapa de Marcas'!$L:$L,"Página de serviço")+COUNTIFS('Mapa de Serviços'!$B:$B,$A5,'Mapa de Serviços'!$J:$J,"Página de sistema construtivo")+COUNTIFS('Mapa de Marcas'!$D:$D,$A5,'Mapa de Marcas'!$L:$L,"Página de sistema construtivo")+COUNTIFS('Mapa de Serviços'!$B:$B,$A5,'Mapa de Serviços'!$J:$J,"Página de marca")+COUNTIFS('Mapa de Marcas'!$D:$D,$A5,'Mapa de Marcas'!$L:$L,"Página de marca")+COUNTIFS('Mapa de Serviços'!$B:$B,$A5,'Mapa de Serviços'!$J:$J,"Página local")+COUNTIFS('Mapa de Marcas'!$D:$D,$A5,'Mapa de Marcas'!$L:$L,"Página local")+COUNTIFS('Mapa de Serviços'!$B:$B,$A5,'Mapa de Serviços'!$J:$J,"Página de categoria de marca")+COUNTIFS('Mapa de Marcas'!$D:$D,$A5,'Mapa de Marcas'!$L:$L,"Página de categoria de marca")+COUNTIFS('Mapa de Serviços'!$B:$B,$A5,'Mapa de Serviços'!$J:$J,"Página de marca por serviço")+COUNTIFS('Mapa de Marcas'!$D:$D,$A5,'Mapa de Marcas'!$L:$L,"Página de marca por serviço")+COUNTIFS('Mapa de Serviços'!$B:$B,$A5,'Mapa de Serviços'!$J:$J,"Página de sistema por serviço")+COUNTIFS('Mapa de Marcas'!$D:$D,$A5,'Mapa de Marcas'!$L:$L,"Página de sistema por serviço")</f>
        <v>92</v>
      </c>
      <c r="H5" s="7" t="n">
        <f aca="false">COUNTIFS('Mapa de Serviços'!$B:$B,$A5,'Mapa de Serviços'!$J:$J,"Seção dentro de outra página")+COUNTIFS('Mapa de Marcas'!$D:$D,$A5,'Mapa de Marcas'!$L:$L,"Seção dentro de outra página")+COUNTIFS('Mapa de Serviços'!$B:$B,$A5,'Mapa de Serviços'!$J:$J,"Seção na página da marca")+COUNTIFS('Mapa de Marcas'!$D:$D,$A5,'Mapa de Marcas'!$L:$L,"Seção na página da marca")+COUNTIFS('Mapa de Serviços'!$B:$B,$A5,'Mapa de Serviços'!$J:$J,"Seção na página do sistema")+COUNTIFS('Mapa de Marcas'!$D:$D,$A5,'Mapa de Marcas'!$L:$L,"Seção na página do sistema")+COUNTIFS('Mapa de Serviços'!$B:$B,$A5,'Mapa de Serviços'!$J:$J,"Seção em página de serviço")+COUNTIFS('Mapa de Marcas'!$D:$D,$A5,'Mapa de Marcas'!$L:$L,"Seção em página de serviço")</f>
        <v>22</v>
      </c>
      <c r="I5" s="7" t="n">
        <f aca="false">COUNTIFS('Mapa de Serviços'!$B:$B,$A5,'Mapa de Serviços'!$J:$J,"Artigo de blog")+COUNTIFS('Mapa de Marcas'!$D:$D,$A5,'Mapa de Marcas'!$L:$L,"Artigo de blog")+COUNTIFS('Mapa de Serviços'!$B:$B,$A5,'Mapa de Serviços'!$J:$J,"Guia para download")+COUNTIFS('Mapa de Marcas'!$D:$D,$A5,'Mapa de Marcas'!$L:$L,"Guia para download")+COUNTIFS('Mapa de Serviços'!$B:$B,$A5,'Mapa de Serviços'!$J:$J,"Calculadora")+COUNTIFS('Mapa de Marcas'!$D:$D,$A5,'Mapa de Marcas'!$L:$L,"Calculadora")+COUNTIFS('Mapa de Serviços'!$B:$B,$A5,'Mapa de Serviços'!$J:$J,"Página pilar de conteúdo")+COUNTIFS('Mapa de Marcas'!$D:$D,$A5,'Mapa de Marcas'!$L:$L,"Página pilar de conteúdo")</f>
        <v>16</v>
      </c>
      <c r="J5" s="7" t="n">
        <f aca="false">COUNTIF('Mapa de Marcas'!$D:$D,$A5)</f>
        <v>32</v>
      </c>
      <c r="K5" s="7" t="n">
        <f aca="false">COUNTIFS('Mapa de Serviços'!$B:$B,$A5,'Mapa de Serviços'!$P:$P,"Alta")+COUNTIFS('Mapa de Marcas'!$D:$D,$A5,'Mapa de Marcas'!$Q:$Q,"Alta")</f>
        <v>17</v>
      </c>
      <c r="L5" s="7" t="n">
        <f aca="false">COUNTIFS('Mapa de Serviços'!$B:$B,$A5,'Mapa de Serviços'!$Q:$Q,"Lacuna")+COUNTIFS('Mapa de Marcas'!$D:$D,$A5,'Mapa de Marcas'!$R:$R,"Lacuna")</f>
        <v>42</v>
      </c>
      <c r="M5" s="7" t="n">
        <f aca="false">COUNTIFS('Mapa de Serviços'!$B:$B,$A5,'Mapa de Serviços'!$S:$S,"Aprovar")+COUNTIFS('Mapa de Marcas'!$D:$D,$A5,'Mapa de Marcas'!$T:$T,"Aprovar")</f>
        <v>0</v>
      </c>
    </row>
    <row r="6" customFormat="false" ht="23.85" hidden="false" customHeight="false" outlineLevel="0" collapsed="false">
      <c r="A6" s="7" t="s">
        <v>265</v>
      </c>
      <c r="B6" s="7" t="s">
        <v>266</v>
      </c>
      <c r="C6" s="8" t="s">
        <v>1117</v>
      </c>
      <c r="D6" s="8" t="s">
        <v>1118</v>
      </c>
      <c r="E6" s="8" t="s">
        <v>268</v>
      </c>
      <c r="F6" s="7" t="n">
        <f aca="false">COUNTIF('Mapa de Serviços'!$B:$B,$A6)+COUNTIF('Mapa de Marcas'!$D:$D,$A6)</f>
        <v>86</v>
      </c>
      <c r="G6" s="7" t="n">
        <f aca="false">COUNTIFS('Mapa de Serviços'!$B:$B,$A6,'Mapa de Serviços'!$J:$J,"Página pilar")+COUNTIFS('Mapa de Marcas'!$D:$D,$A6,'Mapa de Marcas'!$L:$L,"Página pilar")+COUNTIFS('Mapa de Serviços'!$B:$B,$A6,'Mapa de Serviços'!$J:$J,"Página de subhub")+COUNTIFS('Mapa de Marcas'!$D:$D,$A6,'Mapa de Marcas'!$L:$L,"Página de subhub")+COUNTIFS('Mapa de Serviços'!$B:$B,$A6,'Mapa de Serviços'!$J:$J,"Página de serviço")+COUNTIFS('Mapa de Marcas'!$D:$D,$A6,'Mapa de Marcas'!$L:$L,"Página de serviço")+COUNTIFS('Mapa de Serviços'!$B:$B,$A6,'Mapa de Serviços'!$J:$J,"Página de sistema construtivo")+COUNTIFS('Mapa de Marcas'!$D:$D,$A6,'Mapa de Marcas'!$L:$L,"Página de sistema construtivo")+COUNTIFS('Mapa de Serviços'!$B:$B,$A6,'Mapa de Serviços'!$J:$J,"Página de marca")+COUNTIFS('Mapa de Marcas'!$D:$D,$A6,'Mapa de Marcas'!$L:$L,"Página de marca")+COUNTIFS('Mapa de Serviços'!$B:$B,$A6,'Mapa de Serviços'!$J:$J,"Página local")+COUNTIFS('Mapa de Marcas'!$D:$D,$A6,'Mapa de Marcas'!$L:$L,"Página local")+COUNTIFS('Mapa de Serviços'!$B:$B,$A6,'Mapa de Serviços'!$J:$J,"Página de categoria de marca")+COUNTIFS('Mapa de Marcas'!$D:$D,$A6,'Mapa de Marcas'!$L:$L,"Página de categoria de marca")+COUNTIFS('Mapa de Serviços'!$B:$B,$A6,'Mapa de Serviços'!$J:$J,"Página de marca por serviço")+COUNTIFS('Mapa de Marcas'!$D:$D,$A6,'Mapa de Marcas'!$L:$L,"Página de marca por serviço")+COUNTIFS('Mapa de Serviços'!$B:$B,$A6,'Mapa de Serviços'!$J:$J,"Página de sistema por serviço")+COUNTIFS('Mapa de Marcas'!$D:$D,$A6,'Mapa de Marcas'!$L:$L,"Página de sistema por serviço")</f>
        <v>64</v>
      </c>
      <c r="H6" s="7" t="n">
        <f aca="false">COUNTIFS('Mapa de Serviços'!$B:$B,$A6,'Mapa de Serviços'!$J:$J,"Seção dentro de outra página")+COUNTIFS('Mapa de Marcas'!$D:$D,$A6,'Mapa de Marcas'!$L:$L,"Seção dentro de outra página")+COUNTIFS('Mapa de Serviços'!$B:$B,$A6,'Mapa de Serviços'!$J:$J,"Seção na página da marca")+COUNTIFS('Mapa de Marcas'!$D:$D,$A6,'Mapa de Marcas'!$L:$L,"Seção na página da marca")+COUNTIFS('Mapa de Serviços'!$B:$B,$A6,'Mapa de Serviços'!$J:$J,"Seção na página do sistema")+COUNTIFS('Mapa de Marcas'!$D:$D,$A6,'Mapa de Marcas'!$L:$L,"Seção na página do sistema")+COUNTIFS('Mapa de Serviços'!$B:$B,$A6,'Mapa de Serviços'!$J:$J,"Seção em página de serviço")+COUNTIFS('Mapa de Marcas'!$D:$D,$A6,'Mapa de Marcas'!$L:$L,"Seção em página de serviço")</f>
        <v>8</v>
      </c>
      <c r="I6" s="7" t="n">
        <f aca="false">COUNTIFS('Mapa de Serviços'!$B:$B,$A6,'Mapa de Serviços'!$J:$J,"Artigo de blog")+COUNTIFS('Mapa de Marcas'!$D:$D,$A6,'Mapa de Marcas'!$L:$L,"Artigo de blog")+COUNTIFS('Mapa de Serviços'!$B:$B,$A6,'Mapa de Serviços'!$J:$J,"Guia para download")+COUNTIFS('Mapa de Marcas'!$D:$D,$A6,'Mapa de Marcas'!$L:$L,"Guia para download")+COUNTIFS('Mapa de Serviços'!$B:$B,$A6,'Mapa de Serviços'!$J:$J,"Calculadora")+COUNTIFS('Mapa de Marcas'!$D:$D,$A6,'Mapa de Marcas'!$L:$L,"Calculadora")+COUNTIFS('Mapa de Serviços'!$B:$B,$A6,'Mapa de Serviços'!$J:$J,"Página pilar de conteúdo")+COUNTIFS('Mapa de Marcas'!$D:$D,$A6,'Mapa de Marcas'!$L:$L,"Página pilar de conteúdo")</f>
        <v>11</v>
      </c>
      <c r="J6" s="7" t="n">
        <f aca="false">COUNTIF('Mapa de Marcas'!$D:$D,$A6)</f>
        <v>27</v>
      </c>
      <c r="K6" s="7" t="n">
        <f aca="false">COUNTIFS('Mapa de Serviços'!$B:$B,$A6,'Mapa de Serviços'!$P:$P,"Alta")+COUNTIFS('Mapa de Marcas'!$D:$D,$A6,'Mapa de Marcas'!$Q:$Q,"Alta")</f>
        <v>10</v>
      </c>
      <c r="L6" s="7" t="n">
        <f aca="false">COUNTIFS('Mapa de Serviços'!$B:$B,$A6,'Mapa de Serviços'!$Q:$Q,"Lacuna")+COUNTIFS('Mapa de Marcas'!$D:$D,$A6,'Mapa de Marcas'!$R:$R,"Lacuna")</f>
        <v>1</v>
      </c>
      <c r="M6" s="7" t="n">
        <f aca="false">COUNTIFS('Mapa de Serviços'!$B:$B,$A6,'Mapa de Serviços'!$S:$S,"Aprovar")+COUNTIFS('Mapa de Marcas'!$D:$D,$A6,'Mapa de Marcas'!$T:$T,"Aprovar")</f>
        <v>0</v>
      </c>
    </row>
    <row r="7" customFormat="false" ht="23.85" hidden="false" customHeight="false" outlineLevel="0" collapsed="false">
      <c r="A7" s="7" t="s">
        <v>291</v>
      </c>
      <c r="B7" s="7" t="s">
        <v>292</v>
      </c>
      <c r="C7" s="8" t="s">
        <v>1119</v>
      </c>
      <c r="D7" s="8" t="s">
        <v>1120</v>
      </c>
      <c r="E7" s="8" t="s">
        <v>294</v>
      </c>
      <c r="F7" s="7" t="n">
        <f aca="false">COUNTIF('Mapa de Serviços'!$B:$B,$A7)+COUNTIF('Mapa de Marcas'!$D:$D,$A7)</f>
        <v>58</v>
      </c>
      <c r="G7" s="7" t="n">
        <f aca="false">COUNTIFS('Mapa de Serviços'!$B:$B,$A7,'Mapa de Serviços'!$J:$J,"Página pilar")+COUNTIFS('Mapa de Marcas'!$D:$D,$A7,'Mapa de Marcas'!$L:$L,"Página pilar")+COUNTIFS('Mapa de Serviços'!$B:$B,$A7,'Mapa de Serviços'!$J:$J,"Página de subhub")+COUNTIFS('Mapa de Marcas'!$D:$D,$A7,'Mapa de Marcas'!$L:$L,"Página de subhub")+COUNTIFS('Mapa de Serviços'!$B:$B,$A7,'Mapa de Serviços'!$J:$J,"Página de serviço")+COUNTIFS('Mapa de Marcas'!$D:$D,$A7,'Mapa de Marcas'!$L:$L,"Página de serviço")+COUNTIFS('Mapa de Serviços'!$B:$B,$A7,'Mapa de Serviços'!$J:$J,"Página de sistema construtivo")+COUNTIFS('Mapa de Marcas'!$D:$D,$A7,'Mapa de Marcas'!$L:$L,"Página de sistema construtivo")+COUNTIFS('Mapa de Serviços'!$B:$B,$A7,'Mapa de Serviços'!$J:$J,"Página de marca")+COUNTIFS('Mapa de Marcas'!$D:$D,$A7,'Mapa de Marcas'!$L:$L,"Página de marca")+COUNTIFS('Mapa de Serviços'!$B:$B,$A7,'Mapa de Serviços'!$J:$J,"Página local")+COUNTIFS('Mapa de Marcas'!$D:$D,$A7,'Mapa de Marcas'!$L:$L,"Página local")+COUNTIFS('Mapa de Serviços'!$B:$B,$A7,'Mapa de Serviços'!$J:$J,"Página de categoria de marca")+COUNTIFS('Mapa de Marcas'!$D:$D,$A7,'Mapa de Marcas'!$L:$L,"Página de categoria de marca")+COUNTIFS('Mapa de Serviços'!$B:$B,$A7,'Mapa de Serviços'!$J:$J,"Página de marca por serviço")+COUNTIFS('Mapa de Marcas'!$D:$D,$A7,'Mapa de Marcas'!$L:$L,"Página de marca por serviço")+COUNTIFS('Mapa de Serviços'!$B:$B,$A7,'Mapa de Serviços'!$J:$J,"Página de sistema por serviço")+COUNTIFS('Mapa de Marcas'!$D:$D,$A7,'Mapa de Marcas'!$L:$L,"Página de sistema por serviço")</f>
        <v>44</v>
      </c>
      <c r="H7" s="7" t="n">
        <f aca="false">COUNTIFS('Mapa de Serviços'!$B:$B,$A7,'Mapa de Serviços'!$J:$J,"Seção dentro de outra página")+COUNTIFS('Mapa de Marcas'!$D:$D,$A7,'Mapa de Marcas'!$L:$L,"Seção dentro de outra página")+COUNTIFS('Mapa de Serviços'!$B:$B,$A7,'Mapa de Serviços'!$J:$J,"Seção na página da marca")+COUNTIFS('Mapa de Marcas'!$D:$D,$A7,'Mapa de Marcas'!$L:$L,"Seção na página da marca")+COUNTIFS('Mapa de Serviços'!$B:$B,$A7,'Mapa de Serviços'!$J:$J,"Seção na página do sistema")+COUNTIFS('Mapa de Marcas'!$D:$D,$A7,'Mapa de Marcas'!$L:$L,"Seção na página do sistema")+COUNTIFS('Mapa de Serviços'!$B:$B,$A7,'Mapa de Serviços'!$J:$J,"Seção em página de serviço")+COUNTIFS('Mapa de Marcas'!$D:$D,$A7,'Mapa de Marcas'!$L:$L,"Seção em página de serviço")</f>
        <v>5</v>
      </c>
      <c r="I7" s="7" t="n">
        <f aca="false">COUNTIFS('Mapa de Serviços'!$B:$B,$A7,'Mapa de Serviços'!$J:$J,"Artigo de blog")+COUNTIFS('Mapa de Marcas'!$D:$D,$A7,'Mapa de Marcas'!$L:$L,"Artigo de blog")+COUNTIFS('Mapa de Serviços'!$B:$B,$A7,'Mapa de Serviços'!$J:$J,"Guia para download")+COUNTIFS('Mapa de Marcas'!$D:$D,$A7,'Mapa de Marcas'!$L:$L,"Guia para download")+COUNTIFS('Mapa de Serviços'!$B:$B,$A7,'Mapa de Serviços'!$J:$J,"Calculadora")+COUNTIFS('Mapa de Marcas'!$D:$D,$A7,'Mapa de Marcas'!$L:$L,"Calculadora")+COUNTIFS('Mapa de Serviços'!$B:$B,$A7,'Mapa de Serviços'!$J:$J,"Página pilar de conteúdo")+COUNTIFS('Mapa de Marcas'!$D:$D,$A7,'Mapa de Marcas'!$L:$L,"Página pilar de conteúdo")</f>
        <v>7</v>
      </c>
      <c r="J7" s="7" t="n">
        <f aca="false">COUNTIF('Mapa de Marcas'!$D:$D,$A7)</f>
        <v>15</v>
      </c>
      <c r="K7" s="7" t="n">
        <f aca="false">COUNTIFS('Mapa de Serviços'!$B:$B,$A7,'Mapa de Serviços'!$P:$P,"Alta")+COUNTIFS('Mapa de Marcas'!$D:$D,$A7,'Mapa de Marcas'!$Q:$Q,"Alta")</f>
        <v>5</v>
      </c>
      <c r="L7" s="7" t="n">
        <f aca="false">COUNTIFS('Mapa de Serviços'!$B:$B,$A7,'Mapa de Serviços'!$Q:$Q,"Lacuna")+COUNTIFS('Mapa de Marcas'!$D:$D,$A7,'Mapa de Marcas'!$R:$R,"Lacuna")</f>
        <v>1</v>
      </c>
      <c r="M7" s="7" t="n">
        <f aca="false">COUNTIFS('Mapa de Serviços'!$B:$B,$A7,'Mapa de Serviços'!$S:$S,"Aprovar")+COUNTIFS('Mapa de Marcas'!$D:$D,$A7,'Mapa de Marcas'!$T:$T,"Aprovar")</f>
        <v>0</v>
      </c>
    </row>
    <row r="8" customFormat="false" ht="35.05" hidden="false" customHeight="false" outlineLevel="0" collapsed="false">
      <c r="A8" s="7" t="s">
        <v>309</v>
      </c>
      <c r="B8" s="7" t="s">
        <v>310</v>
      </c>
      <c r="C8" s="8" t="s">
        <v>1121</v>
      </c>
      <c r="D8" s="8" t="s">
        <v>1122</v>
      </c>
      <c r="E8" s="8" t="s">
        <v>312</v>
      </c>
      <c r="F8" s="7" t="n">
        <f aca="false">COUNTIF('Mapa de Serviços'!$B:$B,$A8)+COUNTIF('Mapa de Marcas'!$D:$D,$A8)</f>
        <v>85</v>
      </c>
      <c r="G8" s="7" t="n">
        <f aca="false">COUNTIFS('Mapa de Serviços'!$B:$B,$A8,'Mapa de Serviços'!$J:$J,"Página pilar")+COUNTIFS('Mapa de Marcas'!$D:$D,$A8,'Mapa de Marcas'!$L:$L,"Página pilar")+COUNTIFS('Mapa de Serviços'!$B:$B,$A8,'Mapa de Serviços'!$J:$J,"Página de subhub")+COUNTIFS('Mapa de Marcas'!$D:$D,$A8,'Mapa de Marcas'!$L:$L,"Página de subhub")+COUNTIFS('Mapa de Serviços'!$B:$B,$A8,'Mapa de Serviços'!$J:$J,"Página de serviço")+COUNTIFS('Mapa de Marcas'!$D:$D,$A8,'Mapa de Marcas'!$L:$L,"Página de serviço")+COUNTIFS('Mapa de Serviços'!$B:$B,$A8,'Mapa de Serviços'!$J:$J,"Página de sistema construtivo")+COUNTIFS('Mapa de Marcas'!$D:$D,$A8,'Mapa de Marcas'!$L:$L,"Página de sistema construtivo")+COUNTIFS('Mapa de Serviços'!$B:$B,$A8,'Mapa de Serviços'!$J:$J,"Página de marca")+COUNTIFS('Mapa de Marcas'!$D:$D,$A8,'Mapa de Marcas'!$L:$L,"Página de marca")+COUNTIFS('Mapa de Serviços'!$B:$B,$A8,'Mapa de Serviços'!$J:$J,"Página local")+COUNTIFS('Mapa de Marcas'!$D:$D,$A8,'Mapa de Marcas'!$L:$L,"Página local")+COUNTIFS('Mapa de Serviços'!$B:$B,$A8,'Mapa de Serviços'!$J:$J,"Página de categoria de marca")+COUNTIFS('Mapa de Marcas'!$D:$D,$A8,'Mapa de Marcas'!$L:$L,"Página de categoria de marca")+COUNTIFS('Mapa de Serviços'!$B:$B,$A8,'Mapa de Serviços'!$J:$J,"Página de marca por serviço")+COUNTIFS('Mapa de Marcas'!$D:$D,$A8,'Mapa de Marcas'!$L:$L,"Página de marca por serviço")+COUNTIFS('Mapa de Serviços'!$B:$B,$A8,'Mapa de Serviços'!$J:$J,"Página de sistema por serviço")+COUNTIFS('Mapa de Marcas'!$D:$D,$A8,'Mapa de Marcas'!$L:$L,"Página de sistema por serviço")</f>
        <v>64</v>
      </c>
      <c r="H8" s="7" t="n">
        <f aca="false">COUNTIFS('Mapa de Serviços'!$B:$B,$A8,'Mapa de Serviços'!$J:$J,"Seção dentro de outra página")+COUNTIFS('Mapa de Marcas'!$D:$D,$A8,'Mapa de Marcas'!$L:$L,"Seção dentro de outra página")+COUNTIFS('Mapa de Serviços'!$B:$B,$A8,'Mapa de Serviços'!$J:$J,"Seção na página da marca")+COUNTIFS('Mapa de Marcas'!$D:$D,$A8,'Mapa de Marcas'!$L:$L,"Seção na página da marca")+COUNTIFS('Mapa de Serviços'!$B:$B,$A8,'Mapa de Serviços'!$J:$J,"Seção na página do sistema")+COUNTIFS('Mapa de Marcas'!$D:$D,$A8,'Mapa de Marcas'!$L:$L,"Seção na página do sistema")+COUNTIFS('Mapa de Serviços'!$B:$B,$A8,'Mapa de Serviços'!$J:$J,"Seção em página de serviço")+COUNTIFS('Mapa de Marcas'!$D:$D,$A8,'Mapa de Marcas'!$L:$L,"Seção em página de serviço")</f>
        <v>11</v>
      </c>
      <c r="I8" s="7" t="n">
        <f aca="false">COUNTIFS('Mapa de Serviços'!$B:$B,$A8,'Mapa de Serviços'!$J:$J,"Artigo de blog")+COUNTIFS('Mapa de Marcas'!$D:$D,$A8,'Mapa de Marcas'!$L:$L,"Artigo de blog")+COUNTIFS('Mapa de Serviços'!$B:$B,$A8,'Mapa de Serviços'!$J:$J,"Guia para download")+COUNTIFS('Mapa de Marcas'!$D:$D,$A8,'Mapa de Marcas'!$L:$L,"Guia para download")+COUNTIFS('Mapa de Serviços'!$B:$B,$A8,'Mapa de Serviços'!$J:$J,"Calculadora")+COUNTIFS('Mapa de Marcas'!$D:$D,$A8,'Mapa de Marcas'!$L:$L,"Calculadora")+COUNTIFS('Mapa de Serviços'!$B:$B,$A8,'Mapa de Serviços'!$J:$J,"Página pilar de conteúdo")+COUNTIFS('Mapa de Marcas'!$D:$D,$A8,'Mapa de Marcas'!$L:$L,"Página pilar de conteúdo")</f>
        <v>10</v>
      </c>
      <c r="J8" s="7" t="n">
        <f aca="false">COUNTIF('Mapa de Marcas'!$D:$D,$A8)</f>
        <v>6</v>
      </c>
      <c r="K8" s="7" t="n">
        <f aca="false">COUNTIFS('Mapa de Serviços'!$B:$B,$A8,'Mapa de Serviços'!$P:$P,"Alta")+COUNTIFS('Mapa de Marcas'!$D:$D,$A8,'Mapa de Marcas'!$Q:$Q,"Alta")</f>
        <v>14</v>
      </c>
      <c r="L8" s="7" t="n">
        <f aca="false">COUNTIFS('Mapa de Serviços'!$B:$B,$A8,'Mapa de Serviços'!$Q:$Q,"Lacuna")+COUNTIFS('Mapa de Marcas'!$D:$D,$A8,'Mapa de Marcas'!$R:$R,"Lacuna")</f>
        <v>6</v>
      </c>
      <c r="M8" s="7" t="n">
        <f aca="false">COUNTIFS('Mapa de Serviços'!$B:$B,$A8,'Mapa de Serviços'!$S:$S,"Aprovar")+COUNTIFS('Mapa de Marcas'!$D:$D,$A8,'Mapa de Marcas'!$T:$T,"Aprovar")</f>
        <v>0</v>
      </c>
    </row>
    <row r="9" customFormat="false" ht="23.85" hidden="false" customHeight="false" outlineLevel="0" collapsed="false">
      <c r="A9" s="7" t="s">
        <v>345</v>
      </c>
      <c r="B9" s="7" t="s">
        <v>346</v>
      </c>
      <c r="C9" s="8" t="s">
        <v>1123</v>
      </c>
      <c r="D9" s="8" t="s">
        <v>1124</v>
      </c>
      <c r="E9" s="8" t="s">
        <v>164</v>
      </c>
      <c r="F9" s="7" t="n">
        <f aca="false">COUNTIF('Mapa de Serviços'!$B:$B,$A9)+COUNTIF('Mapa de Marcas'!$D:$D,$A9)</f>
        <v>45</v>
      </c>
      <c r="G9" s="7" t="n">
        <f aca="false">COUNTIFS('Mapa de Serviços'!$B:$B,$A9,'Mapa de Serviços'!$J:$J,"Página pilar")+COUNTIFS('Mapa de Marcas'!$D:$D,$A9,'Mapa de Marcas'!$L:$L,"Página pilar")+COUNTIFS('Mapa de Serviços'!$B:$B,$A9,'Mapa de Serviços'!$J:$J,"Página de subhub")+COUNTIFS('Mapa de Marcas'!$D:$D,$A9,'Mapa de Marcas'!$L:$L,"Página de subhub")+COUNTIFS('Mapa de Serviços'!$B:$B,$A9,'Mapa de Serviços'!$J:$J,"Página de serviço")+COUNTIFS('Mapa de Marcas'!$D:$D,$A9,'Mapa de Marcas'!$L:$L,"Página de serviço")+COUNTIFS('Mapa de Serviços'!$B:$B,$A9,'Mapa de Serviços'!$J:$J,"Página de sistema construtivo")+COUNTIFS('Mapa de Marcas'!$D:$D,$A9,'Mapa de Marcas'!$L:$L,"Página de sistema construtivo")+COUNTIFS('Mapa de Serviços'!$B:$B,$A9,'Mapa de Serviços'!$J:$J,"Página de marca")+COUNTIFS('Mapa de Marcas'!$D:$D,$A9,'Mapa de Marcas'!$L:$L,"Página de marca")+COUNTIFS('Mapa de Serviços'!$B:$B,$A9,'Mapa de Serviços'!$J:$J,"Página local")+COUNTIFS('Mapa de Marcas'!$D:$D,$A9,'Mapa de Marcas'!$L:$L,"Página local")+COUNTIFS('Mapa de Serviços'!$B:$B,$A9,'Mapa de Serviços'!$J:$J,"Página de categoria de marca")+COUNTIFS('Mapa de Marcas'!$D:$D,$A9,'Mapa de Marcas'!$L:$L,"Página de categoria de marca")+COUNTIFS('Mapa de Serviços'!$B:$B,$A9,'Mapa de Serviços'!$J:$J,"Página de marca por serviço")+COUNTIFS('Mapa de Marcas'!$D:$D,$A9,'Mapa de Marcas'!$L:$L,"Página de marca por serviço")+COUNTIFS('Mapa de Serviços'!$B:$B,$A9,'Mapa de Serviços'!$J:$J,"Página de sistema por serviço")+COUNTIFS('Mapa de Marcas'!$D:$D,$A9,'Mapa de Marcas'!$L:$L,"Página de sistema por serviço")</f>
        <v>34</v>
      </c>
      <c r="H9" s="7" t="n">
        <f aca="false">COUNTIFS('Mapa de Serviços'!$B:$B,$A9,'Mapa de Serviços'!$J:$J,"Seção dentro de outra página")+COUNTIFS('Mapa de Marcas'!$D:$D,$A9,'Mapa de Marcas'!$L:$L,"Seção dentro de outra página")+COUNTIFS('Mapa de Serviços'!$B:$B,$A9,'Mapa de Serviços'!$J:$J,"Seção na página da marca")+COUNTIFS('Mapa de Marcas'!$D:$D,$A9,'Mapa de Marcas'!$L:$L,"Seção na página da marca")+COUNTIFS('Mapa de Serviços'!$B:$B,$A9,'Mapa de Serviços'!$J:$J,"Seção na página do sistema")+COUNTIFS('Mapa de Marcas'!$D:$D,$A9,'Mapa de Marcas'!$L:$L,"Seção na página do sistema")+COUNTIFS('Mapa de Serviços'!$B:$B,$A9,'Mapa de Serviços'!$J:$J,"Seção em página de serviço")+COUNTIFS('Mapa de Marcas'!$D:$D,$A9,'Mapa de Marcas'!$L:$L,"Seção em página de serviço")</f>
        <v>1</v>
      </c>
      <c r="I9" s="7" t="n">
        <f aca="false">COUNTIFS('Mapa de Serviços'!$B:$B,$A9,'Mapa de Serviços'!$J:$J,"Artigo de blog")+COUNTIFS('Mapa de Marcas'!$D:$D,$A9,'Mapa de Marcas'!$L:$L,"Artigo de blog")+COUNTIFS('Mapa de Serviços'!$B:$B,$A9,'Mapa de Serviços'!$J:$J,"Guia para download")+COUNTIFS('Mapa de Marcas'!$D:$D,$A9,'Mapa de Marcas'!$L:$L,"Guia para download")+COUNTIFS('Mapa de Serviços'!$B:$B,$A9,'Mapa de Serviços'!$J:$J,"Calculadora")+COUNTIFS('Mapa de Marcas'!$D:$D,$A9,'Mapa de Marcas'!$L:$L,"Calculadora")+COUNTIFS('Mapa de Serviços'!$B:$B,$A9,'Mapa de Serviços'!$J:$J,"Página pilar de conteúdo")+COUNTIFS('Mapa de Marcas'!$D:$D,$A9,'Mapa de Marcas'!$L:$L,"Página pilar de conteúdo")</f>
        <v>10</v>
      </c>
      <c r="J9" s="7" t="n">
        <f aca="false">COUNTIF('Mapa de Marcas'!$D:$D,$A9)</f>
        <v>0</v>
      </c>
      <c r="K9" s="7" t="n">
        <f aca="false">COUNTIFS('Mapa de Serviços'!$B:$B,$A9,'Mapa de Serviços'!$P:$P,"Alta")+COUNTIFS('Mapa de Marcas'!$D:$D,$A9,'Mapa de Marcas'!$Q:$Q,"Alta")</f>
        <v>15</v>
      </c>
      <c r="L9" s="7" t="n">
        <f aca="false">COUNTIFS('Mapa de Serviços'!$B:$B,$A9,'Mapa de Serviços'!$Q:$Q,"Lacuna")+COUNTIFS('Mapa de Marcas'!$D:$D,$A9,'Mapa de Marcas'!$R:$R,"Lacuna")</f>
        <v>9</v>
      </c>
      <c r="M9" s="7" t="n">
        <f aca="false">COUNTIFS('Mapa de Serviços'!$B:$B,$A9,'Mapa de Serviços'!$S:$S,"Aprovar")+COUNTIFS('Mapa de Marcas'!$D:$D,$A9,'Mapa de Marcas'!$T:$T,"Aprovar")</f>
        <v>0</v>
      </c>
    </row>
    <row r="10" customFormat="false" ht="23.85" hidden="false" customHeight="false" outlineLevel="0" collapsed="false">
      <c r="A10" s="7" t="s">
        <v>371</v>
      </c>
      <c r="B10" s="7" t="s">
        <v>372</v>
      </c>
      <c r="C10" s="8" t="s">
        <v>1125</v>
      </c>
      <c r="D10" s="8" t="s">
        <v>1126</v>
      </c>
      <c r="E10" s="8" t="s">
        <v>374</v>
      </c>
      <c r="F10" s="7" t="n">
        <f aca="false">COUNTIF('Mapa de Serviços'!$B:$B,$A10)+COUNTIF('Mapa de Marcas'!$D:$D,$A10)</f>
        <v>67</v>
      </c>
      <c r="G10" s="7" t="n">
        <f aca="false">COUNTIFS('Mapa de Serviços'!$B:$B,$A10,'Mapa de Serviços'!$J:$J,"Página pilar")+COUNTIFS('Mapa de Marcas'!$D:$D,$A10,'Mapa de Marcas'!$L:$L,"Página pilar")+COUNTIFS('Mapa de Serviços'!$B:$B,$A10,'Mapa de Serviços'!$J:$J,"Página de subhub")+COUNTIFS('Mapa de Marcas'!$D:$D,$A10,'Mapa de Marcas'!$L:$L,"Página de subhub")+COUNTIFS('Mapa de Serviços'!$B:$B,$A10,'Mapa de Serviços'!$J:$J,"Página de serviço")+COUNTIFS('Mapa de Marcas'!$D:$D,$A10,'Mapa de Marcas'!$L:$L,"Página de serviço")+COUNTIFS('Mapa de Serviços'!$B:$B,$A10,'Mapa de Serviços'!$J:$J,"Página de sistema construtivo")+COUNTIFS('Mapa de Marcas'!$D:$D,$A10,'Mapa de Marcas'!$L:$L,"Página de sistema construtivo")+COUNTIFS('Mapa de Serviços'!$B:$B,$A10,'Mapa de Serviços'!$J:$J,"Página de marca")+COUNTIFS('Mapa de Marcas'!$D:$D,$A10,'Mapa de Marcas'!$L:$L,"Página de marca")+COUNTIFS('Mapa de Serviços'!$B:$B,$A10,'Mapa de Serviços'!$J:$J,"Página local")+COUNTIFS('Mapa de Marcas'!$D:$D,$A10,'Mapa de Marcas'!$L:$L,"Página local")+COUNTIFS('Mapa de Serviços'!$B:$B,$A10,'Mapa de Serviços'!$J:$J,"Página de categoria de marca")+COUNTIFS('Mapa de Marcas'!$D:$D,$A10,'Mapa de Marcas'!$L:$L,"Página de categoria de marca")+COUNTIFS('Mapa de Serviços'!$B:$B,$A10,'Mapa de Serviços'!$J:$J,"Página de marca por serviço")+COUNTIFS('Mapa de Marcas'!$D:$D,$A10,'Mapa de Marcas'!$L:$L,"Página de marca por serviço")+COUNTIFS('Mapa de Serviços'!$B:$B,$A10,'Mapa de Serviços'!$J:$J,"Página de sistema por serviço")+COUNTIFS('Mapa de Marcas'!$D:$D,$A10,'Mapa de Marcas'!$L:$L,"Página de sistema por serviço")</f>
        <v>52</v>
      </c>
      <c r="H10" s="7" t="n">
        <f aca="false">COUNTIFS('Mapa de Serviços'!$B:$B,$A10,'Mapa de Serviços'!$J:$J,"Seção dentro de outra página")+COUNTIFS('Mapa de Marcas'!$D:$D,$A10,'Mapa de Marcas'!$L:$L,"Seção dentro de outra página")+COUNTIFS('Mapa de Serviços'!$B:$B,$A10,'Mapa de Serviços'!$J:$J,"Seção na página da marca")+COUNTIFS('Mapa de Marcas'!$D:$D,$A10,'Mapa de Marcas'!$L:$L,"Seção na página da marca")+COUNTIFS('Mapa de Serviços'!$B:$B,$A10,'Mapa de Serviços'!$J:$J,"Seção na página do sistema")+COUNTIFS('Mapa de Marcas'!$D:$D,$A10,'Mapa de Marcas'!$L:$L,"Seção na página do sistema")+COUNTIFS('Mapa de Serviços'!$B:$B,$A10,'Mapa de Serviços'!$J:$J,"Seção em página de serviço")+COUNTIFS('Mapa de Marcas'!$D:$D,$A10,'Mapa de Marcas'!$L:$L,"Seção em página de serviço")</f>
        <v>4</v>
      </c>
      <c r="I10" s="7" t="n">
        <f aca="false">COUNTIFS('Mapa de Serviços'!$B:$B,$A10,'Mapa de Serviços'!$J:$J,"Artigo de blog")+COUNTIFS('Mapa de Marcas'!$D:$D,$A10,'Mapa de Marcas'!$L:$L,"Artigo de blog")+COUNTIFS('Mapa de Serviços'!$B:$B,$A10,'Mapa de Serviços'!$J:$J,"Guia para download")+COUNTIFS('Mapa de Marcas'!$D:$D,$A10,'Mapa de Marcas'!$L:$L,"Guia para download")+COUNTIFS('Mapa de Serviços'!$B:$B,$A10,'Mapa de Serviços'!$J:$J,"Calculadora")+COUNTIFS('Mapa de Marcas'!$D:$D,$A10,'Mapa de Marcas'!$L:$L,"Calculadora")+COUNTIFS('Mapa de Serviços'!$B:$B,$A10,'Mapa de Serviços'!$J:$J,"Página pilar de conteúdo")+COUNTIFS('Mapa de Marcas'!$D:$D,$A10,'Mapa de Marcas'!$L:$L,"Página pilar de conteúdo")</f>
        <v>6</v>
      </c>
      <c r="J10" s="7" t="n">
        <f aca="false">COUNTIF('Mapa de Marcas'!$D:$D,$A10)</f>
        <v>6</v>
      </c>
      <c r="K10" s="7" t="n">
        <f aca="false">COUNTIFS('Mapa de Serviços'!$B:$B,$A10,'Mapa de Serviços'!$P:$P,"Alta")+COUNTIFS('Mapa de Marcas'!$D:$D,$A10,'Mapa de Marcas'!$Q:$Q,"Alta")</f>
        <v>9</v>
      </c>
      <c r="L10" s="7" t="n">
        <f aca="false">COUNTIFS('Mapa de Serviços'!$B:$B,$A10,'Mapa de Serviços'!$Q:$Q,"Lacuna")+COUNTIFS('Mapa de Marcas'!$D:$D,$A10,'Mapa de Marcas'!$R:$R,"Lacuna")</f>
        <v>13</v>
      </c>
      <c r="M10" s="7" t="n">
        <f aca="false">COUNTIFS('Mapa de Serviços'!$B:$B,$A10,'Mapa de Serviços'!$S:$S,"Aprovar")+COUNTIFS('Mapa de Marcas'!$D:$D,$A10,'Mapa de Marcas'!$T:$T,"Aprovar")</f>
        <v>0</v>
      </c>
    </row>
    <row r="11" customFormat="false" ht="23.85" hidden="false" customHeight="false" outlineLevel="0" collapsed="false">
      <c r="A11" s="7" t="s">
        <v>400</v>
      </c>
      <c r="B11" s="7" t="s">
        <v>401</v>
      </c>
      <c r="C11" s="8" t="s">
        <v>1127</v>
      </c>
      <c r="D11" s="8" t="s">
        <v>1128</v>
      </c>
      <c r="E11" s="8" t="s">
        <v>403</v>
      </c>
      <c r="F11" s="7" t="n">
        <f aca="false">COUNTIF('Mapa de Serviços'!$B:$B,$A11)+COUNTIF('Mapa de Marcas'!$D:$D,$A11)</f>
        <v>56</v>
      </c>
      <c r="G11" s="7" t="n">
        <f aca="false">COUNTIFS('Mapa de Serviços'!$B:$B,$A11,'Mapa de Serviços'!$J:$J,"Página pilar")+COUNTIFS('Mapa de Marcas'!$D:$D,$A11,'Mapa de Marcas'!$L:$L,"Página pilar")+COUNTIFS('Mapa de Serviços'!$B:$B,$A11,'Mapa de Serviços'!$J:$J,"Página de subhub")+COUNTIFS('Mapa de Marcas'!$D:$D,$A11,'Mapa de Marcas'!$L:$L,"Página de subhub")+COUNTIFS('Mapa de Serviços'!$B:$B,$A11,'Mapa de Serviços'!$J:$J,"Página de serviço")+COUNTIFS('Mapa de Marcas'!$D:$D,$A11,'Mapa de Marcas'!$L:$L,"Página de serviço")+COUNTIFS('Mapa de Serviços'!$B:$B,$A11,'Mapa de Serviços'!$J:$J,"Página de sistema construtivo")+COUNTIFS('Mapa de Marcas'!$D:$D,$A11,'Mapa de Marcas'!$L:$L,"Página de sistema construtivo")+COUNTIFS('Mapa de Serviços'!$B:$B,$A11,'Mapa de Serviços'!$J:$J,"Página de marca")+COUNTIFS('Mapa de Marcas'!$D:$D,$A11,'Mapa de Marcas'!$L:$L,"Página de marca")+COUNTIFS('Mapa de Serviços'!$B:$B,$A11,'Mapa de Serviços'!$J:$J,"Página local")+COUNTIFS('Mapa de Marcas'!$D:$D,$A11,'Mapa de Marcas'!$L:$L,"Página local")+COUNTIFS('Mapa de Serviços'!$B:$B,$A11,'Mapa de Serviços'!$J:$J,"Página de categoria de marca")+COUNTIFS('Mapa de Marcas'!$D:$D,$A11,'Mapa de Marcas'!$L:$L,"Página de categoria de marca")+COUNTIFS('Mapa de Serviços'!$B:$B,$A11,'Mapa de Serviços'!$J:$J,"Página de marca por serviço")+COUNTIFS('Mapa de Marcas'!$D:$D,$A11,'Mapa de Marcas'!$L:$L,"Página de marca por serviço")+COUNTIFS('Mapa de Serviços'!$B:$B,$A11,'Mapa de Serviços'!$J:$J,"Página de sistema por serviço")+COUNTIFS('Mapa de Marcas'!$D:$D,$A11,'Mapa de Marcas'!$L:$L,"Página de sistema por serviço")</f>
        <v>43</v>
      </c>
      <c r="H11" s="7" t="n">
        <f aca="false">COUNTIFS('Mapa de Serviços'!$B:$B,$A11,'Mapa de Serviços'!$J:$J,"Seção dentro de outra página")+COUNTIFS('Mapa de Marcas'!$D:$D,$A11,'Mapa de Marcas'!$L:$L,"Seção dentro de outra página")+COUNTIFS('Mapa de Serviços'!$B:$B,$A11,'Mapa de Serviços'!$J:$J,"Seção na página da marca")+COUNTIFS('Mapa de Marcas'!$D:$D,$A11,'Mapa de Marcas'!$L:$L,"Seção na página da marca")+COUNTIFS('Mapa de Serviços'!$B:$B,$A11,'Mapa de Serviços'!$J:$J,"Seção na página do sistema")+COUNTIFS('Mapa de Marcas'!$D:$D,$A11,'Mapa de Marcas'!$L:$L,"Seção na página do sistema")+COUNTIFS('Mapa de Serviços'!$B:$B,$A11,'Mapa de Serviços'!$J:$J,"Seção em página de serviço")+COUNTIFS('Mapa de Marcas'!$D:$D,$A11,'Mapa de Marcas'!$L:$L,"Seção em página de serviço")</f>
        <v>2</v>
      </c>
      <c r="I11" s="7" t="n">
        <f aca="false">COUNTIFS('Mapa de Serviços'!$B:$B,$A11,'Mapa de Serviços'!$J:$J,"Artigo de blog")+COUNTIFS('Mapa de Marcas'!$D:$D,$A11,'Mapa de Marcas'!$L:$L,"Artigo de blog")+COUNTIFS('Mapa de Serviços'!$B:$B,$A11,'Mapa de Serviços'!$J:$J,"Guia para download")+COUNTIFS('Mapa de Marcas'!$D:$D,$A11,'Mapa de Marcas'!$L:$L,"Guia para download")+COUNTIFS('Mapa de Serviços'!$B:$B,$A11,'Mapa de Serviços'!$J:$J,"Calculadora")+COUNTIFS('Mapa de Marcas'!$D:$D,$A11,'Mapa de Marcas'!$L:$L,"Calculadora")+COUNTIFS('Mapa de Serviços'!$B:$B,$A11,'Mapa de Serviços'!$J:$J,"Página pilar de conteúdo")+COUNTIFS('Mapa de Marcas'!$D:$D,$A11,'Mapa de Marcas'!$L:$L,"Página pilar de conteúdo")</f>
        <v>11</v>
      </c>
      <c r="J11" s="7" t="n">
        <f aca="false">COUNTIF('Mapa de Marcas'!$D:$D,$A11)</f>
        <v>20</v>
      </c>
      <c r="K11" s="7" t="n">
        <f aca="false">COUNTIFS('Mapa de Serviços'!$B:$B,$A11,'Mapa de Serviços'!$P:$P,"Alta")+COUNTIFS('Mapa de Marcas'!$D:$D,$A11,'Mapa de Marcas'!$Q:$Q,"Alta")</f>
        <v>13</v>
      </c>
      <c r="L11" s="7" t="n">
        <f aca="false">COUNTIFS('Mapa de Serviços'!$B:$B,$A11,'Mapa de Serviços'!$Q:$Q,"Lacuna")+COUNTIFS('Mapa de Marcas'!$D:$D,$A11,'Mapa de Marcas'!$R:$R,"Lacuna")</f>
        <v>1</v>
      </c>
      <c r="M11" s="7" t="n">
        <f aca="false">COUNTIFS('Mapa de Serviços'!$B:$B,$A11,'Mapa de Serviços'!$S:$S,"Aprovar")+COUNTIFS('Mapa de Marcas'!$D:$D,$A11,'Mapa de Marcas'!$T:$T,"Aprovar")</f>
        <v>0</v>
      </c>
    </row>
    <row r="12" customFormat="false" ht="23.85" hidden="false" customHeight="false" outlineLevel="0" collapsed="false">
      <c r="A12" s="7" t="s">
        <v>425</v>
      </c>
      <c r="B12" s="7" t="s">
        <v>426</v>
      </c>
      <c r="C12" s="8" t="s">
        <v>1129</v>
      </c>
      <c r="D12" s="8" t="s">
        <v>1130</v>
      </c>
      <c r="E12" s="8" t="s">
        <v>428</v>
      </c>
      <c r="F12" s="7" t="n">
        <f aca="false">COUNTIF('Mapa de Serviços'!$B:$B,$A12)+COUNTIF('Mapa de Marcas'!$D:$D,$A12)</f>
        <v>76</v>
      </c>
      <c r="G12" s="7" t="n">
        <f aca="false">COUNTIFS('Mapa de Serviços'!$B:$B,$A12,'Mapa de Serviços'!$J:$J,"Página pilar")+COUNTIFS('Mapa de Marcas'!$D:$D,$A12,'Mapa de Marcas'!$L:$L,"Página pilar")+COUNTIFS('Mapa de Serviços'!$B:$B,$A12,'Mapa de Serviços'!$J:$J,"Página de subhub")+COUNTIFS('Mapa de Marcas'!$D:$D,$A12,'Mapa de Marcas'!$L:$L,"Página de subhub")+COUNTIFS('Mapa de Serviços'!$B:$B,$A12,'Mapa de Serviços'!$J:$J,"Página de serviço")+COUNTIFS('Mapa de Marcas'!$D:$D,$A12,'Mapa de Marcas'!$L:$L,"Página de serviço")+COUNTIFS('Mapa de Serviços'!$B:$B,$A12,'Mapa de Serviços'!$J:$J,"Página de sistema construtivo")+COUNTIFS('Mapa de Marcas'!$D:$D,$A12,'Mapa de Marcas'!$L:$L,"Página de sistema construtivo")+COUNTIFS('Mapa de Serviços'!$B:$B,$A12,'Mapa de Serviços'!$J:$J,"Página de marca")+COUNTIFS('Mapa de Marcas'!$D:$D,$A12,'Mapa de Marcas'!$L:$L,"Página de marca")+COUNTIFS('Mapa de Serviços'!$B:$B,$A12,'Mapa de Serviços'!$J:$J,"Página local")+COUNTIFS('Mapa de Marcas'!$D:$D,$A12,'Mapa de Marcas'!$L:$L,"Página local")+COUNTIFS('Mapa de Serviços'!$B:$B,$A12,'Mapa de Serviços'!$J:$J,"Página de categoria de marca")+COUNTIFS('Mapa de Marcas'!$D:$D,$A12,'Mapa de Marcas'!$L:$L,"Página de categoria de marca")+COUNTIFS('Mapa de Serviços'!$B:$B,$A12,'Mapa de Serviços'!$J:$J,"Página de marca por serviço")+COUNTIFS('Mapa de Marcas'!$D:$D,$A12,'Mapa de Marcas'!$L:$L,"Página de marca por serviço")+COUNTIFS('Mapa de Serviços'!$B:$B,$A12,'Mapa de Serviços'!$J:$J,"Página de sistema por serviço")+COUNTIFS('Mapa de Marcas'!$D:$D,$A12,'Mapa de Marcas'!$L:$L,"Página de sistema por serviço")</f>
        <v>68</v>
      </c>
      <c r="H12" s="7" t="n">
        <f aca="false">COUNTIFS('Mapa de Serviços'!$B:$B,$A12,'Mapa de Serviços'!$J:$J,"Seção dentro de outra página")+COUNTIFS('Mapa de Marcas'!$D:$D,$A12,'Mapa de Marcas'!$L:$L,"Seção dentro de outra página")+COUNTIFS('Mapa de Serviços'!$B:$B,$A12,'Mapa de Serviços'!$J:$J,"Seção na página da marca")+COUNTIFS('Mapa de Marcas'!$D:$D,$A12,'Mapa de Marcas'!$L:$L,"Seção na página da marca")+COUNTIFS('Mapa de Serviços'!$B:$B,$A12,'Mapa de Serviços'!$J:$J,"Seção na página do sistema")+COUNTIFS('Mapa de Marcas'!$D:$D,$A12,'Mapa de Marcas'!$L:$L,"Seção na página do sistema")+COUNTIFS('Mapa de Serviços'!$B:$B,$A12,'Mapa de Serviços'!$J:$J,"Seção em página de serviço")+COUNTIFS('Mapa de Marcas'!$D:$D,$A12,'Mapa de Marcas'!$L:$L,"Seção em página de serviço")</f>
        <v>2</v>
      </c>
      <c r="I12" s="7" t="n">
        <f aca="false">COUNTIFS('Mapa de Serviços'!$B:$B,$A12,'Mapa de Serviços'!$J:$J,"Artigo de blog")+COUNTIFS('Mapa de Marcas'!$D:$D,$A12,'Mapa de Marcas'!$L:$L,"Artigo de blog")+COUNTIFS('Mapa de Serviços'!$B:$B,$A12,'Mapa de Serviços'!$J:$J,"Guia para download")+COUNTIFS('Mapa de Marcas'!$D:$D,$A12,'Mapa de Marcas'!$L:$L,"Guia para download")+COUNTIFS('Mapa de Serviços'!$B:$B,$A12,'Mapa de Serviços'!$J:$J,"Calculadora")+COUNTIFS('Mapa de Marcas'!$D:$D,$A12,'Mapa de Marcas'!$L:$L,"Calculadora")+COUNTIFS('Mapa de Serviços'!$B:$B,$A12,'Mapa de Serviços'!$J:$J,"Página pilar de conteúdo")+COUNTIFS('Mapa de Marcas'!$D:$D,$A12,'Mapa de Marcas'!$L:$L,"Página pilar de conteúdo")</f>
        <v>6</v>
      </c>
      <c r="J12" s="7" t="n">
        <f aca="false">COUNTIF('Mapa de Marcas'!$D:$D,$A12)</f>
        <v>0</v>
      </c>
      <c r="K12" s="7" t="n">
        <f aca="false">COUNTIFS('Mapa de Serviços'!$B:$B,$A12,'Mapa de Serviços'!$P:$P,"Alta")+COUNTIFS('Mapa de Marcas'!$D:$D,$A12,'Mapa de Marcas'!$Q:$Q,"Alta")</f>
        <v>8</v>
      </c>
      <c r="L12" s="7" t="n">
        <f aca="false">COUNTIFS('Mapa de Serviços'!$B:$B,$A12,'Mapa de Serviços'!$Q:$Q,"Lacuna")+COUNTIFS('Mapa de Marcas'!$D:$D,$A12,'Mapa de Marcas'!$R:$R,"Lacuna")</f>
        <v>6</v>
      </c>
      <c r="M12" s="7" t="n">
        <f aca="false">COUNTIFS('Mapa de Serviços'!$B:$B,$A12,'Mapa de Serviços'!$S:$S,"Aprovar")+COUNTIFS('Mapa de Marcas'!$D:$D,$A12,'Mapa de Marcas'!$T:$T,"Aprovar")</f>
        <v>0</v>
      </c>
    </row>
    <row r="13" customFormat="false" ht="23.85" hidden="false" customHeight="false" outlineLevel="0" collapsed="false">
      <c r="A13" s="7" t="s">
        <v>445</v>
      </c>
      <c r="B13" s="7" t="s">
        <v>446</v>
      </c>
      <c r="C13" s="8" t="s">
        <v>1131</v>
      </c>
      <c r="D13" s="8" t="s">
        <v>1132</v>
      </c>
      <c r="E13" s="8" t="s">
        <v>448</v>
      </c>
      <c r="F13" s="7" t="n">
        <f aca="false">COUNTIF('Mapa de Serviços'!$B:$B,$A13)+COUNTIF('Mapa de Marcas'!$D:$D,$A13)</f>
        <v>41</v>
      </c>
      <c r="G13" s="7" t="n">
        <f aca="false">COUNTIFS('Mapa de Serviços'!$B:$B,$A13,'Mapa de Serviços'!$J:$J,"Página pilar")+COUNTIFS('Mapa de Marcas'!$D:$D,$A13,'Mapa de Marcas'!$L:$L,"Página pilar")+COUNTIFS('Mapa de Serviços'!$B:$B,$A13,'Mapa de Serviços'!$J:$J,"Página de subhub")+COUNTIFS('Mapa de Marcas'!$D:$D,$A13,'Mapa de Marcas'!$L:$L,"Página de subhub")+COUNTIFS('Mapa de Serviços'!$B:$B,$A13,'Mapa de Serviços'!$J:$J,"Página de serviço")+COUNTIFS('Mapa de Marcas'!$D:$D,$A13,'Mapa de Marcas'!$L:$L,"Página de serviço")+COUNTIFS('Mapa de Serviços'!$B:$B,$A13,'Mapa de Serviços'!$J:$J,"Página de sistema construtivo")+COUNTIFS('Mapa de Marcas'!$D:$D,$A13,'Mapa de Marcas'!$L:$L,"Página de sistema construtivo")+COUNTIFS('Mapa de Serviços'!$B:$B,$A13,'Mapa de Serviços'!$J:$J,"Página de marca")+COUNTIFS('Mapa de Marcas'!$D:$D,$A13,'Mapa de Marcas'!$L:$L,"Página de marca")+COUNTIFS('Mapa de Serviços'!$B:$B,$A13,'Mapa de Serviços'!$J:$J,"Página local")+COUNTIFS('Mapa de Marcas'!$D:$D,$A13,'Mapa de Marcas'!$L:$L,"Página local")+COUNTIFS('Mapa de Serviços'!$B:$B,$A13,'Mapa de Serviços'!$J:$J,"Página de categoria de marca")+COUNTIFS('Mapa de Marcas'!$D:$D,$A13,'Mapa de Marcas'!$L:$L,"Página de categoria de marca")+COUNTIFS('Mapa de Serviços'!$B:$B,$A13,'Mapa de Serviços'!$J:$J,"Página de marca por serviço")+COUNTIFS('Mapa de Marcas'!$D:$D,$A13,'Mapa de Marcas'!$L:$L,"Página de marca por serviço")+COUNTIFS('Mapa de Serviços'!$B:$B,$A13,'Mapa de Serviços'!$J:$J,"Página de sistema por serviço")+COUNTIFS('Mapa de Marcas'!$D:$D,$A13,'Mapa de Marcas'!$L:$L,"Página de sistema por serviço")</f>
        <v>36</v>
      </c>
      <c r="H13" s="7" t="n">
        <f aca="false">COUNTIFS('Mapa de Serviços'!$B:$B,$A13,'Mapa de Serviços'!$J:$J,"Seção dentro de outra página")+COUNTIFS('Mapa de Marcas'!$D:$D,$A13,'Mapa de Marcas'!$L:$L,"Seção dentro de outra página")+COUNTIFS('Mapa de Serviços'!$B:$B,$A13,'Mapa de Serviços'!$J:$J,"Seção na página da marca")+COUNTIFS('Mapa de Marcas'!$D:$D,$A13,'Mapa de Marcas'!$L:$L,"Seção na página da marca")+COUNTIFS('Mapa de Serviços'!$B:$B,$A13,'Mapa de Serviços'!$J:$J,"Seção na página do sistema")+COUNTIFS('Mapa de Marcas'!$D:$D,$A13,'Mapa de Marcas'!$L:$L,"Seção na página do sistema")+COUNTIFS('Mapa de Serviços'!$B:$B,$A13,'Mapa de Serviços'!$J:$J,"Seção em página de serviço")+COUNTIFS('Mapa de Marcas'!$D:$D,$A13,'Mapa de Marcas'!$L:$L,"Seção em página de serviço")</f>
        <v>0</v>
      </c>
      <c r="I13" s="7" t="n">
        <f aca="false">COUNTIFS('Mapa de Serviços'!$B:$B,$A13,'Mapa de Serviços'!$J:$J,"Artigo de blog")+COUNTIFS('Mapa de Marcas'!$D:$D,$A13,'Mapa de Marcas'!$L:$L,"Artigo de blog")+COUNTIFS('Mapa de Serviços'!$B:$B,$A13,'Mapa de Serviços'!$J:$J,"Guia para download")+COUNTIFS('Mapa de Marcas'!$D:$D,$A13,'Mapa de Marcas'!$L:$L,"Guia para download")+COUNTIFS('Mapa de Serviços'!$B:$B,$A13,'Mapa de Serviços'!$J:$J,"Calculadora")+COUNTIFS('Mapa de Marcas'!$D:$D,$A13,'Mapa de Marcas'!$L:$L,"Calculadora")+COUNTIFS('Mapa de Serviços'!$B:$B,$A13,'Mapa de Serviços'!$J:$J,"Página pilar de conteúdo")+COUNTIFS('Mapa de Marcas'!$D:$D,$A13,'Mapa de Marcas'!$L:$L,"Página pilar de conteúdo")</f>
        <v>5</v>
      </c>
      <c r="J13" s="7" t="n">
        <f aca="false">COUNTIF('Mapa de Marcas'!$D:$D,$A13)</f>
        <v>1</v>
      </c>
      <c r="K13" s="7" t="n">
        <f aca="false">COUNTIFS('Mapa de Serviços'!$B:$B,$A13,'Mapa de Serviços'!$P:$P,"Alta")+COUNTIFS('Mapa de Marcas'!$D:$D,$A13,'Mapa de Marcas'!$Q:$Q,"Alta")</f>
        <v>4</v>
      </c>
      <c r="L13" s="7" t="n">
        <f aca="false">COUNTIFS('Mapa de Serviços'!$B:$B,$A13,'Mapa de Serviços'!$Q:$Q,"Lacuna")+COUNTIFS('Mapa de Marcas'!$D:$D,$A13,'Mapa de Marcas'!$R:$R,"Lacuna")</f>
        <v>0</v>
      </c>
      <c r="M13" s="7" t="n">
        <f aca="false">COUNTIFS('Mapa de Serviços'!$B:$B,$A13,'Mapa de Serviços'!$S:$S,"Aprovar")+COUNTIFS('Mapa de Marcas'!$D:$D,$A13,'Mapa de Marcas'!$T:$T,"Aprovar")</f>
        <v>0</v>
      </c>
    </row>
    <row r="14" customFormat="false" ht="35.05" hidden="false" customHeight="false" outlineLevel="0" collapsed="false">
      <c r="A14" s="7" t="s">
        <v>471</v>
      </c>
      <c r="B14" s="7" t="s">
        <v>472</v>
      </c>
      <c r="C14" s="8" t="s">
        <v>1133</v>
      </c>
      <c r="D14" s="8" t="s">
        <v>1134</v>
      </c>
      <c r="E14" s="8" t="s">
        <v>474</v>
      </c>
      <c r="F14" s="7" t="n">
        <f aca="false">COUNTIF('Mapa de Serviços'!$B:$B,$A14)+COUNTIF('Mapa de Marcas'!$D:$D,$A14)</f>
        <v>517</v>
      </c>
      <c r="G14" s="7" t="n">
        <f aca="false">COUNTIFS('Mapa de Serviços'!$B:$B,$A14,'Mapa de Serviços'!$J:$J,"Página pilar")+COUNTIFS('Mapa de Marcas'!$D:$D,$A14,'Mapa de Marcas'!$L:$L,"Página pilar")+COUNTIFS('Mapa de Serviços'!$B:$B,$A14,'Mapa de Serviços'!$J:$J,"Página de subhub")+COUNTIFS('Mapa de Marcas'!$D:$D,$A14,'Mapa de Marcas'!$L:$L,"Página de subhub")+COUNTIFS('Mapa de Serviços'!$B:$B,$A14,'Mapa de Serviços'!$J:$J,"Página de serviço")+COUNTIFS('Mapa de Marcas'!$D:$D,$A14,'Mapa de Marcas'!$L:$L,"Página de serviço")+COUNTIFS('Mapa de Serviços'!$B:$B,$A14,'Mapa de Serviços'!$J:$J,"Página de sistema construtivo")+COUNTIFS('Mapa de Marcas'!$D:$D,$A14,'Mapa de Marcas'!$L:$L,"Página de sistema construtivo")+COUNTIFS('Mapa de Serviços'!$B:$B,$A14,'Mapa de Serviços'!$J:$J,"Página de marca")+COUNTIFS('Mapa de Marcas'!$D:$D,$A14,'Mapa de Marcas'!$L:$L,"Página de marca")+COUNTIFS('Mapa de Serviços'!$B:$B,$A14,'Mapa de Serviços'!$J:$J,"Página local")+COUNTIFS('Mapa de Marcas'!$D:$D,$A14,'Mapa de Marcas'!$L:$L,"Página local")+COUNTIFS('Mapa de Serviços'!$B:$B,$A14,'Mapa de Serviços'!$J:$J,"Página de categoria de marca")+COUNTIFS('Mapa de Marcas'!$D:$D,$A14,'Mapa de Marcas'!$L:$L,"Página de categoria de marca")+COUNTIFS('Mapa de Serviços'!$B:$B,$A14,'Mapa de Serviços'!$J:$J,"Página de marca por serviço")+COUNTIFS('Mapa de Marcas'!$D:$D,$A14,'Mapa de Marcas'!$L:$L,"Página de marca por serviço")+COUNTIFS('Mapa de Serviços'!$B:$B,$A14,'Mapa de Serviços'!$J:$J,"Página de sistema por serviço")+COUNTIFS('Mapa de Marcas'!$D:$D,$A14,'Mapa de Marcas'!$L:$L,"Página de sistema por serviço")</f>
        <v>210</v>
      </c>
      <c r="H14" s="7" t="n">
        <f aca="false">COUNTIFS('Mapa de Serviços'!$B:$B,$A14,'Mapa de Serviços'!$J:$J,"Seção dentro de outra página")+COUNTIFS('Mapa de Marcas'!$D:$D,$A14,'Mapa de Marcas'!$L:$L,"Seção dentro de outra página")+COUNTIFS('Mapa de Serviços'!$B:$B,$A14,'Mapa de Serviços'!$J:$J,"Seção na página da marca")+COUNTIFS('Mapa de Marcas'!$D:$D,$A14,'Mapa de Marcas'!$L:$L,"Seção na página da marca")+COUNTIFS('Mapa de Serviços'!$B:$B,$A14,'Mapa de Serviços'!$J:$J,"Seção na página do sistema")+COUNTIFS('Mapa de Marcas'!$D:$D,$A14,'Mapa de Marcas'!$L:$L,"Seção na página do sistema")+COUNTIFS('Mapa de Serviços'!$B:$B,$A14,'Mapa de Serviços'!$J:$J,"Seção em página de serviço")+COUNTIFS('Mapa de Marcas'!$D:$D,$A14,'Mapa de Marcas'!$L:$L,"Seção em página de serviço")</f>
        <v>287</v>
      </c>
      <c r="I14" s="7" t="n">
        <f aca="false">COUNTIFS('Mapa de Serviços'!$B:$B,$A14,'Mapa de Serviços'!$J:$J,"Artigo de blog")+COUNTIFS('Mapa de Marcas'!$D:$D,$A14,'Mapa de Marcas'!$L:$L,"Artigo de blog")+COUNTIFS('Mapa de Serviços'!$B:$B,$A14,'Mapa de Serviços'!$J:$J,"Guia para download")+COUNTIFS('Mapa de Marcas'!$D:$D,$A14,'Mapa de Marcas'!$L:$L,"Guia para download")+COUNTIFS('Mapa de Serviços'!$B:$B,$A14,'Mapa de Serviços'!$J:$J,"Calculadora")+COUNTIFS('Mapa de Marcas'!$D:$D,$A14,'Mapa de Marcas'!$L:$L,"Calculadora")+COUNTIFS('Mapa de Serviços'!$B:$B,$A14,'Mapa de Serviços'!$J:$J,"Página pilar de conteúdo")+COUNTIFS('Mapa de Marcas'!$D:$D,$A14,'Mapa de Marcas'!$L:$L,"Página pilar de conteúdo")</f>
        <v>20</v>
      </c>
      <c r="J14" s="7" t="n">
        <f aca="false">COUNTIF('Mapa de Marcas'!$D:$D,$A14)</f>
        <v>517</v>
      </c>
      <c r="K14" s="7" t="n">
        <f aca="false">COUNTIFS('Mapa de Serviços'!$B:$B,$A14,'Mapa de Serviços'!$P:$P,"Alta")+COUNTIFS('Mapa de Marcas'!$D:$D,$A14,'Mapa de Marcas'!$Q:$Q,"Alta")</f>
        <v>0</v>
      </c>
      <c r="L14" s="7" t="n">
        <f aca="false">COUNTIFS('Mapa de Serviços'!$B:$B,$A14,'Mapa de Serviços'!$Q:$Q,"Lacuna")+COUNTIFS('Mapa de Marcas'!$D:$D,$A14,'Mapa de Marcas'!$R:$R,"Lacuna")</f>
        <v>53</v>
      </c>
      <c r="M14" s="7" t="n">
        <f aca="false">COUNTIFS('Mapa de Serviços'!$B:$B,$A14,'Mapa de Serviços'!$S:$S,"Aprovar")+COUNTIFS('Mapa de Marcas'!$D:$D,$A14,'Mapa de Marcas'!$T:$T,"Aprovar")</f>
        <v>0</v>
      </c>
    </row>
    <row r="15" customFormat="false" ht="15" hidden="false" customHeight="false" outlineLevel="0" collapsed="false">
      <c r="A15" s="11" t="s">
        <v>1135</v>
      </c>
      <c r="B15" s="11"/>
      <c r="C15" s="11"/>
      <c r="D15" s="11"/>
      <c r="E15" s="11"/>
      <c r="F15" s="11" t="n">
        <f aca="false">SUM(F2:F14)</f>
        <v>1585</v>
      </c>
      <c r="G15" s="11" t="n">
        <f aca="false">SUM(G2:G14)</f>
        <v>1060</v>
      </c>
      <c r="H15" s="11" t="n">
        <f aca="false">SUM(H2:H14)</f>
        <v>353</v>
      </c>
      <c r="I15" s="11" t="n">
        <f aca="false">SUM(I2:I14)</f>
        <v>149</v>
      </c>
      <c r="J15" s="11" t="n">
        <f aca="false">SUM(J2:J14)</f>
        <v>651</v>
      </c>
      <c r="K15" s="11" t="n">
        <f aca="false">SUM(K2:K14)</f>
        <v>139</v>
      </c>
      <c r="L15" s="11" t="n">
        <f aca="false">SUM(L2:L14)</f>
        <v>134</v>
      </c>
      <c r="M15" s="11" t="n">
        <f aca="false">SUM(M2:M14)</f>
        <v>0</v>
      </c>
    </row>
  </sheetData>
  <autoFilter ref="A1:M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26"/>
    <col collapsed="false" customWidth="true" hidden="false" outlineLevel="0" max="4" min="4" style="0" width="40"/>
    <col collapsed="false" customWidth="true" hidden="false" outlineLevel="0" max="5" min="5" style="0" width="16"/>
    <col collapsed="false" customWidth="true" hidden="false" outlineLevel="0" max="6" min="6" style="0" width="14"/>
    <col collapsed="false" customWidth="true" hidden="false" outlineLevel="0" max="7" min="7" style="0" width="10"/>
    <col collapsed="false" customWidth="true" hidden="false" outlineLevel="0" max="8" min="8" style="0" width="70"/>
    <col collapsed="false" customWidth="true" hidden="false" outlineLevel="0" max="9" min="9" style="0" width="30"/>
    <col collapsed="false" customWidth="true" hidden="false" outlineLevel="0" max="10" min="10" style="0" width="22"/>
    <col collapsed="false" customWidth="true" hidden="false" outlineLevel="0" max="11" min="11" style="0" width="48"/>
    <col collapsed="false" customWidth="true" hidden="false" outlineLevel="0" max="12" min="12" style="0" width="11"/>
    <col collapsed="false" customWidth="true" hidden="false" outlineLevel="0" max="13" min="13" style="0" width="40"/>
    <col collapsed="false" customWidth="true" hidden="false" outlineLevel="0" max="14" min="14" style="0" width="30"/>
    <col collapsed="false" customWidth="true" hidden="false" outlineLevel="0" max="15" min="15" style="0" width="12"/>
    <col collapsed="false" customWidth="true" hidden="false" outlineLevel="0" max="16" min="16" style="0" width="11"/>
    <col collapsed="false" customWidth="true" hidden="false" outlineLevel="0" max="17" min="17" style="0" width="16"/>
    <col collapsed="false" customWidth="true" hidden="false" outlineLevel="0" max="18" min="18" style="0" width="40"/>
    <col collapsed="false" customWidth="true" hidden="false" outlineLevel="0" max="19" min="19" style="0" width="14"/>
    <col collapsed="false" customWidth="true" hidden="false" outlineLevel="0" max="20" min="20" style="0" width="30"/>
  </cols>
  <sheetData>
    <row r="1" customFormat="false" ht="31.5" hidden="false" customHeight="true" outlineLevel="0" collapsed="false">
      <c r="A1" s="6" t="s">
        <v>1136</v>
      </c>
      <c r="B1" s="6" t="s">
        <v>1096</v>
      </c>
      <c r="C1" s="6" t="s">
        <v>1137</v>
      </c>
      <c r="D1" s="6" t="s">
        <v>1138</v>
      </c>
      <c r="E1" s="6" t="s">
        <v>1139</v>
      </c>
      <c r="F1" s="6" t="s">
        <v>32</v>
      </c>
      <c r="G1" s="6" t="s">
        <v>34</v>
      </c>
      <c r="H1" s="6" t="s">
        <v>36</v>
      </c>
      <c r="I1" s="6" t="s">
        <v>62</v>
      </c>
      <c r="J1" s="6" t="s">
        <v>38</v>
      </c>
      <c r="K1" s="6" t="s">
        <v>1140</v>
      </c>
      <c r="L1" s="6" t="s">
        <v>1141</v>
      </c>
      <c r="M1" s="6" t="s">
        <v>1142</v>
      </c>
      <c r="N1" s="6" t="s">
        <v>40</v>
      </c>
      <c r="O1" s="6" t="s">
        <v>42</v>
      </c>
      <c r="P1" s="6" t="s">
        <v>44</v>
      </c>
      <c r="Q1" s="6" t="s">
        <v>46</v>
      </c>
      <c r="R1" s="6" t="s">
        <v>1143</v>
      </c>
      <c r="S1" s="6" t="s">
        <v>1144</v>
      </c>
      <c r="T1" s="6" t="s">
        <v>822</v>
      </c>
    </row>
    <row r="2" customFormat="false" ht="46.25" hidden="false" customHeight="false" outlineLevel="0" collapsed="false">
      <c r="A2" s="7" t="s">
        <v>1145</v>
      </c>
      <c r="B2" s="7" t="s">
        <v>79</v>
      </c>
      <c r="C2" s="7" t="s">
        <v>1146</v>
      </c>
      <c r="D2" s="7" t="s">
        <v>1109</v>
      </c>
      <c r="E2" s="7" t="s">
        <v>1147</v>
      </c>
      <c r="F2" s="7" t="s">
        <v>928</v>
      </c>
      <c r="G2" s="7" t="s">
        <v>1148</v>
      </c>
      <c r="H2" s="8" t="s">
        <v>1149</v>
      </c>
      <c r="I2" s="8" t="s">
        <v>83</v>
      </c>
      <c r="J2" s="7" t="s">
        <v>81</v>
      </c>
      <c r="K2" s="7" t="s">
        <v>80</v>
      </c>
      <c r="L2" s="7" t="n">
        <v>1</v>
      </c>
      <c r="M2" s="7" t="s">
        <v>67</v>
      </c>
      <c r="N2" s="7"/>
      <c r="O2" s="7" t="s">
        <v>1150</v>
      </c>
      <c r="P2" s="7" t="s">
        <v>1151</v>
      </c>
      <c r="Q2" s="7" t="s">
        <v>1152</v>
      </c>
      <c r="R2" s="8"/>
      <c r="S2" s="12"/>
      <c r="T2" s="12"/>
    </row>
    <row r="3" customFormat="false" ht="46.25" hidden="false" customHeight="false" outlineLevel="0" collapsed="false">
      <c r="A3" s="7" t="s">
        <v>1153</v>
      </c>
      <c r="B3" s="7" t="s">
        <v>142</v>
      </c>
      <c r="C3" s="7" t="s">
        <v>1146</v>
      </c>
      <c r="D3" s="7" t="s">
        <v>1111</v>
      </c>
      <c r="E3" s="7" t="s">
        <v>1147</v>
      </c>
      <c r="F3" s="7" t="s">
        <v>928</v>
      </c>
      <c r="G3" s="7" t="s">
        <v>1148</v>
      </c>
      <c r="H3" s="8" t="s">
        <v>1154</v>
      </c>
      <c r="I3" s="8" t="s">
        <v>145</v>
      </c>
      <c r="J3" s="7" t="s">
        <v>81</v>
      </c>
      <c r="K3" s="7" t="s">
        <v>143</v>
      </c>
      <c r="L3" s="7" t="n">
        <v>1</v>
      </c>
      <c r="M3" s="7" t="s">
        <v>67</v>
      </c>
      <c r="N3" s="7"/>
      <c r="O3" s="7" t="s">
        <v>1150</v>
      </c>
      <c r="P3" s="7" t="s">
        <v>1151</v>
      </c>
      <c r="Q3" s="7" t="s">
        <v>1152</v>
      </c>
      <c r="R3" s="8"/>
      <c r="S3" s="12"/>
      <c r="T3" s="12"/>
    </row>
    <row r="4" customFormat="false" ht="46.25" hidden="false" customHeight="false" outlineLevel="0" collapsed="false">
      <c r="A4" s="7" t="s">
        <v>1155</v>
      </c>
      <c r="B4" s="7" t="s">
        <v>182</v>
      </c>
      <c r="C4" s="7" t="s">
        <v>1146</v>
      </c>
      <c r="D4" s="7" t="s">
        <v>1113</v>
      </c>
      <c r="E4" s="7" t="s">
        <v>1147</v>
      </c>
      <c r="F4" s="7" t="s">
        <v>928</v>
      </c>
      <c r="G4" s="7" t="s">
        <v>1148</v>
      </c>
      <c r="H4" s="8" t="s">
        <v>1156</v>
      </c>
      <c r="I4" s="8" t="s">
        <v>185</v>
      </c>
      <c r="J4" s="7" t="s">
        <v>81</v>
      </c>
      <c r="K4" s="7" t="s">
        <v>183</v>
      </c>
      <c r="L4" s="7" t="n">
        <v>1</v>
      </c>
      <c r="M4" s="7" t="s">
        <v>67</v>
      </c>
      <c r="N4" s="7"/>
      <c r="O4" s="7" t="s">
        <v>1150</v>
      </c>
      <c r="P4" s="7" t="s">
        <v>1151</v>
      </c>
      <c r="Q4" s="7" t="s">
        <v>1152</v>
      </c>
      <c r="R4" s="8"/>
      <c r="S4" s="12"/>
      <c r="T4" s="12"/>
    </row>
    <row r="5" customFormat="false" ht="46.25" hidden="false" customHeight="false" outlineLevel="0" collapsed="false">
      <c r="A5" s="7" t="s">
        <v>1157</v>
      </c>
      <c r="B5" s="7" t="s">
        <v>231</v>
      </c>
      <c r="C5" s="7" t="s">
        <v>1146</v>
      </c>
      <c r="D5" s="7" t="s">
        <v>1115</v>
      </c>
      <c r="E5" s="7" t="s">
        <v>1147</v>
      </c>
      <c r="F5" s="7" t="s">
        <v>928</v>
      </c>
      <c r="G5" s="7" t="s">
        <v>1148</v>
      </c>
      <c r="H5" s="8" t="s">
        <v>1158</v>
      </c>
      <c r="I5" s="8" t="s">
        <v>234</v>
      </c>
      <c r="J5" s="7" t="s">
        <v>81</v>
      </c>
      <c r="K5" s="7" t="s">
        <v>232</v>
      </c>
      <c r="L5" s="7" t="n">
        <v>1</v>
      </c>
      <c r="M5" s="7" t="s">
        <v>67</v>
      </c>
      <c r="N5" s="7"/>
      <c r="O5" s="7" t="s">
        <v>1150</v>
      </c>
      <c r="P5" s="7" t="s">
        <v>1151</v>
      </c>
      <c r="Q5" s="7" t="s">
        <v>1152</v>
      </c>
      <c r="R5" s="8"/>
      <c r="S5" s="12"/>
      <c r="T5" s="12"/>
    </row>
    <row r="6" customFormat="false" ht="46.25" hidden="false" customHeight="false" outlineLevel="0" collapsed="false">
      <c r="A6" s="7" t="s">
        <v>1159</v>
      </c>
      <c r="B6" s="7" t="s">
        <v>265</v>
      </c>
      <c r="C6" s="7" t="s">
        <v>1146</v>
      </c>
      <c r="D6" s="7" t="s">
        <v>1117</v>
      </c>
      <c r="E6" s="7" t="s">
        <v>1147</v>
      </c>
      <c r="F6" s="7" t="s">
        <v>928</v>
      </c>
      <c r="G6" s="7" t="s">
        <v>1148</v>
      </c>
      <c r="H6" s="8" t="s">
        <v>1160</v>
      </c>
      <c r="I6" s="8" t="s">
        <v>268</v>
      </c>
      <c r="J6" s="7" t="s">
        <v>81</v>
      </c>
      <c r="K6" s="7" t="s">
        <v>266</v>
      </c>
      <c r="L6" s="7" t="n">
        <v>1</v>
      </c>
      <c r="M6" s="7" t="s">
        <v>67</v>
      </c>
      <c r="N6" s="7"/>
      <c r="O6" s="7" t="s">
        <v>1150</v>
      </c>
      <c r="P6" s="7" t="s">
        <v>1151</v>
      </c>
      <c r="Q6" s="7" t="s">
        <v>1152</v>
      </c>
      <c r="R6" s="8"/>
      <c r="S6" s="12"/>
      <c r="T6" s="12"/>
    </row>
    <row r="7" customFormat="false" ht="46.25" hidden="false" customHeight="false" outlineLevel="0" collapsed="false">
      <c r="A7" s="7" t="s">
        <v>1161</v>
      </c>
      <c r="B7" s="7" t="s">
        <v>291</v>
      </c>
      <c r="C7" s="7" t="s">
        <v>1146</v>
      </c>
      <c r="D7" s="7" t="s">
        <v>1119</v>
      </c>
      <c r="E7" s="7" t="s">
        <v>1147</v>
      </c>
      <c r="F7" s="7" t="s">
        <v>928</v>
      </c>
      <c r="G7" s="7" t="s">
        <v>1148</v>
      </c>
      <c r="H7" s="8" t="s">
        <v>1162</v>
      </c>
      <c r="I7" s="8" t="s">
        <v>294</v>
      </c>
      <c r="J7" s="7" t="s">
        <v>81</v>
      </c>
      <c r="K7" s="7" t="s">
        <v>292</v>
      </c>
      <c r="L7" s="7" t="n">
        <v>1</v>
      </c>
      <c r="M7" s="7" t="s">
        <v>67</v>
      </c>
      <c r="N7" s="7"/>
      <c r="O7" s="7" t="s">
        <v>1150</v>
      </c>
      <c r="P7" s="7" t="s">
        <v>1151</v>
      </c>
      <c r="Q7" s="7" t="s">
        <v>1152</v>
      </c>
      <c r="R7" s="8"/>
      <c r="S7" s="12"/>
      <c r="T7" s="12"/>
    </row>
    <row r="8" customFormat="false" ht="46.25" hidden="false" customHeight="false" outlineLevel="0" collapsed="false">
      <c r="A8" s="7" t="s">
        <v>1163</v>
      </c>
      <c r="B8" s="7" t="s">
        <v>309</v>
      </c>
      <c r="C8" s="7" t="s">
        <v>1146</v>
      </c>
      <c r="D8" s="7" t="s">
        <v>1121</v>
      </c>
      <c r="E8" s="7" t="s">
        <v>1147</v>
      </c>
      <c r="F8" s="7" t="s">
        <v>928</v>
      </c>
      <c r="G8" s="7" t="s">
        <v>1148</v>
      </c>
      <c r="H8" s="8" t="s">
        <v>1164</v>
      </c>
      <c r="I8" s="8" t="s">
        <v>312</v>
      </c>
      <c r="J8" s="7" t="s">
        <v>81</v>
      </c>
      <c r="K8" s="7" t="s">
        <v>310</v>
      </c>
      <c r="L8" s="7" t="n">
        <v>1</v>
      </c>
      <c r="M8" s="7" t="s">
        <v>67</v>
      </c>
      <c r="N8" s="7"/>
      <c r="O8" s="7" t="s">
        <v>1150</v>
      </c>
      <c r="P8" s="7" t="s">
        <v>1151</v>
      </c>
      <c r="Q8" s="7" t="s">
        <v>1152</v>
      </c>
      <c r="R8" s="8"/>
      <c r="S8" s="12"/>
      <c r="T8" s="12"/>
    </row>
    <row r="9" customFormat="false" ht="46.25" hidden="false" customHeight="false" outlineLevel="0" collapsed="false">
      <c r="A9" s="7" t="s">
        <v>1165</v>
      </c>
      <c r="B9" s="7" t="s">
        <v>345</v>
      </c>
      <c r="C9" s="7" t="s">
        <v>1146</v>
      </c>
      <c r="D9" s="7" t="s">
        <v>1123</v>
      </c>
      <c r="E9" s="7" t="s">
        <v>1147</v>
      </c>
      <c r="F9" s="7" t="s">
        <v>928</v>
      </c>
      <c r="G9" s="7" t="s">
        <v>1148</v>
      </c>
      <c r="H9" s="8" t="s">
        <v>1166</v>
      </c>
      <c r="I9" s="8" t="s">
        <v>164</v>
      </c>
      <c r="J9" s="7" t="s">
        <v>81</v>
      </c>
      <c r="K9" s="7" t="s">
        <v>346</v>
      </c>
      <c r="L9" s="7" t="n">
        <v>1</v>
      </c>
      <c r="M9" s="7" t="s">
        <v>67</v>
      </c>
      <c r="N9" s="7"/>
      <c r="O9" s="7" t="s">
        <v>1150</v>
      </c>
      <c r="P9" s="7" t="s">
        <v>1151</v>
      </c>
      <c r="Q9" s="7" t="s">
        <v>1152</v>
      </c>
      <c r="R9" s="8"/>
      <c r="S9" s="12"/>
      <c r="T9" s="12"/>
    </row>
    <row r="10" customFormat="false" ht="46.25" hidden="false" customHeight="false" outlineLevel="0" collapsed="false">
      <c r="A10" s="7" t="s">
        <v>1167</v>
      </c>
      <c r="B10" s="7" t="s">
        <v>371</v>
      </c>
      <c r="C10" s="7" t="s">
        <v>1146</v>
      </c>
      <c r="D10" s="7" t="s">
        <v>1125</v>
      </c>
      <c r="E10" s="7" t="s">
        <v>1147</v>
      </c>
      <c r="F10" s="7" t="s">
        <v>928</v>
      </c>
      <c r="G10" s="7" t="s">
        <v>1148</v>
      </c>
      <c r="H10" s="8" t="s">
        <v>1168</v>
      </c>
      <c r="I10" s="8" t="s">
        <v>374</v>
      </c>
      <c r="J10" s="7" t="s">
        <v>81</v>
      </c>
      <c r="K10" s="7" t="s">
        <v>372</v>
      </c>
      <c r="L10" s="7" t="n">
        <v>1</v>
      </c>
      <c r="M10" s="7" t="s">
        <v>67</v>
      </c>
      <c r="N10" s="7"/>
      <c r="O10" s="7" t="s">
        <v>1150</v>
      </c>
      <c r="P10" s="7" t="s">
        <v>1151</v>
      </c>
      <c r="Q10" s="7" t="s">
        <v>1152</v>
      </c>
      <c r="R10" s="8"/>
      <c r="S10" s="12"/>
      <c r="T10" s="12"/>
    </row>
    <row r="11" customFormat="false" ht="46.25" hidden="false" customHeight="false" outlineLevel="0" collapsed="false">
      <c r="A11" s="7" t="s">
        <v>1169</v>
      </c>
      <c r="B11" s="7" t="s">
        <v>400</v>
      </c>
      <c r="C11" s="7" t="s">
        <v>1146</v>
      </c>
      <c r="D11" s="7" t="s">
        <v>1127</v>
      </c>
      <c r="E11" s="7" t="s">
        <v>1147</v>
      </c>
      <c r="F11" s="7" t="s">
        <v>928</v>
      </c>
      <c r="G11" s="7" t="s">
        <v>1148</v>
      </c>
      <c r="H11" s="8" t="s">
        <v>1170</v>
      </c>
      <c r="I11" s="8" t="s">
        <v>403</v>
      </c>
      <c r="J11" s="7" t="s">
        <v>81</v>
      </c>
      <c r="K11" s="7" t="s">
        <v>401</v>
      </c>
      <c r="L11" s="7" t="n">
        <v>1</v>
      </c>
      <c r="M11" s="7" t="s">
        <v>67</v>
      </c>
      <c r="N11" s="7"/>
      <c r="O11" s="7" t="s">
        <v>1150</v>
      </c>
      <c r="P11" s="7" t="s">
        <v>1151</v>
      </c>
      <c r="Q11" s="7" t="s">
        <v>1152</v>
      </c>
      <c r="R11" s="8"/>
      <c r="S11" s="12"/>
      <c r="T11" s="12"/>
    </row>
    <row r="12" customFormat="false" ht="46.25" hidden="false" customHeight="false" outlineLevel="0" collapsed="false">
      <c r="A12" s="7" t="s">
        <v>1171</v>
      </c>
      <c r="B12" s="7" t="s">
        <v>425</v>
      </c>
      <c r="C12" s="7" t="s">
        <v>1146</v>
      </c>
      <c r="D12" s="7" t="s">
        <v>1129</v>
      </c>
      <c r="E12" s="7" t="s">
        <v>1147</v>
      </c>
      <c r="F12" s="7" t="s">
        <v>928</v>
      </c>
      <c r="G12" s="7" t="s">
        <v>1148</v>
      </c>
      <c r="H12" s="8" t="s">
        <v>1172</v>
      </c>
      <c r="I12" s="8" t="s">
        <v>428</v>
      </c>
      <c r="J12" s="7" t="s">
        <v>81</v>
      </c>
      <c r="K12" s="7" t="s">
        <v>426</v>
      </c>
      <c r="L12" s="7" t="n">
        <v>1</v>
      </c>
      <c r="M12" s="7" t="s">
        <v>67</v>
      </c>
      <c r="N12" s="7"/>
      <c r="O12" s="7" t="s">
        <v>1150</v>
      </c>
      <c r="P12" s="7" t="s">
        <v>1151</v>
      </c>
      <c r="Q12" s="7" t="s">
        <v>1152</v>
      </c>
      <c r="R12" s="8"/>
      <c r="S12" s="12"/>
      <c r="T12" s="12"/>
    </row>
    <row r="13" customFormat="false" ht="46.25" hidden="false" customHeight="false" outlineLevel="0" collapsed="false">
      <c r="A13" s="7" t="s">
        <v>1173</v>
      </c>
      <c r="B13" s="7" t="s">
        <v>445</v>
      </c>
      <c r="C13" s="7" t="s">
        <v>1146</v>
      </c>
      <c r="D13" s="7" t="s">
        <v>1131</v>
      </c>
      <c r="E13" s="7" t="s">
        <v>1147</v>
      </c>
      <c r="F13" s="7" t="s">
        <v>928</v>
      </c>
      <c r="G13" s="7" t="s">
        <v>1148</v>
      </c>
      <c r="H13" s="8" t="s">
        <v>1174</v>
      </c>
      <c r="I13" s="8" t="s">
        <v>448</v>
      </c>
      <c r="J13" s="7" t="s">
        <v>81</v>
      </c>
      <c r="K13" s="7" t="s">
        <v>446</v>
      </c>
      <c r="L13" s="7" t="n">
        <v>1</v>
      </c>
      <c r="M13" s="7" t="s">
        <v>67</v>
      </c>
      <c r="N13" s="7"/>
      <c r="O13" s="7" t="s">
        <v>1150</v>
      </c>
      <c r="P13" s="7" t="s">
        <v>1151</v>
      </c>
      <c r="Q13" s="7" t="s">
        <v>1152</v>
      </c>
      <c r="R13" s="8"/>
      <c r="S13" s="12"/>
      <c r="T13" s="12"/>
    </row>
    <row r="14" customFormat="false" ht="46.25" hidden="false" customHeight="false" outlineLevel="0" collapsed="false">
      <c r="A14" s="7" t="s">
        <v>1175</v>
      </c>
      <c r="B14" s="7" t="s">
        <v>79</v>
      </c>
      <c r="C14" s="7" t="s">
        <v>85</v>
      </c>
      <c r="D14" s="7" t="s">
        <v>85</v>
      </c>
      <c r="E14" s="7" t="s">
        <v>1137</v>
      </c>
      <c r="F14" s="7" t="s">
        <v>928</v>
      </c>
      <c r="G14" s="7" t="s">
        <v>1148</v>
      </c>
      <c r="H14" s="8" t="s">
        <v>1176</v>
      </c>
      <c r="I14" s="8" t="s">
        <v>89</v>
      </c>
      <c r="J14" s="7" t="s">
        <v>87</v>
      </c>
      <c r="K14" s="7" t="s">
        <v>86</v>
      </c>
      <c r="L14" s="7" t="n">
        <v>2</v>
      </c>
      <c r="M14" s="7" t="s">
        <v>80</v>
      </c>
      <c r="N14" s="7"/>
      <c r="O14" s="7" t="s">
        <v>1150</v>
      </c>
      <c r="P14" s="7" t="s">
        <v>1151</v>
      </c>
      <c r="Q14" s="7" t="s">
        <v>1152</v>
      </c>
      <c r="R14" s="8"/>
      <c r="S14" s="12"/>
      <c r="T14" s="12"/>
    </row>
    <row r="15" customFormat="false" ht="35.05" hidden="false" customHeight="false" outlineLevel="0" collapsed="false">
      <c r="A15" s="7" t="s">
        <v>1177</v>
      </c>
      <c r="B15" s="7" t="s">
        <v>79</v>
      </c>
      <c r="C15" s="7" t="s">
        <v>85</v>
      </c>
      <c r="D15" s="7" t="s">
        <v>1178</v>
      </c>
      <c r="E15" s="7" t="s">
        <v>1179</v>
      </c>
      <c r="F15" s="7" t="s">
        <v>928</v>
      </c>
      <c r="G15" s="7" t="s">
        <v>1148</v>
      </c>
      <c r="H15" s="8" t="s">
        <v>88</v>
      </c>
      <c r="I15" s="8" t="s">
        <v>89</v>
      </c>
      <c r="J15" s="7" t="s">
        <v>949</v>
      </c>
      <c r="K15" s="7" t="s">
        <v>1180</v>
      </c>
      <c r="L15" s="7" t="s">
        <v>952</v>
      </c>
      <c r="M15" s="7" t="s">
        <v>1181</v>
      </c>
      <c r="N15" s="7" t="s">
        <v>1182</v>
      </c>
      <c r="O15" s="7" t="s">
        <v>1150</v>
      </c>
      <c r="P15" s="7" t="s">
        <v>1183</v>
      </c>
      <c r="Q15" s="7" t="s">
        <v>1184</v>
      </c>
      <c r="R15" s="8" t="s">
        <v>1185</v>
      </c>
      <c r="S15" s="12"/>
      <c r="T15" s="12"/>
    </row>
    <row r="16" customFormat="false" ht="46.25" hidden="false" customHeight="false" outlineLevel="0" collapsed="false">
      <c r="A16" s="7" t="s">
        <v>1186</v>
      </c>
      <c r="B16" s="7" t="s">
        <v>79</v>
      </c>
      <c r="C16" s="7" t="s">
        <v>85</v>
      </c>
      <c r="D16" s="7" t="s">
        <v>1182</v>
      </c>
      <c r="E16" s="7" t="s">
        <v>1179</v>
      </c>
      <c r="F16" s="7" t="s">
        <v>928</v>
      </c>
      <c r="G16" s="7" t="s">
        <v>1148</v>
      </c>
      <c r="H16" s="8" t="s">
        <v>1187</v>
      </c>
      <c r="I16" s="8" t="s">
        <v>89</v>
      </c>
      <c r="J16" s="7" t="s">
        <v>133</v>
      </c>
      <c r="K16" s="7" t="s">
        <v>1181</v>
      </c>
      <c r="L16" s="7" t="n">
        <v>3</v>
      </c>
      <c r="M16" s="7" t="s">
        <v>86</v>
      </c>
      <c r="N16" s="7"/>
      <c r="O16" s="7" t="s">
        <v>1150</v>
      </c>
      <c r="P16" s="7" t="s">
        <v>1151</v>
      </c>
      <c r="Q16" s="7" t="s">
        <v>1184</v>
      </c>
      <c r="R16" s="8"/>
      <c r="S16" s="12"/>
      <c r="T16" s="12"/>
    </row>
    <row r="17" customFormat="false" ht="46.25" hidden="false" customHeight="false" outlineLevel="0" collapsed="false">
      <c r="A17" s="7" t="s">
        <v>1188</v>
      </c>
      <c r="B17" s="7" t="s">
        <v>79</v>
      </c>
      <c r="C17" s="7" t="s">
        <v>85</v>
      </c>
      <c r="D17" s="7" t="s">
        <v>1189</v>
      </c>
      <c r="E17" s="7" t="s">
        <v>1179</v>
      </c>
      <c r="F17" s="7" t="s">
        <v>928</v>
      </c>
      <c r="G17" s="7" t="s">
        <v>1148</v>
      </c>
      <c r="H17" s="8" t="s">
        <v>1187</v>
      </c>
      <c r="I17" s="8" t="s">
        <v>89</v>
      </c>
      <c r="J17" s="7" t="s">
        <v>949</v>
      </c>
      <c r="K17" s="7" t="s">
        <v>1190</v>
      </c>
      <c r="L17" s="7" t="s">
        <v>952</v>
      </c>
      <c r="M17" s="7" t="s">
        <v>1181</v>
      </c>
      <c r="N17" s="7" t="s">
        <v>1182</v>
      </c>
      <c r="O17" s="7" t="s">
        <v>1150</v>
      </c>
      <c r="P17" s="7" t="s">
        <v>1183</v>
      </c>
      <c r="Q17" s="7" t="s">
        <v>1152</v>
      </c>
      <c r="R17" s="8" t="s">
        <v>1185</v>
      </c>
      <c r="S17" s="12"/>
      <c r="T17" s="12"/>
    </row>
    <row r="18" customFormat="false" ht="46.25" hidden="false" customHeight="false" outlineLevel="0" collapsed="false">
      <c r="A18" s="7" t="s">
        <v>1191</v>
      </c>
      <c r="B18" s="7" t="s">
        <v>79</v>
      </c>
      <c r="C18" s="7" t="s">
        <v>85</v>
      </c>
      <c r="D18" s="7" t="s">
        <v>1192</v>
      </c>
      <c r="E18" s="7" t="s">
        <v>1179</v>
      </c>
      <c r="F18" s="7" t="s">
        <v>928</v>
      </c>
      <c r="G18" s="7" t="s">
        <v>1148</v>
      </c>
      <c r="H18" s="8" t="s">
        <v>1193</v>
      </c>
      <c r="I18" s="8" t="s">
        <v>89</v>
      </c>
      <c r="J18" s="7" t="s">
        <v>133</v>
      </c>
      <c r="K18" s="7" t="s">
        <v>1194</v>
      </c>
      <c r="L18" s="7" t="n">
        <v>3</v>
      </c>
      <c r="M18" s="7" t="s">
        <v>86</v>
      </c>
      <c r="N18" s="7"/>
      <c r="O18" s="7" t="s">
        <v>1150</v>
      </c>
      <c r="P18" s="7" t="s">
        <v>1183</v>
      </c>
      <c r="Q18" s="7" t="s">
        <v>1152</v>
      </c>
      <c r="R18" s="8"/>
      <c r="S18" s="12"/>
      <c r="T18" s="12"/>
    </row>
    <row r="19" customFormat="false" ht="46.25" hidden="false" customHeight="false" outlineLevel="0" collapsed="false">
      <c r="A19" s="7" t="s">
        <v>1195</v>
      </c>
      <c r="B19" s="7" t="s">
        <v>79</v>
      </c>
      <c r="C19" s="7" t="s">
        <v>85</v>
      </c>
      <c r="D19" s="7" t="s">
        <v>1196</v>
      </c>
      <c r="E19" s="7" t="s">
        <v>1179</v>
      </c>
      <c r="F19" s="7" t="s">
        <v>928</v>
      </c>
      <c r="G19" s="7" t="s">
        <v>1148</v>
      </c>
      <c r="H19" s="8" t="s">
        <v>1197</v>
      </c>
      <c r="I19" s="8" t="s">
        <v>89</v>
      </c>
      <c r="J19" s="7" t="s">
        <v>133</v>
      </c>
      <c r="K19" s="7" t="s">
        <v>1198</v>
      </c>
      <c r="L19" s="7" t="n">
        <v>3</v>
      </c>
      <c r="M19" s="7" t="s">
        <v>86</v>
      </c>
      <c r="N19" s="7"/>
      <c r="O19" s="7" t="s">
        <v>1150</v>
      </c>
      <c r="P19" s="7" t="s">
        <v>1183</v>
      </c>
      <c r="Q19" s="7" t="s">
        <v>1152</v>
      </c>
      <c r="R19" s="8"/>
      <c r="S19" s="12"/>
      <c r="T19" s="12"/>
    </row>
    <row r="20" customFormat="false" ht="35.05" hidden="false" customHeight="false" outlineLevel="0" collapsed="false">
      <c r="A20" s="7" t="s">
        <v>1199</v>
      </c>
      <c r="B20" s="7" t="s">
        <v>79</v>
      </c>
      <c r="C20" s="7" t="s">
        <v>85</v>
      </c>
      <c r="D20" s="7" t="s">
        <v>1200</v>
      </c>
      <c r="E20" s="7" t="s">
        <v>1179</v>
      </c>
      <c r="F20" s="7" t="s">
        <v>928</v>
      </c>
      <c r="G20" s="7" t="s">
        <v>1148</v>
      </c>
      <c r="H20" s="8" t="s">
        <v>88</v>
      </c>
      <c r="I20" s="8" t="s">
        <v>89</v>
      </c>
      <c r="J20" s="7" t="s">
        <v>133</v>
      </c>
      <c r="K20" s="7" t="s">
        <v>1201</v>
      </c>
      <c r="L20" s="7" t="n">
        <v>3</v>
      </c>
      <c r="M20" s="7" t="s">
        <v>86</v>
      </c>
      <c r="N20" s="7"/>
      <c r="O20" s="7" t="s">
        <v>1150</v>
      </c>
      <c r="P20" s="7" t="s">
        <v>1183</v>
      </c>
      <c r="Q20" s="7" t="s">
        <v>1152</v>
      </c>
      <c r="R20" s="8"/>
      <c r="S20" s="12"/>
      <c r="T20" s="12"/>
    </row>
    <row r="21" customFormat="false" ht="35.05" hidden="false" customHeight="false" outlineLevel="0" collapsed="false">
      <c r="A21" s="7" t="s">
        <v>1202</v>
      </c>
      <c r="B21" s="7" t="s">
        <v>79</v>
      </c>
      <c r="C21" s="7" t="s">
        <v>85</v>
      </c>
      <c r="D21" s="7" t="s">
        <v>1203</v>
      </c>
      <c r="E21" s="7" t="s">
        <v>1179</v>
      </c>
      <c r="F21" s="7" t="s">
        <v>928</v>
      </c>
      <c r="G21" s="7" t="s">
        <v>1148</v>
      </c>
      <c r="H21" s="8" t="s">
        <v>88</v>
      </c>
      <c r="I21" s="8" t="s">
        <v>89</v>
      </c>
      <c r="J21" s="7" t="s">
        <v>133</v>
      </c>
      <c r="K21" s="7" t="s">
        <v>1204</v>
      </c>
      <c r="L21" s="7" t="n">
        <v>3</v>
      </c>
      <c r="M21" s="7" t="s">
        <v>86</v>
      </c>
      <c r="N21" s="7"/>
      <c r="O21" s="7" t="s">
        <v>1150</v>
      </c>
      <c r="P21" s="7" t="s">
        <v>1183</v>
      </c>
      <c r="Q21" s="7" t="s">
        <v>1152</v>
      </c>
      <c r="R21" s="8"/>
      <c r="S21" s="12"/>
      <c r="T21" s="12"/>
    </row>
    <row r="22" customFormat="false" ht="35.05" hidden="false" customHeight="false" outlineLevel="0" collapsed="false">
      <c r="A22" s="7" t="s">
        <v>1205</v>
      </c>
      <c r="B22" s="7" t="s">
        <v>79</v>
      </c>
      <c r="C22" s="7" t="s">
        <v>85</v>
      </c>
      <c r="D22" s="7" t="s">
        <v>1206</v>
      </c>
      <c r="E22" s="7" t="s">
        <v>1179</v>
      </c>
      <c r="F22" s="7" t="s">
        <v>928</v>
      </c>
      <c r="G22" s="7" t="s">
        <v>1148</v>
      </c>
      <c r="H22" s="8" t="s">
        <v>88</v>
      </c>
      <c r="I22" s="8" t="s">
        <v>89</v>
      </c>
      <c r="J22" s="7" t="s">
        <v>133</v>
      </c>
      <c r="K22" s="7" t="s">
        <v>1207</v>
      </c>
      <c r="L22" s="7" t="n">
        <v>3</v>
      </c>
      <c r="M22" s="7" t="s">
        <v>86</v>
      </c>
      <c r="N22" s="7"/>
      <c r="O22" s="7" t="s">
        <v>1150</v>
      </c>
      <c r="P22" s="7" t="s">
        <v>1183</v>
      </c>
      <c r="Q22" s="7" t="s">
        <v>1152</v>
      </c>
      <c r="R22" s="8"/>
      <c r="S22" s="12"/>
      <c r="T22" s="12"/>
    </row>
    <row r="23" customFormat="false" ht="35.05" hidden="false" customHeight="false" outlineLevel="0" collapsed="false">
      <c r="A23" s="7" t="s">
        <v>1208</v>
      </c>
      <c r="B23" s="7" t="s">
        <v>79</v>
      </c>
      <c r="C23" s="7" t="s">
        <v>85</v>
      </c>
      <c r="D23" s="7" t="s">
        <v>1209</v>
      </c>
      <c r="E23" s="7" t="s">
        <v>1179</v>
      </c>
      <c r="F23" s="7" t="s">
        <v>928</v>
      </c>
      <c r="G23" s="7" t="s">
        <v>1148</v>
      </c>
      <c r="H23" s="8" t="s">
        <v>88</v>
      </c>
      <c r="I23" s="8" t="s">
        <v>89</v>
      </c>
      <c r="J23" s="7" t="s">
        <v>133</v>
      </c>
      <c r="K23" s="7" t="s">
        <v>1210</v>
      </c>
      <c r="L23" s="7" t="n">
        <v>3</v>
      </c>
      <c r="M23" s="7" t="s">
        <v>86</v>
      </c>
      <c r="N23" s="7"/>
      <c r="O23" s="7" t="s">
        <v>1150</v>
      </c>
      <c r="P23" s="7" t="s">
        <v>1183</v>
      </c>
      <c r="Q23" s="7" t="s">
        <v>1152</v>
      </c>
      <c r="R23" s="8"/>
      <c r="S23" s="12"/>
      <c r="T23" s="12"/>
    </row>
    <row r="24" customFormat="false" ht="35.05" hidden="false" customHeight="false" outlineLevel="0" collapsed="false">
      <c r="A24" s="7" t="s">
        <v>1211</v>
      </c>
      <c r="B24" s="7" t="s">
        <v>79</v>
      </c>
      <c r="C24" s="7" t="s">
        <v>85</v>
      </c>
      <c r="D24" s="7" t="s">
        <v>1212</v>
      </c>
      <c r="E24" s="7" t="s">
        <v>1179</v>
      </c>
      <c r="F24" s="7" t="s">
        <v>928</v>
      </c>
      <c r="G24" s="7" t="s">
        <v>1148</v>
      </c>
      <c r="H24" s="8" t="s">
        <v>88</v>
      </c>
      <c r="I24" s="8" t="s">
        <v>89</v>
      </c>
      <c r="J24" s="7" t="s">
        <v>133</v>
      </c>
      <c r="K24" s="7" t="s">
        <v>1213</v>
      </c>
      <c r="L24" s="7" t="n">
        <v>3</v>
      </c>
      <c r="M24" s="7" t="s">
        <v>86</v>
      </c>
      <c r="N24" s="7"/>
      <c r="O24" s="7" t="s">
        <v>1150</v>
      </c>
      <c r="P24" s="7" t="s">
        <v>1183</v>
      </c>
      <c r="Q24" s="7" t="s">
        <v>1152</v>
      </c>
      <c r="R24" s="8"/>
      <c r="S24" s="12"/>
      <c r="T24" s="12"/>
    </row>
    <row r="25" customFormat="false" ht="46.25" hidden="false" customHeight="false" outlineLevel="0" collapsed="false">
      <c r="A25" s="7" t="s">
        <v>1214</v>
      </c>
      <c r="B25" s="7" t="s">
        <v>79</v>
      </c>
      <c r="C25" s="7" t="s">
        <v>85</v>
      </c>
      <c r="D25" s="7" t="s">
        <v>1215</v>
      </c>
      <c r="E25" s="7" t="s">
        <v>1179</v>
      </c>
      <c r="F25" s="7" t="s">
        <v>928</v>
      </c>
      <c r="G25" s="7" t="s">
        <v>1148</v>
      </c>
      <c r="H25" s="8" t="s">
        <v>1197</v>
      </c>
      <c r="I25" s="8" t="s">
        <v>89</v>
      </c>
      <c r="J25" s="7" t="s">
        <v>133</v>
      </c>
      <c r="K25" s="7" t="s">
        <v>1216</v>
      </c>
      <c r="L25" s="7" t="n">
        <v>3</v>
      </c>
      <c r="M25" s="7" t="s">
        <v>86</v>
      </c>
      <c r="N25" s="7"/>
      <c r="O25" s="7" t="s">
        <v>1150</v>
      </c>
      <c r="P25" s="7" t="s">
        <v>1183</v>
      </c>
      <c r="Q25" s="7" t="s">
        <v>1152</v>
      </c>
      <c r="R25" s="8"/>
      <c r="S25" s="12"/>
      <c r="T25" s="12"/>
    </row>
    <row r="26" customFormat="false" ht="35.05" hidden="false" customHeight="false" outlineLevel="0" collapsed="false">
      <c r="A26" s="7" t="s">
        <v>1217</v>
      </c>
      <c r="B26" s="7" t="s">
        <v>79</v>
      </c>
      <c r="C26" s="7" t="s">
        <v>85</v>
      </c>
      <c r="D26" s="7" t="s">
        <v>1218</v>
      </c>
      <c r="E26" s="7" t="s">
        <v>1179</v>
      </c>
      <c r="F26" s="7" t="s">
        <v>928</v>
      </c>
      <c r="G26" s="7" t="s">
        <v>1148</v>
      </c>
      <c r="H26" s="8" t="s">
        <v>88</v>
      </c>
      <c r="I26" s="8" t="s">
        <v>89</v>
      </c>
      <c r="J26" s="7" t="s">
        <v>133</v>
      </c>
      <c r="K26" s="7" t="s">
        <v>1219</v>
      </c>
      <c r="L26" s="7" t="n">
        <v>3</v>
      </c>
      <c r="M26" s="7" t="s">
        <v>86</v>
      </c>
      <c r="N26" s="7"/>
      <c r="O26" s="7" t="s">
        <v>1150</v>
      </c>
      <c r="P26" s="7" t="s">
        <v>1183</v>
      </c>
      <c r="Q26" s="7" t="s">
        <v>1152</v>
      </c>
      <c r="R26" s="8"/>
      <c r="S26" s="12"/>
      <c r="T26" s="12"/>
    </row>
    <row r="27" customFormat="false" ht="35.05" hidden="false" customHeight="false" outlineLevel="0" collapsed="false">
      <c r="A27" s="7" t="s">
        <v>1220</v>
      </c>
      <c r="B27" s="7" t="s">
        <v>79</v>
      </c>
      <c r="C27" s="7" t="s">
        <v>85</v>
      </c>
      <c r="D27" s="7" t="s">
        <v>1221</v>
      </c>
      <c r="E27" s="7" t="s">
        <v>1179</v>
      </c>
      <c r="F27" s="7" t="s">
        <v>928</v>
      </c>
      <c r="G27" s="7" t="s">
        <v>1148</v>
      </c>
      <c r="H27" s="8" t="s">
        <v>88</v>
      </c>
      <c r="I27" s="8" t="s">
        <v>89</v>
      </c>
      <c r="J27" s="7" t="s">
        <v>133</v>
      </c>
      <c r="K27" s="7" t="s">
        <v>1222</v>
      </c>
      <c r="L27" s="7" t="n">
        <v>3</v>
      </c>
      <c r="M27" s="7" t="s">
        <v>86</v>
      </c>
      <c r="N27" s="7"/>
      <c r="O27" s="7" t="s">
        <v>1150</v>
      </c>
      <c r="P27" s="7" t="s">
        <v>1183</v>
      </c>
      <c r="Q27" s="7" t="s">
        <v>1152</v>
      </c>
      <c r="R27" s="8"/>
      <c r="S27" s="12"/>
      <c r="T27" s="12"/>
    </row>
    <row r="28" customFormat="false" ht="35.05" hidden="false" customHeight="false" outlineLevel="0" collapsed="false">
      <c r="A28" s="7" t="s">
        <v>1223</v>
      </c>
      <c r="B28" s="7" t="s">
        <v>79</v>
      </c>
      <c r="C28" s="7" t="s">
        <v>85</v>
      </c>
      <c r="D28" s="7" t="s">
        <v>1224</v>
      </c>
      <c r="E28" s="7" t="s">
        <v>1179</v>
      </c>
      <c r="F28" s="7" t="s">
        <v>928</v>
      </c>
      <c r="G28" s="7" t="s">
        <v>1148</v>
      </c>
      <c r="H28" s="8" t="s">
        <v>88</v>
      </c>
      <c r="I28" s="8" t="s">
        <v>89</v>
      </c>
      <c r="J28" s="7" t="s">
        <v>133</v>
      </c>
      <c r="K28" s="7" t="s">
        <v>1225</v>
      </c>
      <c r="L28" s="7" t="n">
        <v>3</v>
      </c>
      <c r="M28" s="7" t="s">
        <v>86</v>
      </c>
      <c r="N28" s="7"/>
      <c r="O28" s="7" t="s">
        <v>1150</v>
      </c>
      <c r="P28" s="7" t="s">
        <v>1183</v>
      </c>
      <c r="Q28" s="7" t="s">
        <v>1184</v>
      </c>
      <c r="R28" s="8"/>
      <c r="S28" s="12"/>
      <c r="T28" s="12"/>
    </row>
    <row r="29" customFormat="false" ht="35.05" hidden="false" customHeight="false" outlineLevel="0" collapsed="false">
      <c r="A29" s="7" t="s">
        <v>1226</v>
      </c>
      <c r="B29" s="7" t="s">
        <v>79</v>
      </c>
      <c r="C29" s="7" t="s">
        <v>85</v>
      </c>
      <c r="D29" s="7" t="s">
        <v>1227</v>
      </c>
      <c r="E29" s="7" t="s">
        <v>1179</v>
      </c>
      <c r="F29" s="7" t="s">
        <v>928</v>
      </c>
      <c r="G29" s="7" t="s">
        <v>1148</v>
      </c>
      <c r="H29" s="8" t="s">
        <v>88</v>
      </c>
      <c r="I29" s="8" t="s">
        <v>89</v>
      </c>
      <c r="J29" s="7" t="s">
        <v>133</v>
      </c>
      <c r="K29" s="7" t="s">
        <v>1228</v>
      </c>
      <c r="L29" s="7" t="n">
        <v>3</v>
      </c>
      <c r="M29" s="7" t="s">
        <v>86</v>
      </c>
      <c r="N29" s="7"/>
      <c r="O29" s="7" t="s">
        <v>1150</v>
      </c>
      <c r="P29" s="7" t="s">
        <v>1183</v>
      </c>
      <c r="Q29" s="7" t="s">
        <v>1184</v>
      </c>
      <c r="R29" s="8"/>
      <c r="S29" s="12"/>
      <c r="T29" s="12"/>
    </row>
    <row r="30" customFormat="false" ht="35.05" hidden="false" customHeight="false" outlineLevel="0" collapsed="false">
      <c r="A30" s="7" t="s">
        <v>1229</v>
      </c>
      <c r="B30" s="7" t="s">
        <v>79</v>
      </c>
      <c r="C30" s="7" t="s">
        <v>91</v>
      </c>
      <c r="D30" s="7" t="s">
        <v>91</v>
      </c>
      <c r="E30" s="7" t="s">
        <v>1137</v>
      </c>
      <c r="F30" s="7" t="s">
        <v>928</v>
      </c>
      <c r="G30" s="7" t="s">
        <v>1148</v>
      </c>
      <c r="H30" s="8" t="s">
        <v>1230</v>
      </c>
      <c r="I30" s="8" t="s">
        <v>94</v>
      </c>
      <c r="J30" s="7" t="s">
        <v>87</v>
      </c>
      <c r="K30" s="7" t="s">
        <v>92</v>
      </c>
      <c r="L30" s="7" t="n">
        <v>2</v>
      </c>
      <c r="M30" s="7" t="s">
        <v>80</v>
      </c>
      <c r="N30" s="7"/>
      <c r="O30" s="7" t="s">
        <v>1150</v>
      </c>
      <c r="P30" s="7" t="s">
        <v>1183</v>
      </c>
      <c r="Q30" s="7" t="s">
        <v>1152</v>
      </c>
      <c r="R30" s="8"/>
      <c r="S30" s="12"/>
      <c r="T30" s="12"/>
    </row>
    <row r="31" customFormat="false" ht="35.05" hidden="false" customHeight="false" outlineLevel="0" collapsed="false">
      <c r="A31" s="7" t="s">
        <v>1231</v>
      </c>
      <c r="B31" s="7" t="s">
        <v>79</v>
      </c>
      <c r="C31" s="7" t="s">
        <v>91</v>
      </c>
      <c r="D31" s="7" t="s">
        <v>1232</v>
      </c>
      <c r="E31" s="7" t="s">
        <v>1179</v>
      </c>
      <c r="F31" s="7" t="s">
        <v>928</v>
      </c>
      <c r="G31" s="7" t="s">
        <v>1148</v>
      </c>
      <c r="H31" s="8" t="s">
        <v>93</v>
      </c>
      <c r="I31" s="8" t="s">
        <v>94</v>
      </c>
      <c r="J31" s="7" t="s">
        <v>133</v>
      </c>
      <c r="K31" s="7" t="s">
        <v>1233</v>
      </c>
      <c r="L31" s="7" t="n">
        <v>3</v>
      </c>
      <c r="M31" s="7" t="s">
        <v>92</v>
      </c>
      <c r="N31" s="7"/>
      <c r="O31" s="7" t="s">
        <v>1150</v>
      </c>
      <c r="P31" s="7" t="s">
        <v>1183</v>
      </c>
      <c r="Q31" s="7" t="s">
        <v>1184</v>
      </c>
      <c r="R31" s="8"/>
      <c r="S31" s="12"/>
      <c r="T31" s="12"/>
    </row>
    <row r="32" customFormat="false" ht="35.05" hidden="false" customHeight="false" outlineLevel="0" collapsed="false">
      <c r="A32" s="7" t="s">
        <v>1234</v>
      </c>
      <c r="B32" s="7" t="s">
        <v>79</v>
      </c>
      <c r="C32" s="7" t="s">
        <v>91</v>
      </c>
      <c r="D32" s="7" t="s">
        <v>1235</v>
      </c>
      <c r="E32" s="7" t="s">
        <v>1179</v>
      </c>
      <c r="F32" s="7" t="s">
        <v>928</v>
      </c>
      <c r="G32" s="7" t="s">
        <v>1148</v>
      </c>
      <c r="H32" s="8" t="s">
        <v>93</v>
      </c>
      <c r="I32" s="8" t="s">
        <v>94</v>
      </c>
      <c r="J32" s="7" t="s">
        <v>133</v>
      </c>
      <c r="K32" s="7" t="s">
        <v>1236</v>
      </c>
      <c r="L32" s="7" t="n">
        <v>3</v>
      </c>
      <c r="M32" s="7" t="s">
        <v>92</v>
      </c>
      <c r="N32" s="7"/>
      <c r="O32" s="7" t="s">
        <v>1150</v>
      </c>
      <c r="P32" s="7" t="s">
        <v>1183</v>
      </c>
      <c r="Q32" s="7" t="s">
        <v>1152</v>
      </c>
      <c r="R32" s="8"/>
      <c r="S32" s="12"/>
      <c r="T32" s="12"/>
    </row>
    <row r="33" customFormat="false" ht="35.05" hidden="false" customHeight="false" outlineLevel="0" collapsed="false">
      <c r="A33" s="7" t="s">
        <v>1237</v>
      </c>
      <c r="B33" s="7" t="s">
        <v>79</v>
      </c>
      <c r="C33" s="7" t="s">
        <v>91</v>
      </c>
      <c r="D33" s="7" t="s">
        <v>1238</v>
      </c>
      <c r="E33" s="7" t="s">
        <v>1179</v>
      </c>
      <c r="F33" s="7" t="s">
        <v>928</v>
      </c>
      <c r="G33" s="7" t="s">
        <v>1148</v>
      </c>
      <c r="H33" s="8" t="s">
        <v>93</v>
      </c>
      <c r="I33" s="8" t="s">
        <v>94</v>
      </c>
      <c r="J33" s="7" t="s">
        <v>133</v>
      </c>
      <c r="K33" s="7" t="s">
        <v>1239</v>
      </c>
      <c r="L33" s="7" t="n">
        <v>3</v>
      </c>
      <c r="M33" s="7" t="s">
        <v>92</v>
      </c>
      <c r="N33" s="7"/>
      <c r="O33" s="7" t="s">
        <v>1150</v>
      </c>
      <c r="P33" s="7" t="s">
        <v>1183</v>
      </c>
      <c r="Q33" s="7" t="s">
        <v>1152</v>
      </c>
      <c r="R33" s="8"/>
      <c r="S33" s="12"/>
      <c r="T33" s="12"/>
    </row>
    <row r="34" customFormat="false" ht="35.05" hidden="false" customHeight="false" outlineLevel="0" collapsed="false">
      <c r="A34" s="7" t="s">
        <v>1240</v>
      </c>
      <c r="B34" s="7" t="s">
        <v>79</v>
      </c>
      <c r="C34" s="7" t="s">
        <v>91</v>
      </c>
      <c r="D34" s="7" t="s">
        <v>1241</v>
      </c>
      <c r="E34" s="7" t="s">
        <v>1179</v>
      </c>
      <c r="F34" s="7" t="s">
        <v>928</v>
      </c>
      <c r="G34" s="7" t="s">
        <v>1148</v>
      </c>
      <c r="H34" s="8" t="s">
        <v>93</v>
      </c>
      <c r="I34" s="8" t="s">
        <v>94</v>
      </c>
      <c r="J34" s="7" t="s">
        <v>133</v>
      </c>
      <c r="K34" s="7" t="s">
        <v>1242</v>
      </c>
      <c r="L34" s="7" t="n">
        <v>3</v>
      </c>
      <c r="M34" s="7" t="s">
        <v>92</v>
      </c>
      <c r="N34" s="7"/>
      <c r="O34" s="7" t="s">
        <v>1150</v>
      </c>
      <c r="P34" s="7" t="s">
        <v>1183</v>
      </c>
      <c r="Q34" s="7" t="s">
        <v>1152</v>
      </c>
      <c r="R34" s="8"/>
      <c r="S34" s="12"/>
      <c r="T34" s="12"/>
    </row>
    <row r="35" customFormat="false" ht="35.05" hidden="false" customHeight="false" outlineLevel="0" collapsed="false">
      <c r="A35" s="7" t="s">
        <v>1243</v>
      </c>
      <c r="B35" s="7" t="s">
        <v>79</v>
      </c>
      <c r="C35" s="7" t="s">
        <v>95</v>
      </c>
      <c r="D35" s="7" t="s">
        <v>95</v>
      </c>
      <c r="E35" s="7" t="s">
        <v>1137</v>
      </c>
      <c r="F35" s="7" t="s">
        <v>928</v>
      </c>
      <c r="G35" s="7" t="s">
        <v>1148</v>
      </c>
      <c r="H35" s="8" t="s">
        <v>1244</v>
      </c>
      <c r="I35" s="8" t="s">
        <v>98</v>
      </c>
      <c r="J35" s="7" t="s">
        <v>87</v>
      </c>
      <c r="K35" s="7" t="s">
        <v>96</v>
      </c>
      <c r="L35" s="7" t="n">
        <v>2</v>
      </c>
      <c r="M35" s="7" t="s">
        <v>80</v>
      </c>
      <c r="N35" s="7"/>
      <c r="O35" s="7" t="s">
        <v>1150</v>
      </c>
      <c r="P35" s="7" t="s">
        <v>1183</v>
      </c>
      <c r="Q35" s="7" t="s">
        <v>1152</v>
      </c>
      <c r="R35" s="8"/>
      <c r="S35" s="12"/>
      <c r="T35" s="12"/>
    </row>
    <row r="36" customFormat="false" ht="23.85" hidden="false" customHeight="false" outlineLevel="0" collapsed="false">
      <c r="A36" s="7" t="s">
        <v>1245</v>
      </c>
      <c r="B36" s="7" t="s">
        <v>79</v>
      </c>
      <c r="C36" s="7" t="s">
        <v>95</v>
      </c>
      <c r="D36" s="7" t="s">
        <v>1246</v>
      </c>
      <c r="E36" s="7" t="s">
        <v>1179</v>
      </c>
      <c r="F36" s="7" t="s">
        <v>928</v>
      </c>
      <c r="G36" s="7" t="s">
        <v>1148</v>
      </c>
      <c r="H36" s="8" t="s">
        <v>97</v>
      </c>
      <c r="I36" s="8" t="s">
        <v>98</v>
      </c>
      <c r="J36" s="7" t="s">
        <v>133</v>
      </c>
      <c r="K36" s="7" t="s">
        <v>1247</v>
      </c>
      <c r="L36" s="7" t="n">
        <v>3</v>
      </c>
      <c r="M36" s="7" t="s">
        <v>96</v>
      </c>
      <c r="N36" s="7"/>
      <c r="O36" s="7" t="s">
        <v>1150</v>
      </c>
      <c r="P36" s="7" t="s">
        <v>1183</v>
      </c>
      <c r="Q36" s="7" t="s">
        <v>1152</v>
      </c>
      <c r="R36" s="8"/>
      <c r="S36" s="12"/>
      <c r="T36" s="12"/>
    </row>
    <row r="37" customFormat="false" ht="23.85" hidden="false" customHeight="false" outlineLevel="0" collapsed="false">
      <c r="A37" s="7" t="s">
        <v>1248</v>
      </c>
      <c r="B37" s="7" t="s">
        <v>79</v>
      </c>
      <c r="C37" s="7" t="s">
        <v>95</v>
      </c>
      <c r="D37" s="7" t="s">
        <v>1249</v>
      </c>
      <c r="E37" s="7" t="s">
        <v>1179</v>
      </c>
      <c r="F37" s="7" t="s">
        <v>928</v>
      </c>
      <c r="G37" s="7" t="s">
        <v>1148</v>
      </c>
      <c r="H37" s="8" t="s">
        <v>97</v>
      </c>
      <c r="I37" s="8" t="s">
        <v>98</v>
      </c>
      <c r="J37" s="7" t="s">
        <v>133</v>
      </c>
      <c r="K37" s="7" t="s">
        <v>1250</v>
      </c>
      <c r="L37" s="7" t="n">
        <v>3</v>
      </c>
      <c r="M37" s="7" t="s">
        <v>96</v>
      </c>
      <c r="N37" s="7"/>
      <c r="O37" s="7" t="s">
        <v>1150</v>
      </c>
      <c r="P37" s="7" t="s">
        <v>1183</v>
      </c>
      <c r="Q37" s="7" t="s">
        <v>1152</v>
      </c>
      <c r="R37" s="8"/>
      <c r="S37" s="12"/>
      <c r="T37" s="12"/>
    </row>
    <row r="38" customFormat="false" ht="23.85" hidden="false" customHeight="false" outlineLevel="0" collapsed="false">
      <c r="A38" s="7" t="s">
        <v>1251</v>
      </c>
      <c r="B38" s="7" t="s">
        <v>79</v>
      </c>
      <c r="C38" s="7" t="s">
        <v>95</v>
      </c>
      <c r="D38" s="7" t="s">
        <v>1252</v>
      </c>
      <c r="E38" s="7" t="s">
        <v>1179</v>
      </c>
      <c r="F38" s="7" t="s">
        <v>928</v>
      </c>
      <c r="G38" s="7" t="s">
        <v>1148</v>
      </c>
      <c r="H38" s="8" t="s">
        <v>97</v>
      </c>
      <c r="I38" s="8" t="s">
        <v>98</v>
      </c>
      <c r="J38" s="7" t="s">
        <v>133</v>
      </c>
      <c r="K38" s="7" t="s">
        <v>1253</v>
      </c>
      <c r="L38" s="7" t="n">
        <v>3</v>
      </c>
      <c r="M38" s="7" t="s">
        <v>96</v>
      </c>
      <c r="N38" s="7"/>
      <c r="O38" s="7" t="s">
        <v>1150</v>
      </c>
      <c r="P38" s="7" t="s">
        <v>1183</v>
      </c>
      <c r="Q38" s="7" t="s">
        <v>1152</v>
      </c>
      <c r="R38" s="8"/>
      <c r="S38" s="12"/>
      <c r="T38" s="12"/>
    </row>
    <row r="39" customFormat="false" ht="23.85" hidden="false" customHeight="false" outlineLevel="0" collapsed="false">
      <c r="A39" s="7" t="s">
        <v>1254</v>
      </c>
      <c r="B39" s="7" t="s">
        <v>79</v>
      </c>
      <c r="C39" s="7" t="s">
        <v>95</v>
      </c>
      <c r="D39" s="7" t="s">
        <v>1255</v>
      </c>
      <c r="E39" s="7" t="s">
        <v>1179</v>
      </c>
      <c r="F39" s="7" t="s">
        <v>928</v>
      </c>
      <c r="G39" s="7" t="s">
        <v>1148</v>
      </c>
      <c r="H39" s="8" t="s">
        <v>97</v>
      </c>
      <c r="I39" s="8" t="s">
        <v>98</v>
      </c>
      <c r="J39" s="7" t="s">
        <v>133</v>
      </c>
      <c r="K39" s="7" t="s">
        <v>1256</v>
      </c>
      <c r="L39" s="7" t="n">
        <v>3</v>
      </c>
      <c r="M39" s="7" t="s">
        <v>96</v>
      </c>
      <c r="N39" s="7"/>
      <c r="O39" s="7" t="s">
        <v>1150</v>
      </c>
      <c r="P39" s="7" t="s">
        <v>1183</v>
      </c>
      <c r="Q39" s="7" t="s">
        <v>1152</v>
      </c>
      <c r="R39" s="8"/>
      <c r="S39" s="12"/>
      <c r="T39" s="12"/>
    </row>
    <row r="40" customFormat="false" ht="23.85" hidden="false" customHeight="false" outlineLevel="0" collapsed="false">
      <c r="A40" s="7" t="s">
        <v>1257</v>
      </c>
      <c r="B40" s="7" t="s">
        <v>79</v>
      </c>
      <c r="C40" s="7" t="s">
        <v>95</v>
      </c>
      <c r="D40" s="7" t="s">
        <v>1258</v>
      </c>
      <c r="E40" s="7" t="s">
        <v>1179</v>
      </c>
      <c r="F40" s="7" t="s">
        <v>928</v>
      </c>
      <c r="G40" s="7" t="s">
        <v>1148</v>
      </c>
      <c r="H40" s="8" t="s">
        <v>97</v>
      </c>
      <c r="I40" s="8" t="s">
        <v>98</v>
      </c>
      <c r="J40" s="7" t="s">
        <v>133</v>
      </c>
      <c r="K40" s="7" t="s">
        <v>1259</v>
      </c>
      <c r="L40" s="7" t="n">
        <v>3</v>
      </c>
      <c r="M40" s="7" t="s">
        <v>96</v>
      </c>
      <c r="N40" s="7"/>
      <c r="O40" s="7" t="s">
        <v>1150</v>
      </c>
      <c r="P40" s="7" t="s">
        <v>1183</v>
      </c>
      <c r="Q40" s="7" t="s">
        <v>1152</v>
      </c>
      <c r="R40" s="8"/>
      <c r="S40" s="12"/>
      <c r="T40" s="12"/>
    </row>
    <row r="41" customFormat="false" ht="23.85" hidden="false" customHeight="false" outlineLevel="0" collapsed="false">
      <c r="A41" s="7" t="s">
        <v>1260</v>
      </c>
      <c r="B41" s="7" t="s">
        <v>79</v>
      </c>
      <c r="C41" s="7" t="s">
        <v>95</v>
      </c>
      <c r="D41" s="7" t="s">
        <v>1261</v>
      </c>
      <c r="E41" s="7" t="s">
        <v>1179</v>
      </c>
      <c r="F41" s="7" t="s">
        <v>928</v>
      </c>
      <c r="G41" s="7" t="s">
        <v>1148</v>
      </c>
      <c r="H41" s="8" t="s">
        <v>97</v>
      </c>
      <c r="I41" s="8" t="s">
        <v>98</v>
      </c>
      <c r="J41" s="7" t="s">
        <v>133</v>
      </c>
      <c r="K41" s="7" t="s">
        <v>1262</v>
      </c>
      <c r="L41" s="7" t="n">
        <v>3</v>
      </c>
      <c r="M41" s="7" t="s">
        <v>96</v>
      </c>
      <c r="N41" s="7"/>
      <c r="O41" s="7" t="s">
        <v>1150</v>
      </c>
      <c r="P41" s="7" t="s">
        <v>1183</v>
      </c>
      <c r="Q41" s="7" t="s">
        <v>1152</v>
      </c>
      <c r="R41" s="8"/>
      <c r="S41" s="12"/>
      <c r="T41" s="12"/>
    </row>
    <row r="42" customFormat="false" ht="23.85" hidden="false" customHeight="false" outlineLevel="0" collapsed="false">
      <c r="A42" s="7" t="s">
        <v>1263</v>
      </c>
      <c r="B42" s="7" t="s">
        <v>79</v>
      </c>
      <c r="C42" s="7" t="s">
        <v>95</v>
      </c>
      <c r="D42" s="7" t="s">
        <v>1264</v>
      </c>
      <c r="E42" s="7" t="s">
        <v>1179</v>
      </c>
      <c r="F42" s="7" t="s">
        <v>928</v>
      </c>
      <c r="G42" s="7" t="s">
        <v>1148</v>
      </c>
      <c r="H42" s="8" t="s">
        <v>97</v>
      </c>
      <c r="I42" s="8" t="s">
        <v>98</v>
      </c>
      <c r="J42" s="7" t="s">
        <v>133</v>
      </c>
      <c r="K42" s="7" t="s">
        <v>1265</v>
      </c>
      <c r="L42" s="7" t="n">
        <v>3</v>
      </c>
      <c r="M42" s="7" t="s">
        <v>96</v>
      </c>
      <c r="N42" s="7"/>
      <c r="O42" s="7" t="s">
        <v>1150</v>
      </c>
      <c r="P42" s="7" t="s">
        <v>1183</v>
      </c>
      <c r="Q42" s="7" t="s">
        <v>1152</v>
      </c>
      <c r="R42" s="8"/>
      <c r="S42" s="12"/>
      <c r="T42" s="12"/>
    </row>
    <row r="43" customFormat="false" ht="23.85" hidden="false" customHeight="false" outlineLevel="0" collapsed="false">
      <c r="A43" s="7" t="s">
        <v>1266</v>
      </c>
      <c r="B43" s="7" t="s">
        <v>79</v>
      </c>
      <c r="C43" s="7" t="s">
        <v>95</v>
      </c>
      <c r="D43" s="7" t="s">
        <v>1267</v>
      </c>
      <c r="E43" s="7" t="s">
        <v>1179</v>
      </c>
      <c r="F43" s="7" t="s">
        <v>928</v>
      </c>
      <c r="G43" s="7" t="s">
        <v>1148</v>
      </c>
      <c r="H43" s="8" t="s">
        <v>97</v>
      </c>
      <c r="I43" s="8" t="s">
        <v>98</v>
      </c>
      <c r="J43" s="7" t="s">
        <v>133</v>
      </c>
      <c r="K43" s="7" t="s">
        <v>1268</v>
      </c>
      <c r="L43" s="7" t="n">
        <v>3</v>
      </c>
      <c r="M43" s="7" t="s">
        <v>96</v>
      </c>
      <c r="N43" s="7"/>
      <c r="O43" s="7" t="s">
        <v>1150</v>
      </c>
      <c r="P43" s="7" t="s">
        <v>1183</v>
      </c>
      <c r="Q43" s="7" t="s">
        <v>1152</v>
      </c>
      <c r="R43" s="8"/>
      <c r="S43" s="12"/>
      <c r="T43" s="12"/>
    </row>
    <row r="44" customFormat="false" ht="23.85" hidden="false" customHeight="false" outlineLevel="0" collapsed="false">
      <c r="A44" s="7" t="s">
        <v>1269</v>
      </c>
      <c r="B44" s="7" t="s">
        <v>79</v>
      </c>
      <c r="C44" s="7" t="s">
        <v>95</v>
      </c>
      <c r="D44" s="7" t="s">
        <v>1270</v>
      </c>
      <c r="E44" s="7" t="s">
        <v>1179</v>
      </c>
      <c r="F44" s="7" t="s">
        <v>928</v>
      </c>
      <c r="G44" s="7" t="s">
        <v>1148</v>
      </c>
      <c r="H44" s="8" t="s">
        <v>97</v>
      </c>
      <c r="I44" s="8" t="s">
        <v>98</v>
      </c>
      <c r="J44" s="7" t="s">
        <v>133</v>
      </c>
      <c r="K44" s="7" t="s">
        <v>1271</v>
      </c>
      <c r="L44" s="7" t="n">
        <v>3</v>
      </c>
      <c r="M44" s="7" t="s">
        <v>96</v>
      </c>
      <c r="N44" s="7"/>
      <c r="O44" s="7" t="s">
        <v>1150</v>
      </c>
      <c r="P44" s="7" t="s">
        <v>1183</v>
      </c>
      <c r="Q44" s="7" t="s">
        <v>1152</v>
      </c>
      <c r="R44" s="8"/>
      <c r="S44" s="12"/>
      <c r="T44" s="12"/>
    </row>
    <row r="45" customFormat="false" ht="23.85" hidden="false" customHeight="false" outlineLevel="0" collapsed="false">
      <c r="A45" s="7" t="s">
        <v>1272</v>
      </c>
      <c r="B45" s="7" t="s">
        <v>79</v>
      </c>
      <c r="C45" s="7" t="s">
        <v>95</v>
      </c>
      <c r="D45" s="7" t="s">
        <v>1273</v>
      </c>
      <c r="E45" s="7" t="s">
        <v>1179</v>
      </c>
      <c r="F45" s="7" t="s">
        <v>928</v>
      </c>
      <c r="G45" s="7" t="s">
        <v>1148</v>
      </c>
      <c r="H45" s="8" t="s">
        <v>97</v>
      </c>
      <c r="I45" s="8" t="s">
        <v>98</v>
      </c>
      <c r="J45" s="7" t="s">
        <v>133</v>
      </c>
      <c r="K45" s="7" t="s">
        <v>1274</v>
      </c>
      <c r="L45" s="7" t="n">
        <v>3</v>
      </c>
      <c r="M45" s="7" t="s">
        <v>96</v>
      </c>
      <c r="N45" s="7"/>
      <c r="O45" s="7" t="s">
        <v>1150</v>
      </c>
      <c r="P45" s="7" t="s">
        <v>1183</v>
      </c>
      <c r="Q45" s="7" t="s">
        <v>1152</v>
      </c>
      <c r="R45" s="8"/>
      <c r="S45" s="12"/>
      <c r="T45" s="12"/>
    </row>
    <row r="46" customFormat="false" ht="23.85" hidden="false" customHeight="false" outlineLevel="0" collapsed="false">
      <c r="A46" s="7" t="s">
        <v>1275</v>
      </c>
      <c r="B46" s="7" t="s">
        <v>79</v>
      </c>
      <c r="C46" s="7" t="s">
        <v>95</v>
      </c>
      <c r="D46" s="7" t="s">
        <v>1276</v>
      </c>
      <c r="E46" s="7" t="s">
        <v>1179</v>
      </c>
      <c r="F46" s="7" t="s">
        <v>928</v>
      </c>
      <c r="G46" s="7" t="s">
        <v>1148</v>
      </c>
      <c r="H46" s="8" t="s">
        <v>97</v>
      </c>
      <c r="I46" s="8" t="s">
        <v>98</v>
      </c>
      <c r="J46" s="7" t="s">
        <v>133</v>
      </c>
      <c r="K46" s="7" t="s">
        <v>1277</v>
      </c>
      <c r="L46" s="7" t="n">
        <v>3</v>
      </c>
      <c r="M46" s="7" t="s">
        <v>96</v>
      </c>
      <c r="N46" s="7"/>
      <c r="O46" s="7" t="s">
        <v>1150</v>
      </c>
      <c r="P46" s="7" t="s">
        <v>1183</v>
      </c>
      <c r="Q46" s="7" t="s">
        <v>1152</v>
      </c>
      <c r="R46" s="8"/>
      <c r="S46" s="12"/>
      <c r="T46" s="12"/>
    </row>
    <row r="47" customFormat="false" ht="23.85" hidden="false" customHeight="false" outlineLevel="0" collapsed="false">
      <c r="A47" s="7" t="s">
        <v>1278</v>
      </c>
      <c r="B47" s="7" t="s">
        <v>79</v>
      </c>
      <c r="C47" s="7" t="s">
        <v>95</v>
      </c>
      <c r="D47" s="7" t="s">
        <v>1279</v>
      </c>
      <c r="E47" s="7" t="s">
        <v>1179</v>
      </c>
      <c r="F47" s="7" t="s">
        <v>928</v>
      </c>
      <c r="G47" s="7" t="s">
        <v>1148</v>
      </c>
      <c r="H47" s="8" t="s">
        <v>97</v>
      </c>
      <c r="I47" s="8" t="s">
        <v>98</v>
      </c>
      <c r="J47" s="7" t="s">
        <v>133</v>
      </c>
      <c r="K47" s="7" t="s">
        <v>1280</v>
      </c>
      <c r="L47" s="7" t="n">
        <v>3</v>
      </c>
      <c r="M47" s="7" t="s">
        <v>96</v>
      </c>
      <c r="N47" s="7"/>
      <c r="O47" s="7" t="s">
        <v>1150</v>
      </c>
      <c r="P47" s="7" t="s">
        <v>1183</v>
      </c>
      <c r="Q47" s="7" t="s">
        <v>1152</v>
      </c>
      <c r="R47" s="8"/>
      <c r="S47" s="12"/>
      <c r="T47" s="12"/>
    </row>
    <row r="48" customFormat="false" ht="23.85" hidden="false" customHeight="false" outlineLevel="0" collapsed="false">
      <c r="A48" s="7" t="s">
        <v>1281</v>
      </c>
      <c r="B48" s="7" t="s">
        <v>79</v>
      </c>
      <c r="C48" s="7" t="s">
        <v>95</v>
      </c>
      <c r="D48" s="7" t="s">
        <v>1282</v>
      </c>
      <c r="E48" s="7" t="s">
        <v>1179</v>
      </c>
      <c r="F48" s="7" t="s">
        <v>928</v>
      </c>
      <c r="G48" s="7" t="s">
        <v>1148</v>
      </c>
      <c r="H48" s="8" t="s">
        <v>97</v>
      </c>
      <c r="I48" s="8" t="s">
        <v>98</v>
      </c>
      <c r="J48" s="7" t="s">
        <v>133</v>
      </c>
      <c r="K48" s="7" t="s">
        <v>1283</v>
      </c>
      <c r="L48" s="7" t="n">
        <v>3</v>
      </c>
      <c r="M48" s="7" t="s">
        <v>96</v>
      </c>
      <c r="N48" s="7"/>
      <c r="O48" s="7" t="s">
        <v>1150</v>
      </c>
      <c r="P48" s="7" t="s">
        <v>1183</v>
      </c>
      <c r="Q48" s="7" t="s">
        <v>1152</v>
      </c>
      <c r="R48" s="8"/>
      <c r="S48" s="12"/>
      <c r="T48" s="12"/>
    </row>
    <row r="49" customFormat="false" ht="23.85" hidden="false" customHeight="false" outlineLevel="0" collapsed="false">
      <c r="A49" s="7" t="s">
        <v>1284</v>
      </c>
      <c r="B49" s="7" t="s">
        <v>79</v>
      </c>
      <c r="C49" s="7" t="s">
        <v>95</v>
      </c>
      <c r="D49" s="7" t="s">
        <v>1285</v>
      </c>
      <c r="E49" s="7" t="s">
        <v>1179</v>
      </c>
      <c r="F49" s="7" t="s">
        <v>928</v>
      </c>
      <c r="G49" s="7" t="s">
        <v>1148</v>
      </c>
      <c r="H49" s="8" t="s">
        <v>97</v>
      </c>
      <c r="I49" s="8" t="s">
        <v>98</v>
      </c>
      <c r="J49" s="7" t="s">
        <v>133</v>
      </c>
      <c r="K49" s="7" t="s">
        <v>1286</v>
      </c>
      <c r="L49" s="7" t="n">
        <v>3</v>
      </c>
      <c r="M49" s="7" t="s">
        <v>96</v>
      </c>
      <c r="N49" s="7"/>
      <c r="O49" s="7" t="s">
        <v>1150</v>
      </c>
      <c r="P49" s="7" t="s">
        <v>1183</v>
      </c>
      <c r="Q49" s="7" t="s">
        <v>1152</v>
      </c>
      <c r="R49" s="8"/>
      <c r="S49" s="12"/>
      <c r="T49" s="12"/>
    </row>
    <row r="50" customFormat="false" ht="23.85" hidden="false" customHeight="false" outlineLevel="0" collapsed="false">
      <c r="A50" s="7" t="s">
        <v>1287</v>
      </c>
      <c r="B50" s="7" t="s">
        <v>79</v>
      </c>
      <c r="C50" s="7" t="s">
        <v>95</v>
      </c>
      <c r="D50" s="7" t="s">
        <v>1288</v>
      </c>
      <c r="E50" s="7" t="s">
        <v>1179</v>
      </c>
      <c r="F50" s="7" t="s">
        <v>928</v>
      </c>
      <c r="G50" s="7" t="s">
        <v>1148</v>
      </c>
      <c r="H50" s="8" t="s">
        <v>97</v>
      </c>
      <c r="I50" s="8" t="s">
        <v>98</v>
      </c>
      <c r="J50" s="7" t="s">
        <v>133</v>
      </c>
      <c r="K50" s="7" t="s">
        <v>1289</v>
      </c>
      <c r="L50" s="7" t="n">
        <v>3</v>
      </c>
      <c r="M50" s="7" t="s">
        <v>96</v>
      </c>
      <c r="N50" s="7"/>
      <c r="O50" s="7" t="s">
        <v>1150</v>
      </c>
      <c r="P50" s="7" t="s">
        <v>1183</v>
      </c>
      <c r="Q50" s="7" t="s">
        <v>1152</v>
      </c>
      <c r="R50" s="8"/>
      <c r="S50" s="12"/>
      <c r="T50" s="12"/>
    </row>
    <row r="51" customFormat="false" ht="23.85" hidden="false" customHeight="false" outlineLevel="0" collapsed="false">
      <c r="A51" s="7" t="s">
        <v>1290</v>
      </c>
      <c r="B51" s="7" t="s">
        <v>79</v>
      </c>
      <c r="C51" s="7" t="s">
        <v>95</v>
      </c>
      <c r="D51" s="7" t="s">
        <v>1291</v>
      </c>
      <c r="E51" s="7" t="s">
        <v>1179</v>
      </c>
      <c r="F51" s="7" t="s">
        <v>928</v>
      </c>
      <c r="G51" s="7" t="s">
        <v>1148</v>
      </c>
      <c r="H51" s="8" t="s">
        <v>97</v>
      </c>
      <c r="I51" s="8" t="s">
        <v>98</v>
      </c>
      <c r="J51" s="7" t="s">
        <v>133</v>
      </c>
      <c r="K51" s="7" t="s">
        <v>1292</v>
      </c>
      <c r="L51" s="7" t="n">
        <v>3</v>
      </c>
      <c r="M51" s="7" t="s">
        <v>96</v>
      </c>
      <c r="N51" s="7"/>
      <c r="O51" s="7" t="s">
        <v>1150</v>
      </c>
      <c r="P51" s="7" t="s">
        <v>1183</v>
      </c>
      <c r="Q51" s="7" t="s">
        <v>1152</v>
      </c>
      <c r="R51" s="8"/>
      <c r="S51" s="12"/>
      <c r="T51" s="12"/>
    </row>
    <row r="52" customFormat="false" ht="23.85" hidden="false" customHeight="false" outlineLevel="0" collapsed="false">
      <c r="A52" s="7" t="s">
        <v>1293</v>
      </c>
      <c r="B52" s="7" t="s">
        <v>79</v>
      </c>
      <c r="C52" s="7" t="s">
        <v>95</v>
      </c>
      <c r="D52" s="7" t="s">
        <v>1294</v>
      </c>
      <c r="E52" s="7" t="s">
        <v>1179</v>
      </c>
      <c r="F52" s="7" t="s">
        <v>928</v>
      </c>
      <c r="G52" s="7" t="s">
        <v>1148</v>
      </c>
      <c r="H52" s="8" t="s">
        <v>97</v>
      </c>
      <c r="I52" s="8" t="s">
        <v>98</v>
      </c>
      <c r="J52" s="7" t="s">
        <v>133</v>
      </c>
      <c r="K52" s="7" t="s">
        <v>1295</v>
      </c>
      <c r="L52" s="7" t="n">
        <v>3</v>
      </c>
      <c r="M52" s="7" t="s">
        <v>96</v>
      </c>
      <c r="N52" s="7"/>
      <c r="O52" s="7" t="s">
        <v>1150</v>
      </c>
      <c r="P52" s="7" t="s">
        <v>1183</v>
      </c>
      <c r="Q52" s="7" t="s">
        <v>1152</v>
      </c>
      <c r="R52" s="8"/>
      <c r="S52" s="12"/>
      <c r="T52" s="12"/>
    </row>
    <row r="53" customFormat="false" ht="23.85" hidden="false" customHeight="false" outlineLevel="0" collapsed="false">
      <c r="A53" s="7" t="s">
        <v>1296</v>
      </c>
      <c r="B53" s="7" t="s">
        <v>79</v>
      </c>
      <c r="C53" s="7" t="s">
        <v>95</v>
      </c>
      <c r="D53" s="7" t="s">
        <v>1297</v>
      </c>
      <c r="E53" s="7" t="s">
        <v>1179</v>
      </c>
      <c r="F53" s="7" t="s">
        <v>928</v>
      </c>
      <c r="G53" s="7" t="s">
        <v>1148</v>
      </c>
      <c r="H53" s="8" t="s">
        <v>97</v>
      </c>
      <c r="I53" s="8" t="s">
        <v>98</v>
      </c>
      <c r="J53" s="7" t="s">
        <v>133</v>
      </c>
      <c r="K53" s="7" t="s">
        <v>1298</v>
      </c>
      <c r="L53" s="7" t="n">
        <v>3</v>
      </c>
      <c r="M53" s="7" t="s">
        <v>96</v>
      </c>
      <c r="N53" s="7"/>
      <c r="O53" s="7" t="s">
        <v>1150</v>
      </c>
      <c r="P53" s="7" t="s">
        <v>1183</v>
      </c>
      <c r="Q53" s="7" t="s">
        <v>1152</v>
      </c>
      <c r="R53" s="8"/>
      <c r="S53" s="12"/>
      <c r="T53" s="12"/>
    </row>
    <row r="54" customFormat="false" ht="23.85" hidden="false" customHeight="false" outlineLevel="0" collapsed="false">
      <c r="A54" s="7" t="s">
        <v>1299</v>
      </c>
      <c r="B54" s="7" t="s">
        <v>79</v>
      </c>
      <c r="C54" s="7" t="s">
        <v>95</v>
      </c>
      <c r="D54" s="7" t="s">
        <v>1300</v>
      </c>
      <c r="E54" s="7" t="s">
        <v>1179</v>
      </c>
      <c r="F54" s="7" t="s">
        <v>928</v>
      </c>
      <c r="G54" s="7" t="s">
        <v>1148</v>
      </c>
      <c r="H54" s="8" t="s">
        <v>97</v>
      </c>
      <c r="I54" s="8" t="s">
        <v>98</v>
      </c>
      <c r="J54" s="7" t="s">
        <v>133</v>
      </c>
      <c r="K54" s="7" t="s">
        <v>1301</v>
      </c>
      <c r="L54" s="7" t="n">
        <v>3</v>
      </c>
      <c r="M54" s="7" t="s">
        <v>96</v>
      </c>
      <c r="N54" s="7"/>
      <c r="O54" s="7" t="s">
        <v>1150</v>
      </c>
      <c r="P54" s="7" t="s">
        <v>1183</v>
      </c>
      <c r="Q54" s="7" t="s">
        <v>1152</v>
      </c>
      <c r="R54" s="8"/>
      <c r="S54" s="12"/>
      <c r="T54" s="12"/>
    </row>
    <row r="55" customFormat="false" ht="35.05" hidden="false" customHeight="false" outlineLevel="0" collapsed="false">
      <c r="A55" s="7" t="s">
        <v>1302</v>
      </c>
      <c r="B55" s="7" t="s">
        <v>79</v>
      </c>
      <c r="C55" s="7" t="s">
        <v>99</v>
      </c>
      <c r="D55" s="7" t="s">
        <v>99</v>
      </c>
      <c r="E55" s="7" t="s">
        <v>1137</v>
      </c>
      <c r="F55" s="7" t="s">
        <v>928</v>
      </c>
      <c r="G55" s="7" t="s">
        <v>1148</v>
      </c>
      <c r="H55" s="8" t="s">
        <v>1303</v>
      </c>
      <c r="I55" s="8" t="s">
        <v>102</v>
      </c>
      <c r="J55" s="7" t="s">
        <v>87</v>
      </c>
      <c r="K55" s="7" t="s">
        <v>100</v>
      </c>
      <c r="L55" s="7" t="n">
        <v>2</v>
      </c>
      <c r="M55" s="7" t="s">
        <v>80</v>
      </c>
      <c r="N55" s="7"/>
      <c r="O55" s="7" t="s">
        <v>1150</v>
      </c>
      <c r="P55" s="7" t="s">
        <v>1183</v>
      </c>
      <c r="Q55" s="7" t="s">
        <v>1152</v>
      </c>
      <c r="R55" s="8"/>
      <c r="S55" s="12"/>
      <c r="T55" s="12"/>
    </row>
    <row r="56" customFormat="false" ht="35.05" hidden="false" customHeight="false" outlineLevel="0" collapsed="false">
      <c r="A56" s="7" t="s">
        <v>1304</v>
      </c>
      <c r="B56" s="7" t="s">
        <v>79</v>
      </c>
      <c r="C56" s="7" t="s">
        <v>99</v>
      </c>
      <c r="D56" s="7" t="s">
        <v>1305</v>
      </c>
      <c r="E56" s="7" t="s">
        <v>1179</v>
      </c>
      <c r="F56" s="7" t="s">
        <v>928</v>
      </c>
      <c r="G56" s="7" t="s">
        <v>1148</v>
      </c>
      <c r="H56" s="8" t="s">
        <v>101</v>
      </c>
      <c r="I56" s="8" t="s">
        <v>102</v>
      </c>
      <c r="J56" s="7" t="s">
        <v>133</v>
      </c>
      <c r="K56" s="7" t="s">
        <v>1306</v>
      </c>
      <c r="L56" s="7" t="n">
        <v>3</v>
      </c>
      <c r="M56" s="7" t="s">
        <v>100</v>
      </c>
      <c r="N56" s="7"/>
      <c r="O56" s="7" t="s">
        <v>1150</v>
      </c>
      <c r="P56" s="7" t="s">
        <v>1183</v>
      </c>
      <c r="Q56" s="7" t="s">
        <v>1152</v>
      </c>
      <c r="R56" s="8"/>
      <c r="S56" s="12"/>
      <c r="T56" s="12"/>
    </row>
    <row r="57" customFormat="false" ht="35.05" hidden="false" customHeight="false" outlineLevel="0" collapsed="false">
      <c r="A57" s="7" t="s">
        <v>1307</v>
      </c>
      <c r="B57" s="7" t="s">
        <v>79</v>
      </c>
      <c r="C57" s="7" t="s">
        <v>99</v>
      </c>
      <c r="D57" s="7" t="s">
        <v>1308</v>
      </c>
      <c r="E57" s="7" t="s">
        <v>1179</v>
      </c>
      <c r="F57" s="7" t="s">
        <v>928</v>
      </c>
      <c r="G57" s="7" t="s">
        <v>1148</v>
      </c>
      <c r="H57" s="8" t="s">
        <v>101</v>
      </c>
      <c r="I57" s="8" t="s">
        <v>102</v>
      </c>
      <c r="J57" s="7" t="s">
        <v>133</v>
      </c>
      <c r="K57" s="7" t="s">
        <v>1309</v>
      </c>
      <c r="L57" s="7" t="n">
        <v>3</v>
      </c>
      <c r="M57" s="7" t="s">
        <v>100</v>
      </c>
      <c r="N57" s="7"/>
      <c r="O57" s="7" t="s">
        <v>1150</v>
      </c>
      <c r="P57" s="7" t="s">
        <v>1183</v>
      </c>
      <c r="Q57" s="7" t="s">
        <v>1152</v>
      </c>
      <c r="R57" s="8"/>
      <c r="S57" s="12"/>
      <c r="T57" s="12"/>
    </row>
    <row r="58" customFormat="false" ht="35.05" hidden="false" customHeight="false" outlineLevel="0" collapsed="false">
      <c r="A58" s="7" t="s">
        <v>1310</v>
      </c>
      <c r="B58" s="7" t="s">
        <v>79</v>
      </c>
      <c r="C58" s="7" t="s">
        <v>99</v>
      </c>
      <c r="D58" s="7" t="s">
        <v>1311</v>
      </c>
      <c r="E58" s="7" t="s">
        <v>1179</v>
      </c>
      <c r="F58" s="7" t="s">
        <v>928</v>
      </c>
      <c r="G58" s="7" t="s">
        <v>1148</v>
      </c>
      <c r="H58" s="8" t="s">
        <v>101</v>
      </c>
      <c r="I58" s="8" t="s">
        <v>102</v>
      </c>
      <c r="J58" s="7" t="s">
        <v>133</v>
      </c>
      <c r="K58" s="7" t="s">
        <v>1312</v>
      </c>
      <c r="L58" s="7" t="n">
        <v>3</v>
      </c>
      <c r="M58" s="7" t="s">
        <v>100</v>
      </c>
      <c r="N58" s="7"/>
      <c r="O58" s="7" t="s">
        <v>1150</v>
      </c>
      <c r="P58" s="7" t="s">
        <v>1183</v>
      </c>
      <c r="Q58" s="7" t="s">
        <v>1152</v>
      </c>
      <c r="R58" s="8"/>
      <c r="S58" s="12"/>
      <c r="T58" s="12"/>
    </row>
    <row r="59" customFormat="false" ht="35.05" hidden="false" customHeight="false" outlineLevel="0" collapsed="false">
      <c r="A59" s="7" t="s">
        <v>1313</v>
      </c>
      <c r="B59" s="7" t="s">
        <v>79</v>
      </c>
      <c r="C59" s="7" t="s">
        <v>99</v>
      </c>
      <c r="D59" s="7" t="s">
        <v>1314</v>
      </c>
      <c r="E59" s="7" t="s">
        <v>1179</v>
      </c>
      <c r="F59" s="7" t="s">
        <v>928</v>
      </c>
      <c r="G59" s="7" t="s">
        <v>1148</v>
      </c>
      <c r="H59" s="8" t="s">
        <v>101</v>
      </c>
      <c r="I59" s="8" t="s">
        <v>102</v>
      </c>
      <c r="J59" s="7" t="s">
        <v>133</v>
      </c>
      <c r="K59" s="7" t="s">
        <v>1315</v>
      </c>
      <c r="L59" s="7" t="n">
        <v>3</v>
      </c>
      <c r="M59" s="7" t="s">
        <v>100</v>
      </c>
      <c r="N59" s="7"/>
      <c r="O59" s="7" t="s">
        <v>1150</v>
      </c>
      <c r="P59" s="7" t="s">
        <v>1183</v>
      </c>
      <c r="Q59" s="7" t="s">
        <v>1152</v>
      </c>
      <c r="R59" s="8"/>
      <c r="S59" s="12"/>
      <c r="T59" s="12"/>
    </row>
    <row r="60" customFormat="false" ht="35.05" hidden="false" customHeight="false" outlineLevel="0" collapsed="false">
      <c r="A60" s="7" t="s">
        <v>1316</v>
      </c>
      <c r="B60" s="7" t="s">
        <v>79</v>
      </c>
      <c r="C60" s="7" t="s">
        <v>103</v>
      </c>
      <c r="D60" s="7" t="s">
        <v>103</v>
      </c>
      <c r="E60" s="7" t="s">
        <v>1137</v>
      </c>
      <c r="F60" s="7" t="s">
        <v>928</v>
      </c>
      <c r="G60" s="7" t="s">
        <v>1148</v>
      </c>
      <c r="H60" s="8" t="s">
        <v>1317</v>
      </c>
      <c r="I60" s="8" t="s">
        <v>106</v>
      </c>
      <c r="J60" s="7" t="s">
        <v>87</v>
      </c>
      <c r="K60" s="7" t="s">
        <v>104</v>
      </c>
      <c r="L60" s="7" t="n">
        <v>2</v>
      </c>
      <c r="M60" s="7" t="s">
        <v>80</v>
      </c>
      <c r="N60" s="7"/>
      <c r="O60" s="7" t="s">
        <v>1150</v>
      </c>
      <c r="P60" s="7" t="s">
        <v>1151</v>
      </c>
      <c r="Q60" s="7" t="s">
        <v>1152</v>
      </c>
      <c r="R60" s="8"/>
      <c r="S60" s="12"/>
      <c r="T60" s="12"/>
    </row>
    <row r="61" customFormat="false" ht="35.05" hidden="false" customHeight="false" outlineLevel="0" collapsed="false">
      <c r="A61" s="7" t="s">
        <v>1318</v>
      </c>
      <c r="B61" s="7" t="s">
        <v>79</v>
      </c>
      <c r="C61" s="7" t="s">
        <v>103</v>
      </c>
      <c r="D61" s="7" t="s">
        <v>1319</v>
      </c>
      <c r="E61" s="7" t="s">
        <v>1179</v>
      </c>
      <c r="F61" s="7" t="s">
        <v>928</v>
      </c>
      <c r="G61" s="7" t="s">
        <v>1148</v>
      </c>
      <c r="H61" s="8" t="s">
        <v>105</v>
      </c>
      <c r="I61" s="8" t="s">
        <v>106</v>
      </c>
      <c r="J61" s="7" t="s">
        <v>133</v>
      </c>
      <c r="K61" s="7" t="s">
        <v>1320</v>
      </c>
      <c r="L61" s="7" t="n">
        <v>3</v>
      </c>
      <c r="M61" s="7" t="s">
        <v>104</v>
      </c>
      <c r="N61" s="7"/>
      <c r="O61" s="7" t="s">
        <v>1150</v>
      </c>
      <c r="P61" s="7" t="s">
        <v>1183</v>
      </c>
      <c r="Q61" s="7" t="s">
        <v>1152</v>
      </c>
      <c r="R61" s="8"/>
      <c r="S61" s="12"/>
      <c r="T61" s="12"/>
    </row>
    <row r="62" customFormat="false" ht="35.05" hidden="false" customHeight="false" outlineLevel="0" collapsed="false">
      <c r="A62" s="7" t="s">
        <v>1321</v>
      </c>
      <c r="B62" s="7" t="s">
        <v>79</v>
      </c>
      <c r="C62" s="7" t="s">
        <v>103</v>
      </c>
      <c r="D62" s="7" t="s">
        <v>1322</v>
      </c>
      <c r="E62" s="7" t="s">
        <v>1179</v>
      </c>
      <c r="F62" s="7" t="s">
        <v>928</v>
      </c>
      <c r="G62" s="7" t="s">
        <v>1148</v>
      </c>
      <c r="H62" s="8" t="s">
        <v>105</v>
      </c>
      <c r="I62" s="8" t="s">
        <v>106</v>
      </c>
      <c r="J62" s="7" t="s">
        <v>133</v>
      </c>
      <c r="K62" s="7" t="s">
        <v>1323</v>
      </c>
      <c r="L62" s="7" t="n">
        <v>3</v>
      </c>
      <c r="M62" s="7" t="s">
        <v>104</v>
      </c>
      <c r="N62" s="7"/>
      <c r="O62" s="7" t="s">
        <v>1150</v>
      </c>
      <c r="P62" s="7" t="s">
        <v>1183</v>
      </c>
      <c r="Q62" s="7" t="s">
        <v>1152</v>
      </c>
      <c r="R62" s="8"/>
      <c r="S62" s="12"/>
      <c r="T62" s="12"/>
    </row>
    <row r="63" customFormat="false" ht="35.05" hidden="false" customHeight="false" outlineLevel="0" collapsed="false">
      <c r="A63" s="7" t="s">
        <v>1324</v>
      </c>
      <c r="B63" s="7" t="s">
        <v>79</v>
      </c>
      <c r="C63" s="7" t="s">
        <v>103</v>
      </c>
      <c r="D63" s="7" t="s">
        <v>1325</v>
      </c>
      <c r="E63" s="7" t="s">
        <v>1179</v>
      </c>
      <c r="F63" s="7" t="s">
        <v>928</v>
      </c>
      <c r="G63" s="7" t="s">
        <v>1148</v>
      </c>
      <c r="H63" s="8" t="s">
        <v>105</v>
      </c>
      <c r="I63" s="8" t="s">
        <v>106</v>
      </c>
      <c r="J63" s="7" t="s">
        <v>133</v>
      </c>
      <c r="K63" s="7" t="s">
        <v>1326</v>
      </c>
      <c r="L63" s="7" t="n">
        <v>3</v>
      </c>
      <c r="M63" s="7" t="s">
        <v>104</v>
      </c>
      <c r="N63" s="7"/>
      <c r="O63" s="7" t="s">
        <v>1150</v>
      </c>
      <c r="P63" s="7" t="s">
        <v>1183</v>
      </c>
      <c r="Q63" s="7" t="s">
        <v>1152</v>
      </c>
      <c r="R63" s="8"/>
      <c r="S63" s="12"/>
      <c r="T63" s="12"/>
    </row>
    <row r="64" customFormat="false" ht="35.05" hidden="false" customHeight="false" outlineLevel="0" collapsed="false">
      <c r="A64" s="7" t="s">
        <v>1327</v>
      </c>
      <c r="B64" s="7" t="s">
        <v>79</v>
      </c>
      <c r="C64" s="7" t="s">
        <v>103</v>
      </c>
      <c r="D64" s="7" t="s">
        <v>1328</v>
      </c>
      <c r="E64" s="7" t="s">
        <v>1179</v>
      </c>
      <c r="F64" s="7" t="s">
        <v>928</v>
      </c>
      <c r="G64" s="7" t="s">
        <v>1148</v>
      </c>
      <c r="H64" s="8" t="s">
        <v>105</v>
      </c>
      <c r="I64" s="8" t="s">
        <v>106</v>
      </c>
      <c r="J64" s="7" t="s">
        <v>133</v>
      </c>
      <c r="K64" s="7" t="s">
        <v>1329</v>
      </c>
      <c r="L64" s="7" t="n">
        <v>3</v>
      </c>
      <c r="M64" s="7" t="s">
        <v>104</v>
      </c>
      <c r="N64" s="7"/>
      <c r="O64" s="7" t="s">
        <v>1150</v>
      </c>
      <c r="P64" s="7" t="s">
        <v>1183</v>
      </c>
      <c r="Q64" s="7" t="s">
        <v>1152</v>
      </c>
      <c r="R64" s="8"/>
      <c r="S64" s="12"/>
      <c r="T64" s="12"/>
    </row>
    <row r="65" customFormat="false" ht="35.05" hidden="false" customHeight="false" outlineLevel="0" collapsed="false">
      <c r="A65" s="7" t="s">
        <v>1330</v>
      </c>
      <c r="B65" s="7" t="s">
        <v>79</v>
      </c>
      <c r="C65" s="7" t="s">
        <v>103</v>
      </c>
      <c r="D65" s="7" t="s">
        <v>1331</v>
      </c>
      <c r="E65" s="7" t="s">
        <v>1179</v>
      </c>
      <c r="F65" s="7" t="s">
        <v>928</v>
      </c>
      <c r="G65" s="7" t="s">
        <v>1148</v>
      </c>
      <c r="H65" s="8" t="s">
        <v>105</v>
      </c>
      <c r="I65" s="8" t="s">
        <v>106</v>
      </c>
      <c r="J65" s="7" t="s">
        <v>133</v>
      </c>
      <c r="K65" s="7" t="s">
        <v>1332</v>
      </c>
      <c r="L65" s="7" t="n">
        <v>3</v>
      </c>
      <c r="M65" s="7" t="s">
        <v>104</v>
      </c>
      <c r="N65" s="7"/>
      <c r="O65" s="7" t="s">
        <v>1150</v>
      </c>
      <c r="P65" s="7" t="s">
        <v>1183</v>
      </c>
      <c r="Q65" s="7" t="s">
        <v>1152</v>
      </c>
      <c r="R65" s="8"/>
      <c r="S65" s="12"/>
      <c r="T65" s="12"/>
    </row>
    <row r="66" customFormat="false" ht="35.05" hidden="false" customHeight="false" outlineLevel="0" collapsed="false">
      <c r="A66" s="7" t="s">
        <v>1333</v>
      </c>
      <c r="B66" s="7" t="s">
        <v>79</v>
      </c>
      <c r="C66" s="7" t="s">
        <v>103</v>
      </c>
      <c r="D66" s="7" t="s">
        <v>1334</v>
      </c>
      <c r="E66" s="7" t="s">
        <v>1179</v>
      </c>
      <c r="F66" s="7" t="s">
        <v>928</v>
      </c>
      <c r="G66" s="7" t="s">
        <v>1148</v>
      </c>
      <c r="H66" s="8" t="s">
        <v>105</v>
      </c>
      <c r="I66" s="8" t="s">
        <v>106</v>
      </c>
      <c r="J66" s="7" t="s">
        <v>133</v>
      </c>
      <c r="K66" s="7" t="s">
        <v>1335</v>
      </c>
      <c r="L66" s="7" t="n">
        <v>3</v>
      </c>
      <c r="M66" s="7" t="s">
        <v>104</v>
      </c>
      <c r="N66" s="7"/>
      <c r="O66" s="7" t="s">
        <v>1150</v>
      </c>
      <c r="P66" s="7" t="s">
        <v>1183</v>
      </c>
      <c r="Q66" s="7" t="s">
        <v>1152</v>
      </c>
      <c r="R66" s="8"/>
      <c r="S66" s="12"/>
      <c r="T66" s="12"/>
    </row>
    <row r="67" customFormat="false" ht="35.05" hidden="false" customHeight="false" outlineLevel="0" collapsed="false">
      <c r="A67" s="7" t="s">
        <v>1336</v>
      </c>
      <c r="B67" s="7" t="s">
        <v>79</v>
      </c>
      <c r="C67" s="7" t="s">
        <v>103</v>
      </c>
      <c r="D67" s="7" t="s">
        <v>1337</v>
      </c>
      <c r="E67" s="7" t="s">
        <v>1179</v>
      </c>
      <c r="F67" s="7" t="s">
        <v>928</v>
      </c>
      <c r="G67" s="7" t="s">
        <v>1148</v>
      </c>
      <c r="H67" s="8" t="s">
        <v>105</v>
      </c>
      <c r="I67" s="8" t="s">
        <v>106</v>
      </c>
      <c r="J67" s="7" t="s">
        <v>133</v>
      </c>
      <c r="K67" s="7" t="s">
        <v>1338</v>
      </c>
      <c r="L67" s="7" t="n">
        <v>3</v>
      </c>
      <c r="M67" s="7" t="s">
        <v>104</v>
      </c>
      <c r="N67" s="7"/>
      <c r="O67" s="7" t="s">
        <v>1150</v>
      </c>
      <c r="P67" s="7" t="s">
        <v>1183</v>
      </c>
      <c r="Q67" s="7" t="s">
        <v>1152</v>
      </c>
      <c r="R67" s="8"/>
      <c r="S67" s="12"/>
      <c r="T67" s="12"/>
    </row>
    <row r="68" customFormat="false" ht="35.05" hidden="false" customHeight="false" outlineLevel="0" collapsed="false">
      <c r="A68" s="7" t="s">
        <v>1339</v>
      </c>
      <c r="B68" s="7" t="s">
        <v>79</v>
      </c>
      <c r="C68" s="7" t="s">
        <v>103</v>
      </c>
      <c r="D68" s="7" t="s">
        <v>1340</v>
      </c>
      <c r="E68" s="7" t="s">
        <v>1179</v>
      </c>
      <c r="F68" s="7" t="s">
        <v>928</v>
      </c>
      <c r="G68" s="7" t="s">
        <v>1148</v>
      </c>
      <c r="H68" s="8" t="s">
        <v>105</v>
      </c>
      <c r="I68" s="8" t="s">
        <v>106</v>
      </c>
      <c r="J68" s="7" t="s">
        <v>133</v>
      </c>
      <c r="K68" s="7" t="s">
        <v>1341</v>
      </c>
      <c r="L68" s="7" t="n">
        <v>3</v>
      </c>
      <c r="M68" s="7" t="s">
        <v>104</v>
      </c>
      <c r="N68" s="7"/>
      <c r="O68" s="7" t="s">
        <v>1150</v>
      </c>
      <c r="P68" s="7" t="s">
        <v>1183</v>
      </c>
      <c r="Q68" s="7" t="s">
        <v>1152</v>
      </c>
      <c r="R68" s="8"/>
      <c r="S68" s="12"/>
      <c r="T68" s="12"/>
    </row>
    <row r="69" customFormat="false" ht="35.05" hidden="false" customHeight="false" outlineLevel="0" collapsed="false">
      <c r="A69" s="7" t="s">
        <v>1342</v>
      </c>
      <c r="B69" s="7" t="s">
        <v>79</v>
      </c>
      <c r="C69" s="7" t="s">
        <v>103</v>
      </c>
      <c r="D69" s="7" t="s">
        <v>1343</v>
      </c>
      <c r="E69" s="7" t="s">
        <v>1179</v>
      </c>
      <c r="F69" s="7" t="s">
        <v>928</v>
      </c>
      <c r="G69" s="7" t="s">
        <v>1148</v>
      </c>
      <c r="H69" s="8" t="s">
        <v>105</v>
      </c>
      <c r="I69" s="8" t="s">
        <v>106</v>
      </c>
      <c r="J69" s="7" t="s">
        <v>133</v>
      </c>
      <c r="K69" s="7" t="s">
        <v>1344</v>
      </c>
      <c r="L69" s="7" t="n">
        <v>3</v>
      </c>
      <c r="M69" s="7" t="s">
        <v>104</v>
      </c>
      <c r="N69" s="7"/>
      <c r="O69" s="7" t="s">
        <v>1150</v>
      </c>
      <c r="P69" s="7" t="s">
        <v>1183</v>
      </c>
      <c r="Q69" s="7" t="s">
        <v>1152</v>
      </c>
      <c r="R69" s="8"/>
      <c r="S69" s="12"/>
      <c r="T69" s="12"/>
    </row>
    <row r="70" customFormat="false" ht="35.05" hidden="false" customHeight="false" outlineLevel="0" collapsed="false">
      <c r="A70" s="7" t="s">
        <v>1345</v>
      </c>
      <c r="B70" s="7" t="s">
        <v>79</v>
      </c>
      <c r="C70" s="7" t="s">
        <v>103</v>
      </c>
      <c r="D70" s="7" t="s">
        <v>1346</v>
      </c>
      <c r="E70" s="7" t="s">
        <v>1179</v>
      </c>
      <c r="F70" s="7" t="s">
        <v>928</v>
      </c>
      <c r="G70" s="7" t="s">
        <v>1148</v>
      </c>
      <c r="H70" s="8" t="s">
        <v>105</v>
      </c>
      <c r="I70" s="8" t="s">
        <v>106</v>
      </c>
      <c r="J70" s="7" t="s">
        <v>133</v>
      </c>
      <c r="K70" s="7" t="s">
        <v>1347</v>
      </c>
      <c r="L70" s="7" t="n">
        <v>3</v>
      </c>
      <c r="M70" s="7" t="s">
        <v>104</v>
      </c>
      <c r="N70" s="7"/>
      <c r="O70" s="7" t="s">
        <v>1150</v>
      </c>
      <c r="P70" s="7" t="s">
        <v>1183</v>
      </c>
      <c r="Q70" s="7" t="s">
        <v>1152</v>
      </c>
      <c r="R70" s="8"/>
      <c r="S70" s="12"/>
      <c r="T70" s="12"/>
    </row>
    <row r="71" customFormat="false" ht="35.05" hidden="false" customHeight="false" outlineLevel="0" collapsed="false">
      <c r="A71" s="7" t="s">
        <v>1348</v>
      </c>
      <c r="B71" s="7" t="s">
        <v>79</v>
      </c>
      <c r="C71" s="7" t="s">
        <v>103</v>
      </c>
      <c r="D71" s="7" t="s">
        <v>1349</v>
      </c>
      <c r="E71" s="7" t="s">
        <v>1179</v>
      </c>
      <c r="F71" s="7" t="s">
        <v>928</v>
      </c>
      <c r="G71" s="7" t="s">
        <v>1148</v>
      </c>
      <c r="H71" s="8" t="s">
        <v>105</v>
      </c>
      <c r="I71" s="8" t="s">
        <v>106</v>
      </c>
      <c r="J71" s="7" t="s">
        <v>133</v>
      </c>
      <c r="K71" s="7" t="s">
        <v>1350</v>
      </c>
      <c r="L71" s="7" t="n">
        <v>3</v>
      </c>
      <c r="M71" s="7" t="s">
        <v>104</v>
      </c>
      <c r="N71" s="7"/>
      <c r="O71" s="7" t="s">
        <v>1150</v>
      </c>
      <c r="P71" s="7" t="s">
        <v>1183</v>
      </c>
      <c r="Q71" s="7" t="s">
        <v>1152</v>
      </c>
      <c r="R71" s="8"/>
      <c r="S71" s="12"/>
      <c r="T71" s="12"/>
    </row>
    <row r="72" customFormat="false" ht="35.05" hidden="false" customHeight="false" outlineLevel="0" collapsed="false">
      <c r="A72" s="7" t="s">
        <v>1351</v>
      </c>
      <c r="B72" s="7" t="s">
        <v>79</v>
      </c>
      <c r="C72" s="7" t="s">
        <v>107</v>
      </c>
      <c r="D72" s="7" t="s">
        <v>107</v>
      </c>
      <c r="E72" s="7" t="s">
        <v>1137</v>
      </c>
      <c r="F72" s="7" t="s">
        <v>928</v>
      </c>
      <c r="G72" s="7" t="s">
        <v>1148</v>
      </c>
      <c r="H72" s="8" t="s">
        <v>1352</v>
      </c>
      <c r="I72" s="8" t="s">
        <v>110</v>
      </c>
      <c r="J72" s="7" t="s">
        <v>87</v>
      </c>
      <c r="K72" s="7" t="s">
        <v>108</v>
      </c>
      <c r="L72" s="7" t="n">
        <v>2</v>
      </c>
      <c r="M72" s="7" t="s">
        <v>80</v>
      </c>
      <c r="N72" s="7"/>
      <c r="O72" s="7" t="s">
        <v>1150</v>
      </c>
      <c r="P72" s="7" t="s">
        <v>1151</v>
      </c>
      <c r="Q72" s="7" t="s">
        <v>1152</v>
      </c>
      <c r="R72" s="8"/>
      <c r="S72" s="12"/>
      <c r="T72" s="12"/>
    </row>
    <row r="73" customFormat="false" ht="35.05" hidden="false" customHeight="false" outlineLevel="0" collapsed="false">
      <c r="A73" s="7" t="s">
        <v>1353</v>
      </c>
      <c r="B73" s="7" t="s">
        <v>79</v>
      </c>
      <c r="C73" s="7" t="s">
        <v>107</v>
      </c>
      <c r="D73" s="7" t="s">
        <v>1354</v>
      </c>
      <c r="E73" s="7" t="s">
        <v>1179</v>
      </c>
      <c r="F73" s="7" t="s">
        <v>928</v>
      </c>
      <c r="G73" s="7" t="s">
        <v>1148</v>
      </c>
      <c r="H73" s="8" t="s">
        <v>1355</v>
      </c>
      <c r="I73" s="8" t="s">
        <v>110</v>
      </c>
      <c r="J73" s="7" t="s">
        <v>133</v>
      </c>
      <c r="K73" s="7" t="s">
        <v>1356</v>
      </c>
      <c r="L73" s="7" t="n">
        <v>3</v>
      </c>
      <c r="M73" s="7" t="s">
        <v>108</v>
      </c>
      <c r="N73" s="7"/>
      <c r="O73" s="7" t="s">
        <v>1150</v>
      </c>
      <c r="P73" s="7" t="s">
        <v>1183</v>
      </c>
      <c r="Q73" s="7" t="s">
        <v>1152</v>
      </c>
      <c r="R73" s="8"/>
      <c r="S73" s="12"/>
      <c r="T73" s="12"/>
    </row>
    <row r="74" customFormat="false" ht="35.05" hidden="false" customHeight="false" outlineLevel="0" collapsed="false">
      <c r="A74" s="7" t="s">
        <v>1357</v>
      </c>
      <c r="B74" s="7" t="s">
        <v>79</v>
      </c>
      <c r="C74" s="7" t="s">
        <v>107</v>
      </c>
      <c r="D74" s="7" t="s">
        <v>1358</v>
      </c>
      <c r="E74" s="7" t="s">
        <v>1179</v>
      </c>
      <c r="F74" s="7" t="s">
        <v>928</v>
      </c>
      <c r="G74" s="7" t="s">
        <v>1148</v>
      </c>
      <c r="H74" s="8" t="s">
        <v>1355</v>
      </c>
      <c r="I74" s="8" t="s">
        <v>110</v>
      </c>
      <c r="J74" s="7" t="s">
        <v>133</v>
      </c>
      <c r="K74" s="7" t="s">
        <v>1359</v>
      </c>
      <c r="L74" s="7" t="n">
        <v>3</v>
      </c>
      <c r="M74" s="7" t="s">
        <v>108</v>
      </c>
      <c r="N74" s="7"/>
      <c r="O74" s="7" t="s">
        <v>1150</v>
      </c>
      <c r="P74" s="7" t="s">
        <v>1183</v>
      </c>
      <c r="Q74" s="7" t="s">
        <v>1152</v>
      </c>
      <c r="R74" s="8"/>
      <c r="S74" s="12"/>
      <c r="T74" s="12"/>
    </row>
    <row r="75" customFormat="false" ht="35.05" hidden="false" customHeight="false" outlineLevel="0" collapsed="false">
      <c r="A75" s="7" t="s">
        <v>1360</v>
      </c>
      <c r="B75" s="7" t="s">
        <v>79</v>
      </c>
      <c r="C75" s="7" t="s">
        <v>107</v>
      </c>
      <c r="D75" s="7" t="s">
        <v>1361</v>
      </c>
      <c r="E75" s="7" t="s">
        <v>1179</v>
      </c>
      <c r="F75" s="7" t="s">
        <v>928</v>
      </c>
      <c r="G75" s="7" t="s">
        <v>1148</v>
      </c>
      <c r="H75" s="8" t="s">
        <v>1355</v>
      </c>
      <c r="I75" s="8" t="s">
        <v>110</v>
      </c>
      <c r="J75" s="7" t="s">
        <v>133</v>
      </c>
      <c r="K75" s="7" t="s">
        <v>1362</v>
      </c>
      <c r="L75" s="7" t="n">
        <v>3</v>
      </c>
      <c r="M75" s="7" t="s">
        <v>108</v>
      </c>
      <c r="N75" s="7"/>
      <c r="O75" s="7" t="s">
        <v>1150</v>
      </c>
      <c r="P75" s="7" t="s">
        <v>1183</v>
      </c>
      <c r="Q75" s="7" t="s">
        <v>1152</v>
      </c>
      <c r="R75" s="8"/>
      <c r="S75" s="12"/>
      <c r="T75" s="12"/>
    </row>
    <row r="76" customFormat="false" ht="35.05" hidden="false" customHeight="false" outlineLevel="0" collapsed="false">
      <c r="A76" s="7" t="s">
        <v>1363</v>
      </c>
      <c r="B76" s="7" t="s">
        <v>79</v>
      </c>
      <c r="C76" s="7" t="s">
        <v>107</v>
      </c>
      <c r="D76" s="7" t="s">
        <v>1364</v>
      </c>
      <c r="E76" s="7" t="s">
        <v>1179</v>
      </c>
      <c r="F76" s="7" t="s">
        <v>928</v>
      </c>
      <c r="G76" s="7" t="s">
        <v>1148</v>
      </c>
      <c r="H76" s="8" t="s">
        <v>1355</v>
      </c>
      <c r="I76" s="8" t="s">
        <v>110</v>
      </c>
      <c r="J76" s="7" t="s">
        <v>133</v>
      </c>
      <c r="K76" s="7" t="s">
        <v>1365</v>
      </c>
      <c r="L76" s="7" t="n">
        <v>3</v>
      </c>
      <c r="M76" s="7" t="s">
        <v>108</v>
      </c>
      <c r="N76" s="7"/>
      <c r="O76" s="7" t="s">
        <v>1150</v>
      </c>
      <c r="P76" s="7" t="s">
        <v>1183</v>
      </c>
      <c r="Q76" s="7" t="s">
        <v>1152</v>
      </c>
      <c r="R76" s="8"/>
      <c r="S76" s="12"/>
      <c r="T76" s="12"/>
    </row>
    <row r="77" customFormat="false" ht="35.05" hidden="false" customHeight="false" outlineLevel="0" collapsed="false">
      <c r="A77" s="7" t="s">
        <v>1366</v>
      </c>
      <c r="B77" s="7" t="s">
        <v>79</v>
      </c>
      <c r="C77" s="7" t="s">
        <v>107</v>
      </c>
      <c r="D77" s="7" t="s">
        <v>1367</v>
      </c>
      <c r="E77" s="7" t="s">
        <v>1179</v>
      </c>
      <c r="F77" s="7" t="s">
        <v>928</v>
      </c>
      <c r="G77" s="7" t="s">
        <v>1148</v>
      </c>
      <c r="H77" s="8" t="s">
        <v>1355</v>
      </c>
      <c r="I77" s="8" t="s">
        <v>110</v>
      </c>
      <c r="J77" s="7" t="s">
        <v>133</v>
      </c>
      <c r="K77" s="7" t="s">
        <v>1368</v>
      </c>
      <c r="L77" s="7" t="n">
        <v>3</v>
      </c>
      <c r="M77" s="7" t="s">
        <v>108</v>
      </c>
      <c r="N77" s="7"/>
      <c r="O77" s="7" t="s">
        <v>1150</v>
      </c>
      <c r="P77" s="7" t="s">
        <v>1183</v>
      </c>
      <c r="Q77" s="7" t="s">
        <v>1152</v>
      </c>
      <c r="R77" s="8"/>
      <c r="S77" s="12"/>
      <c r="T77" s="12"/>
    </row>
    <row r="78" customFormat="false" ht="35.05" hidden="false" customHeight="false" outlineLevel="0" collapsed="false">
      <c r="A78" s="7" t="s">
        <v>1369</v>
      </c>
      <c r="B78" s="7" t="s">
        <v>79</v>
      </c>
      <c r="C78" s="7" t="s">
        <v>111</v>
      </c>
      <c r="D78" s="7" t="s">
        <v>111</v>
      </c>
      <c r="E78" s="7" t="s">
        <v>1137</v>
      </c>
      <c r="F78" s="7" t="s">
        <v>928</v>
      </c>
      <c r="G78" s="7" t="s">
        <v>1148</v>
      </c>
      <c r="H78" s="8" t="s">
        <v>1370</v>
      </c>
      <c r="I78" s="8" t="s">
        <v>114</v>
      </c>
      <c r="J78" s="7" t="s">
        <v>87</v>
      </c>
      <c r="K78" s="7" t="s">
        <v>112</v>
      </c>
      <c r="L78" s="7" t="n">
        <v>2</v>
      </c>
      <c r="M78" s="7" t="s">
        <v>80</v>
      </c>
      <c r="N78" s="7"/>
      <c r="O78" s="7" t="s">
        <v>1150</v>
      </c>
      <c r="P78" s="7" t="s">
        <v>1183</v>
      </c>
      <c r="Q78" s="7" t="s">
        <v>1152</v>
      </c>
      <c r="R78" s="8"/>
      <c r="S78" s="12"/>
      <c r="T78" s="12"/>
    </row>
    <row r="79" customFormat="false" ht="35.05" hidden="false" customHeight="false" outlineLevel="0" collapsed="false">
      <c r="A79" s="7" t="s">
        <v>1371</v>
      </c>
      <c r="B79" s="7" t="s">
        <v>79</v>
      </c>
      <c r="C79" s="7" t="s">
        <v>111</v>
      </c>
      <c r="D79" s="7" t="s">
        <v>1372</v>
      </c>
      <c r="E79" s="7" t="s">
        <v>1179</v>
      </c>
      <c r="F79" s="7" t="s">
        <v>928</v>
      </c>
      <c r="G79" s="7" t="s">
        <v>1148</v>
      </c>
      <c r="H79" s="8" t="s">
        <v>1373</v>
      </c>
      <c r="I79" s="8" t="s">
        <v>114</v>
      </c>
      <c r="J79" s="7" t="s">
        <v>133</v>
      </c>
      <c r="K79" s="7" t="s">
        <v>1374</v>
      </c>
      <c r="L79" s="7" t="n">
        <v>3</v>
      </c>
      <c r="M79" s="7" t="s">
        <v>112</v>
      </c>
      <c r="N79" s="7"/>
      <c r="O79" s="7" t="s">
        <v>1150</v>
      </c>
      <c r="P79" s="7" t="s">
        <v>1183</v>
      </c>
      <c r="Q79" s="7" t="s">
        <v>1152</v>
      </c>
      <c r="R79" s="8"/>
      <c r="S79" s="12"/>
      <c r="T79" s="12"/>
    </row>
    <row r="80" customFormat="false" ht="35.05" hidden="false" customHeight="false" outlineLevel="0" collapsed="false">
      <c r="A80" s="7" t="s">
        <v>1375</v>
      </c>
      <c r="B80" s="7" t="s">
        <v>79</v>
      </c>
      <c r="C80" s="7" t="s">
        <v>111</v>
      </c>
      <c r="D80" s="7" t="s">
        <v>1376</v>
      </c>
      <c r="E80" s="7" t="s">
        <v>1179</v>
      </c>
      <c r="F80" s="7" t="s">
        <v>928</v>
      </c>
      <c r="G80" s="7" t="s">
        <v>1148</v>
      </c>
      <c r="H80" s="8" t="s">
        <v>1373</v>
      </c>
      <c r="I80" s="8" t="s">
        <v>114</v>
      </c>
      <c r="J80" s="7" t="s">
        <v>133</v>
      </c>
      <c r="K80" s="7" t="s">
        <v>1377</v>
      </c>
      <c r="L80" s="7" t="n">
        <v>3</v>
      </c>
      <c r="M80" s="7" t="s">
        <v>112</v>
      </c>
      <c r="N80" s="7"/>
      <c r="O80" s="7" t="s">
        <v>1150</v>
      </c>
      <c r="P80" s="7" t="s">
        <v>1183</v>
      </c>
      <c r="Q80" s="7" t="s">
        <v>1152</v>
      </c>
      <c r="R80" s="8"/>
      <c r="S80" s="12"/>
      <c r="T80" s="12"/>
    </row>
    <row r="81" customFormat="false" ht="23.85" hidden="false" customHeight="false" outlineLevel="0" collapsed="false">
      <c r="A81" s="7" t="s">
        <v>1378</v>
      </c>
      <c r="B81" s="7" t="s">
        <v>79</v>
      </c>
      <c r="C81" s="7" t="s">
        <v>111</v>
      </c>
      <c r="D81" s="7" t="s">
        <v>1379</v>
      </c>
      <c r="E81" s="7" t="s">
        <v>1179</v>
      </c>
      <c r="F81" s="7" t="s">
        <v>928</v>
      </c>
      <c r="G81" s="7" t="s">
        <v>1148</v>
      </c>
      <c r="H81" s="8" t="s">
        <v>113</v>
      </c>
      <c r="I81" s="8" t="s">
        <v>114</v>
      </c>
      <c r="J81" s="7" t="s">
        <v>133</v>
      </c>
      <c r="K81" s="7" t="s">
        <v>1380</v>
      </c>
      <c r="L81" s="7" t="n">
        <v>3</v>
      </c>
      <c r="M81" s="7" t="s">
        <v>112</v>
      </c>
      <c r="N81" s="7"/>
      <c r="O81" s="7" t="s">
        <v>1150</v>
      </c>
      <c r="P81" s="7" t="s">
        <v>1183</v>
      </c>
      <c r="Q81" s="7" t="s">
        <v>1152</v>
      </c>
      <c r="R81" s="8"/>
      <c r="S81" s="12"/>
      <c r="T81" s="12"/>
    </row>
    <row r="82" customFormat="false" ht="23.85" hidden="false" customHeight="false" outlineLevel="0" collapsed="false">
      <c r="A82" s="7" t="s">
        <v>1381</v>
      </c>
      <c r="B82" s="7" t="s">
        <v>79</v>
      </c>
      <c r="C82" s="7" t="s">
        <v>111</v>
      </c>
      <c r="D82" s="7" t="s">
        <v>1382</v>
      </c>
      <c r="E82" s="7" t="s">
        <v>1179</v>
      </c>
      <c r="F82" s="7" t="s">
        <v>928</v>
      </c>
      <c r="G82" s="7" t="s">
        <v>1148</v>
      </c>
      <c r="H82" s="8" t="s">
        <v>113</v>
      </c>
      <c r="I82" s="8" t="s">
        <v>114</v>
      </c>
      <c r="J82" s="7" t="s">
        <v>133</v>
      </c>
      <c r="K82" s="7" t="s">
        <v>1383</v>
      </c>
      <c r="L82" s="7" t="n">
        <v>3</v>
      </c>
      <c r="M82" s="7" t="s">
        <v>112</v>
      </c>
      <c r="N82" s="7"/>
      <c r="O82" s="7" t="s">
        <v>1150</v>
      </c>
      <c r="P82" s="7" t="s">
        <v>1183</v>
      </c>
      <c r="Q82" s="7" t="s">
        <v>1152</v>
      </c>
      <c r="R82" s="8"/>
      <c r="S82" s="12"/>
      <c r="T82" s="12"/>
    </row>
    <row r="83" customFormat="false" ht="23.85" hidden="false" customHeight="false" outlineLevel="0" collapsed="false">
      <c r="A83" s="7" t="s">
        <v>1384</v>
      </c>
      <c r="B83" s="7" t="s">
        <v>79</v>
      </c>
      <c r="C83" s="7" t="s">
        <v>111</v>
      </c>
      <c r="D83" s="7" t="s">
        <v>1385</v>
      </c>
      <c r="E83" s="7" t="s">
        <v>1179</v>
      </c>
      <c r="F83" s="7" t="s">
        <v>928</v>
      </c>
      <c r="G83" s="7" t="s">
        <v>1148</v>
      </c>
      <c r="H83" s="8" t="s">
        <v>113</v>
      </c>
      <c r="I83" s="8" t="s">
        <v>114</v>
      </c>
      <c r="J83" s="7" t="s">
        <v>133</v>
      </c>
      <c r="K83" s="7" t="s">
        <v>1386</v>
      </c>
      <c r="L83" s="7" t="n">
        <v>3</v>
      </c>
      <c r="M83" s="7" t="s">
        <v>112</v>
      </c>
      <c r="N83" s="7"/>
      <c r="O83" s="7" t="s">
        <v>1150</v>
      </c>
      <c r="P83" s="7" t="s">
        <v>1183</v>
      </c>
      <c r="Q83" s="7" t="s">
        <v>1152</v>
      </c>
      <c r="R83" s="8"/>
      <c r="S83" s="12"/>
      <c r="T83" s="12"/>
    </row>
    <row r="84" customFormat="false" ht="23.85" hidden="false" customHeight="false" outlineLevel="0" collapsed="false">
      <c r="A84" s="7" t="s">
        <v>1387</v>
      </c>
      <c r="B84" s="7" t="s">
        <v>79</v>
      </c>
      <c r="C84" s="7" t="s">
        <v>111</v>
      </c>
      <c r="D84" s="7" t="s">
        <v>1388</v>
      </c>
      <c r="E84" s="7" t="s">
        <v>1179</v>
      </c>
      <c r="F84" s="7" t="s">
        <v>928</v>
      </c>
      <c r="G84" s="7" t="s">
        <v>1148</v>
      </c>
      <c r="H84" s="8" t="s">
        <v>113</v>
      </c>
      <c r="I84" s="8" t="s">
        <v>114</v>
      </c>
      <c r="J84" s="7" t="s">
        <v>133</v>
      </c>
      <c r="K84" s="7" t="s">
        <v>1389</v>
      </c>
      <c r="L84" s="7" t="n">
        <v>3</v>
      </c>
      <c r="M84" s="7" t="s">
        <v>112</v>
      </c>
      <c r="N84" s="7"/>
      <c r="O84" s="7" t="s">
        <v>1150</v>
      </c>
      <c r="P84" s="7" t="s">
        <v>1183</v>
      </c>
      <c r="Q84" s="7" t="s">
        <v>1152</v>
      </c>
      <c r="R84" s="8"/>
      <c r="S84" s="12"/>
      <c r="T84" s="12"/>
    </row>
    <row r="85" customFormat="false" ht="35.05" hidden="false" customHeight="false" outlineLevel="0" collapsed="false">
      <c r="A85" s="7" t="s">
        <v>1390</v>
      </c>
      <c r="B85" s="7" t="s">
        <v>79</v>
      </c>
      <c r="C85" s="7" t="s">
        <v>115</v>
      </c>
      <c r="D85" s="7" t="s">
        <v>115</v>
      </c>
      <c r="E85" s="7" t="s">
        <v>1137</v>
      </c>
      <c r="F85" s="7" t="s">
        <v>928</v>
      </c>
      <c r="G85" s="7" t="s">
        <v>1148</v>
      </c>
      <c r="H85" s="8" t="s">
        <v>1391</v>
      </c>
      <c r="I85" s="8" t="s">
        <v>118</v>
      </c>
      <c r="J85" s="7" t="s">
        <v>87</v>
      </c>
      <c r="K85" s="7" t="s">
        <v>116</v>
      </c>
      <c r="L85" s="7" t="n">
        <v>2</v>
      </c>
      <c r="M85" s="7" t="s">
        <v>80</v>
      </c>
      <c r="N85" s="7"/>
      <c r="O85" s="7" t="s">
        <v>1150</v>
      </c>
      <c r="P85" s="7" t="s">
        <v>1183</v>
      </c>
      <c r="Q85" s="7" t="s">
        <v>1152</v>
      </c>
      <c r="R85" s="8"/>
      <c r="S85" s="12"/>
      <c r="T85" s="12"/>
    </row>
    <row r="86" customFormat="false" ht="35.05" hidden="false" customHeight="false" outlineLevel="0" collapsed="false">
      <c r="A86" s="7" t="s">
        <v>1392</v>
      </c>
      <c r="B86" s="7" t="s">
        <v>79</v>
      </c>
      <c r="C86" s="7" t="s">
        <v>115</v>
      </c>
      <c r="D86" s="7" t="s">
        <v>1393</v>
      </c>
      <c r="E86" s="7" t="s">
        <v>1179</v>
      </c>
      <c r="F86" s="7" t="s">
        <v>928</v>
      </c>
      <c r="G86" s="7" t="s">
        <v>1148</v>
      </c>
      <c r="H86" s="8" t="s">
        <v>1394</v>
      </c>
      <c r="I86" s="8" t="s">
        <v>118</v>
      </c>
      <c r="J86" s="7" t="s">
        <v>133</v>
      </c>
      <c r="K86" s="7" t="s">
        <v>1395</v>
      </c>
      <c r="L86" s="7" t="n">
        <v>3</v>
      </c>
      <c r="M86" s="7" t="s">
        <v>116</v>
      </c>
      <c r="N86" s="7"/>
      <c r="O86" s="7" t="s">
        <v>1150</v>
      </c>
      <c r="P86" s="7" t="s">
        <v>1183</v>
      </c>
      <c r="Q86" s="7" t="s">
        <v>1152</v>
      </c>
      <c r="R86" s="8"/>
      <c r="S86" s="12"/>
      <c r="T86" s="12"/>
    </row>
    <row r="87" customFormat="false" ht="35.05" hidden="false" customHeight="false" outlineLevel="0" collapsed="false">
      <c r="A87" s="7" t="s">
        <v>1396</v>
      </c>
      <c r="B87" s="7" t="s">
        <v>79</v>
      </c>
      <c r="C87" s="7" t="s">
        <v>115</v>
      </c>
      <c r="D87" s="7" t="s">
        <v>1397</v>
      </c>
      <c r="E87" s="7" t="s">
        <v>1179</v>
      </c>
      <c r="F87" s="7" t="s">
        <v>928</v>
      </c>
      <c r="G87" s="7" t="s">
        <v>1148</v>
      </c>
      <c r="H87" s="8" t="s">
        <v>1394</v>
      </c>
      <c r="I87" s="8" t="s">
        <v>118</v>
      </c>
      <c r="J87" s="7" t="s">
        <v>133</v>
      </c>
      <c r="K87" s="7" t="s">
        <v>1398</v>
      </c>
      <c r="L87" s="7" t="n">
        <v>3</v>
      </c>
      <c r="M87" s="7" t="s">
        <v>116</v>
      </c>
      <c r="N87" s="7"/>
      <c r="O87" s="7" t="s">
        <v>1150</v>
      </c>
      <c r="P87" s="7" t="s">
        <v>1183</v>
      </c>
      <c r="Q87" s="7" t="s">
        <v>1152</v>
      </c>
      <c r="R87" s="8"/>
      <c r="S87" s="12"/>
      <c r="T87" s="12"/>
    </row>
    <row r="88" customFormat="false" ht="35.05" hidden="false" customHeight="false" outlineLevel="0" collapsed="false">
      <c r="A88" s="7" t="s">
        <v>1399</v>
      </c>
      <c r="B88" s="7" t="s">
        <v>79</v>
      </c>
      <c r="C88" s="7" t="s">
        <v>119</v>
      </c>
      <c r="D88" s="7" t="s">
        <v>119</v>
      </c>
      <c r="E88" s="7" t="s">
        <v>1137</v>
      </c>
      <c r="F88" s="7" t="s">
        <v>928</v>
      </c>
      <c r="G88" s="7" t="s">
        <v>1148</v>
      </c>
      <c r="H88" s="8" t="s">
        <v>1400</v>
      </c>
      <c r="I88" s="8" t="s">
        <v>122</v>
      </c>
      <c r="J88" s="7" t="s">
        <v>87</v>
      </c>
      <c r="K88" s="7" t="s">
        <v>120</v>
      </c>
      <c r="L88" s="7" t="n">
        <v>2</v>
      </c>
      <c r="M88" s="7" t="s">
        <v>80</v>
      </c>
      <c r="N88" s="7"/>
      <c r="O88" s="7" t="s">
        <v>1150</v>
      </c>
      <c r="P88" s="7" t="s">
        <v>1183</v>
      </c>
      <c r="Q88" s="7" t="s">
        <v>1152</v>
      </c>
      <c r="R88" s="8"/>
      <c r="S88" s="12"/>
      <c r="T88" s="12"/>
    </row>
    <row r="89" customFormat="false" ht="23.85" hidden="false" customHeight="false" outlineLevel="0" collapsed="false">
      <c r="A89" s="7" t="s">
        <v>1401</v>
      </c>
      <c r="B89" s="7" t="s">
        <v>79</v>
      </c>
      <c r="C89" s="7" t="s">
        <v>119</v>
      </c>
      <c r="D89" s="7" t="s">
        <v>1402</v>
      </c>
      <c r="E89" s="7" t="s">
        <v>1179</v>
      </c>
      <c r="F89" s="7" t="s">
        <v>928</v>
      </c>
      <c r="G89" s="7" t="s">
        <v>1148</v>
      </c>
      <c r="H89" s="8" t="s">
        <v>121</v>
      </c>
      <c r="I89" s="8" t="s">
        <v>122</v>
      </c>
      <c r="J89" s="7" t="s">
        <v>133</v>
      </c>
      <c r="K89" s="7" t="s">
        <v>1403</v>
      </c>
      <c r="L89" s="7" t="n">
        <v>3</v>
      </c>
      <c r="M89" s="7" t="s">
        <v>120</v>
      </c>
      <c r="N89" s="7"/>
      <c r="O89" s="7" t="s">
        <v>1150</v>
      </c>
      <c r="P89" s="7" t="s">
        <v>1183</v>
      </c>
      <c r="Q89" s="7" t="s">
        <v>1152</v>
      </c>
      <c r="R89" s="8"/>
      <c r="S89" s="12"/>
      <c r="T89" s="12"/>
    </row>
    <row r="90" customFormat="false" ht="23.85" hidden="false" customHeight="false" outlineLevel="0" collapsed="false">
      <c r="A90" s="7" t="s">
        <v>1404</v>
      </c>
      <c r="B90" s="7" t="s">
        <v>79</v>
      </c>
      <c r="C90" s="7" t="s">
        <v>119</v>
      </c>
      <c r="D90" s="7" t="s">
        <v>1405</v>
      </c>
      <c r="E90" s="7" t="s">
        <v>1179</v>
      </c>
      <c r="F90" s="7" t="s">
        <v>928</v>
      </c>
      <c r="G90" s="7" t="s">
        <v>1148</v>
      </c>
      <c r="H90" s="8" t="s">
        <v>121</v>
      </c>
      <c r="I90" s="8" t="s">
        <v>122</v>
      </c>
      <c r="J90" s="7" t="s">
        <v>133</v>
      </c>
      <c r="K90" s="7" t="s">
        <v>1406</v>
      </c>
      <c r="L90" s="7" t="n">
        <v>3</v>
      </c>
      <c r="M90" s="7" t="s">
        <v>120</v>
      </c>
      <c r="N90" s="7"/>
      <c r="O90" s="7" t="s">
        <v>1150</v>
      </c>
      <c r="P90" s="7" t="s">
        <v>1183</v>
      </c>
      <c r="Q90" s="7" t="s">
        <v>1152</v>
      </c>
      <c r="R90" s="8"/>
      <c r="S90" s="12"/>
      <c r="T90" s="12"/>
    </row>
    <row r="91" customFormat="false" ht="23.85" hidden="false" customHeight="false" outlineLevel="0" collapsed="false">
      <c r="A91" s="7" t="s">
        <v>1407</v>
      </c>
      <c r="B91" s="7" t="s">
        <v>79</v>
      </c>
      <c r="C91" s="7" t="s">
        <v>119</v>
      </c>
      <c r="D91" s="7" t="s">
        <v>1408</v>
      </c>
      <c r="E91" s="7" t="s">
        <v>1179</v>
      </c>
      <c r="F91" s="7" t="s">
        <v>928</v>
      </c>
      <c r="G91" s="7" t="s">
        <v>1148</v>
      </c>
      <c r="H91" s="8" t="s">
        <v>121</v>
      </c>
      <c r="I91" s="8" t="s">
        <v>122</v>
      </c>
      <c r="J91" s="7" t="s">
        <v>133</v>
      </c>
      <c r="K91" s="7" t="s">
        <v>1409</v>
      </c>
      <c r="L91" s="7" t="n">
        <v>3</v>
      </c>
      <c r="M91" s="7" t="s">
        <v>120</v>
      </c>
      <c r="N91" s="7"/>
      <c r="O91" s="7" t="s">
        <v>1150</v>
      </c>
      <c r="P91" s="7" t="s">
        <v>1183</v>
      </c>
      <c r="Q91" s="7" t="s">
        <v>1152</v>
      </c>
      <c r="R91" s="8"/>
      <c r="S91" s="12"/>
      <c r="T91" s="12"/>
    </row>
    <row r="92" customFormat="false" ht="23.85" hidden="false" customHeight="false" outlineLevel="0" collapsed="false">
      <c r="A92" s="7" t="s">
        <v>1410</v>
      </c>
      <c r="B92" s="7" t="s">
        <v>79</v>
      </c>
      <c r="C92" s="7" t="s">
        <v>119</v>
      </c>
      <c r="D92" s="7" t="s">
        <v>1411</v>
      </c>
      <c r="E92" s="7" t="s">
        <v>1179</v>
      </c>
      <c r="F92" s="7" t="s">
        <v>928</v>
      </c>
      <c r="G92" s="7" t="s">
        <v>1148</v>
      </c>
      <c r="H92" s="8" t="s">
        <v>121</v>
      </c>
      <c r="I92" s="8" t="s">
        <v>122</v>
      </c>
      <c r="J92" s="7" t="s">
        <v>133</v>
      </c>
      <c r="K92" s="7" t="s">
        <v>1412</v>
      </c>
      <c r="L92" s="7" t="n">
        <v>3</v>
      </c>
      <c r="M92" s="7" t="s">
        <v>120</v>
      </c>
      <c r="N92" s="7"/>
      <c r="O92" s="7" t="s">
        <v>1150</v>
      </c>
      <c r="P92" s="7" t="s">
        <v>1183</v>
      </c>
      <c r="Q92" s="7" t="s">
        <v>1152</v>
      </c>
      <c r="R92" s="8"/>
      <c r="S92" s="12"/>
      <c r="T92" s="12"/>
    </row>
    <row r="93" customFormat="false" ht="23.85" hidden="false" customHeight="false" outlineLevel="0" collapsed="false">
      <c r="A93" s="7" t="s">
        <v>1413</v>
      </c>
      <c r="B93" s="7" t="s">
        <v>79</v>
      </c>
      <c r="C93" s="7" t="s">
        <v>119</v>
      </c>
      <c r="D93" s="7" t="s">
        <v>1414</v>
      </c>
      <c r="E93" s="7" t="s">
        <v>1179</v>
      </c>
      <c r="F93" s="7" t="s">
        <v>928</v>
      </c>
      <c r="G93" s="7" t="s">
        <v>1148</v>
      </c>
      <c r="H93" s="8" t="s">
        <v>121</v>
      </c>
      <c r="I93" s="8" t="s">
        <v>122</v>
      </c>
      <c r="J93" s="7" t="s">
        <v>133</v>
      </c>
      <c r="K93" s="7" t="s">
        <v>1415</v>
      </c>
      <c r="L93" s="7" t="n">
        <v>3</v>
      </c>
      <c r="M93" s="7" t="s">
        <v>120</v>
      </c>
      <c r="N93" s="7"/>
      <c r="O93" s="7" t="s">
        <v>1150</v>
      </c>
      <c r="P93" s="7" t="s">
        <v>1183</v>
      </c>
      <c r="Q93" s="7" t="s">
        <v>1152</v>
      </c>
      <c r="R93" s="8"/>
      <c r="S93" s="12"/>
      <c r="T93" s="12"/>
    </row>
    <row r="94" customFormat="false" ht="23.85" hidden="false" customHeight="false" outlineLevel="0" collapsed="false">
      <c r="A94" s="7" t="s">
        <v>1416</v>
      </c>
      <c r="B94" s="7" t="s">
        <v>79</v>
      </c>
      <c r="C94" s="7" t="s">
        <v>119</v>
      </c>
      <c r="D94" s="7" t="s">
        <v>1417</v>
      </c>
      <c r="E94" s="7" t="s">
        <v>1179</v>
      </c>
      <c r="F94" s="7" t="s">
        <v>928</v>
      </c>
      <c r="G94" s="7" t="s">
        <v>1148</v>
      </c>
      <c r="H94" s="8" t="s">
        <v>121</v>
      </c>
      <c r="I94" s="8" t="s">
        <v>122</v>
      </c>
      <c r="J94" s="7" t="s">
        <v>133</v>
      </c>
      <c r="K94" s="7" t="s">
        <v>1418</v>
      </c>
      <c r="L94" s="7" t="n">
        <v>3</v>
      </c>
      <c r="M94" s="7" t="s">
        <v>120</v>
      </c>
      <c r="N94" s="7"/>
      <c r="O94" s="7" t="s">
        <v>1150</v>
      </c>
      <c r="P94" s="7" t="s">
        <v>1183</v>
      </c>
      <c r="Q94" s="7" t="s">
        <v>1152</v>
      </c>
      <c r="R94" s="8"/>
      <c r="S94" s="12"/>
      <c r="T94" s="12"/>
    </row>
    <row r="95" customFormat="false" ht="35.05" hidden="false" customHeight="false" outlineLevel="0" collapsed="false">
      <c r="A95" s="7" t="s">
        <v>1419</v>
      </c>
      <c r="B95" s="7" t="s">
        <v>79</v>
      </c>
      <c r="C95" s="7" t="s">
        <v>123</v>
      </c>
      <c r="D95" s="7" t="s">
        <v>123</v>
      </c>
      <c r="E95" s="7" t="s">
        <v>1137</v>
      </c>
      <c r="F95" s="7" t="s">
        <v>928</v>
      </c>
      <c r="G95" s="7" t="s">
        <v>1148</v>
      </c>
      <c r="H95" s="8" t="s">
        <v>1420</v>
      </c>
      <c r="I95" s="8" t="s">
        <v>126</v>
      </c>
      <c r="J95" s="7" t="s">
        <v>87</v>
      </c>
      <c r="K95" s="7" t="s">
        <v>124</v>
      </c>
      <c r="L95" s="7" t="n">
        <v>2</v>
      </c>
      <c r="M95" s="7" t="s">
        <v>80</v>
      </c>
      <c r="N95" s="7"/>
      <c r="O95" s="7" t="s">
        <v>1421</v>
      </c>
      <c r="P95" s="7" t="s">
        <v>1183</v>
      </c>
      <c r="Q95" s="7" t="s">
        <v>1152</v>
      </c>
      <c r="R95" s="8"/>
      <c r="S95" s="12"/>
      <c r="T95" s="12"/>
    </row>
    <row r="96" customFormat="false" ht="23.85" hidden="false" customHeight="false" outlineLevel="0" collapsed="false">
      <c r="A96" s="7" t="s">
        <v>1422</v>
      </c>
      <c r="B96" s="7" t="s">
        <v>79</v>
      </c>
      <c r="C96" s="7" t="s">
        <v>123</v>
      </c>
      <c r="D96" s="7" t="s">
        <v>1423</v>
      </c>
      <c r="E96" s="7" t="s">
        <v>1179</v>
      </c>
      <c r="F96" s="7" t="s">
        <v>943</v>
      </c>
      <c r="G96" s="7" t="s">
        <v>1424</v>
      </c>
      <c r="H96" s="8" t="s">
        <v>125</v>
      </c>
      <c r="I96" s="8" t="s">
        <v>126</v>
      </c>
      <c r="J96" s="7" t="s">
        <v>133</v>
      </c>
      <c r="K96" s="7" t="s">
        <v>1425</v>
      </c>
      <c r="L96" s="7" t="n">
        <v>3</v>
      </c>
      <c r="M96" s="7" t="s">
        <v>124</v>
      </c>
      <c r="N96" s="7"/>
      <c r="O96" s="7" t="s">
        <v>1421</v>
      </c>
      <c r="P96" s="7" t="s">
        <v>1183</v>
      </c>
      <c r="Q96" s="7" t="s">
        <v>1152</v>
      </c>
      <c r="R96" s="8"/>
      <c r="S96" s="12"/>
      <c r="T96" s="12"/>
    </row>
    <row r="97" customFormat="false" ht="23.85" hidden="false" customHeight="false" outlineLevel="0" collapsed="false">
      <c r="A97" s="7" t="s">
        <v>1426</v>
      </c>
      <c r="B97" s="7" t="s">
        <v>79</v>
      </c>
      <c r="C97" s="7" t="s">
        <v>123</v>
      </c>
      <c r="D97" s="7" t="s">
        <v>1427</v>
      </c>
      <c r="E97" s="7" t="s">
        <v>1179</v>
      </c>
      <c r="F97" s="7" t="s">
        <v>943</v>
      </c>
      <c r="G97" s="7" t="s">
        <v>1424</v>
      </c>
      <c r="H97" s="8" t="s">
        <v>125</v>
      </c>
      <c r="I97" s="8" t="s">
        <v>126</v>
      </c>
      <c r="J97" s="7" t="s">
        <v>133</v>
      </c>
      <c r="K97" s="7" t="s">
        <v>1428</v>
      </c>
      <c r="L97" s="7" t="n">
        <v>3</v>
      </c>
      <c r="M97" s="7" t="s">
        <v>124</v>
      </c>
      <c r="N97" s="7"/>
      <c r="O97" s="7" t="s">
        <v>1421</v>
      </c>
      <c r="P97" s="7" t="s">
        <v>1183</v>
      </c>
      <c r="Q97" s="7" t="s">
        <v>1152</v>
      </c>
      <c r="R97" s="8"/>
      <c r="S97" s="12"/>
      <c r="T97" s="12"/>
    </row>
    <row r="98" customFormat="false" ht="23.85" hidden="false" customHeight="false" outlineLevel="0" collapsed="false">
      <c r="A98" s="7" t="s">
        <v>1429</v>
      </c>
      <c r="B98" s="7" t="s">
        <v>79</v>
      </c>
      <c r="C98" s="7" t="s">
        <v>123</v>
      </c>
      <c r="D98" s="7" t="s">
        <v>1430</v>
      </c>
      <c r="E98" s="7" t="s">
        <v>1179</v>
      </c>
      <c r="F98" s="7" t="s">
        <v>943</v>
      </c>
      <c r="G98" s="7" t="s">
        <v>1424</v>
      </c>
      <c r="H98" s="8" t="s">
        <v>125</v>
      </c>
      <c r="I98" s="8" t="s">
        <v>126</v>
      </c>
      <c r="J98" s="7" t="s">
        <v>133</v>
      </c>
      <c r="K98" s="7" t="s">
        <v>1431</v>
      </c>
      <c r="L98" s="7" t="n">
        <v>3</v>
      </c>
      <c r="M98" s="7" t="s">
        <v>124</v>
      </c>
      <c r="N98" s="7"/>
      <c r="O98" s="7" t="s">
        <v>1421</v>
      </c>
      <c r="P98" s="7" t="s">
        <v>1183</v>
      </c>
      <c r="Q98" s="7" t="s">
        <v>1152</v>
      </c>
      <c r="R98" s="8"/>
      <c r="S98" s="12"/>
      <c r="T98" s="12"/>
    </row>
    <row r="99" customFormat="false" ht="23.85" hidden="false" customHeight="false" outlineLevel="0" collapsed="false">
      <c r="A99" s="7" t="s">
        <v>1432</v>
      </c>
      <c r="B99" s="7" t="s">
        <v>79</v>
      </c>
      <c r="C99" s="7" t="s">
        <v>123</v>
      </c>
      <c r="D99" s="7" t="s">
        <v>1433</v>
      </c>
      <c r="E99" s="7" t="s">
        <v>1179</v>
      </c>
      <c r="F99" s="7" t="s">
        <v>943</v>
      </c>
      <c r="G99" s="7" t="s">
        <v>1424</v>
      </c>
      <c r="H99" s="8" t="s">
        <v>125</v>
      </c>
      <c r="I99" s="8" t="s">
        <v>126</v>
      </c>
      <c r="J99" s="7" t="s">
        <v>133</v>
      </c>
      <c r="K99" s="7" t="s">
        <v>1434</v>
      </c>
      <c r="L99" s="7" t="n">
        <v>3</v>
      </c>
      <c r="M99" s="7" t="s">
        <v>124</v>
      </c>
      <c r="N99" s="7"/>
      <c r="O99" s="7" t="s">
        <v>1421</v>
      </c>
      <c r="P99" s="7" t="s">
        <v>1183</v>
      </c>
      <c r="Q99" s="7" t="s">
        <v>1152</v>
      </c>
      <c r="R99" s="8"/>
      <c r="S99" s="12"/>
      <c r="T99" s="12"/>
    </row>
    <row r="100" customFormat="false" ht="23.85" hidden="false" customHeight="false" outlineLevel="0" collapsed="false">
      <c r="A100" s="7" t="s">
        <v>1435</v>
      </c>
      <c r="B100" s="7" t="s">
        <v>79</v>
      </c>
      <c r="C100" s="7" t="s">
        <v>123</v>
      </c>
      <c r="D100" s="7" t="s">
        <v>1436</v>
      </c>
      <c r="E100" s="7" t="s">
        <v>1179</v>
      </c>
      <c r="F100" s="7" t="s">
        <v>943</v>
      </c>
      <c r="G100" s="7" t="s">
        <v>1424</v>
      </c>
      <c r="H100" s="8" t="s">
        <v>125</v>
      </c>
      <c r="I100" s="8" t="s">
        <v>126</v>
      </c>
      <c r="J100" s="7" t="s">
        <v>133</v>
      </c>
      <c r="K100" s="7" t="s">
        <v>1437</v>
      </c>
      <c r="L100" s="7" t="n">
        <v>3</v>
      </c>
      <c r="M100" s="7" t="s">
        <v>124</v>
      </c>
      <c r="N100" s="7"/>
      <c r="O100" s="7" t="s">
        <v>1421</v>
      </c>
      <c r="P100" s="7" t="s">
        <v>1183</v>
      </c>
      <c r="Q100" s="7" t="s">
        <v>1152</v>
      </c>
      <c r="R100" s="8"/>
      <c r="S100" s="12"/>
      <c r="T100" s="12"/>
    </row>
    <row r="101" customFormat="false" ht="23.85" hidden="false" customHeight="false" outlineLevel="0" collapsed="false">
      <c r="A101" s="7" t="s">
        <v>1438</v>
      </c>
      <c r="B101" s="7" t="s">
        <v>79</v>
      </c>
      <c r="C101" s="7" t="s">
        <v>123</v>
      </c>
      <c r="D101" s="7" t="s">
        <v>1439</v>
      </c>
      <c r="E101" s="7" t="s">
        <v>1179</v>
      </c>
      <c r="F101" s="7" t="s">
        <v>943</v>
      </c>
      <c r="G101" s="7" t="s">
        <v>1424</v>
      </c>
      <c r="H101" s="8" t="s">
        <v>125</v>
      </c>
      <c r="I101" s="8" t="s">
        <v>126</v>
      </c>
      <c r="J101" s="7" t="s">
        <v>133</v>
      </c>
      <c r="K101" s="7" t="s">
        <v>1440</v>
      </c>
      <c r="L101" s="7" t="n">
        <v>3</v>
      </c>
      <c r="M101" s="7" t="s">
        <v>124</v>
      </c>
      <c r="N101" s="7"/>
      <c r="O101" s="7" t="s">
        <v>1421</v>
      </c>
      <c r="P101" s="7" t="s">
        <v>1183</v>
      </c>
      <c r="Q101" s="7" t="s">
        <v>1152</v>
      </c>
      <c r="R101" s="8"/>
      <c r="S101" s="12"/>
      <c r="T101" s="12"/>
    </row>
    <row r="102" customFormat="false" ht="23.85" hidden="false" customHeight="false" outlineLevel="0" collapsed="false">
      <c r="A102" s="7" t="s">
        <v>1441</v>
      </c>
      <c r="B102" s="7" t="s">
        <v>79</v>
      </c>
      <c r="C102" s="7" t="s">
        <v>123</v>
      </c>
      <c r="D102" s="7" t="s">
        <v>1442</v>
      </c>
      <c r="E102" s="7" t="s">
        <v>1179</v>
      </c>
      <c r="F102" s="7" t="s">
        <v>943</v>
      </c>
      <c r="G102" s="7" t="s">
        <v>1424</v>
      </c>
      <c r="H102" s="8" t="s">
        <v>125</v>
      </c>
      <c r="I102" s="8" t="s">
        <v>126</v>
      </c>
      <c r="J102" s="7" t="s">
        <v>133</v>
      </c>
      <c r="K102" s="7" t="s">
        <v>1443</v>
      </c>
      <c r="L102" s="7" t="n">
        <v>3</v>
      </c>
      <c r="M102" s="7" t="s">
        <v>124</v>
      </c>
      <c r="N102" s="7"/>
      <c r="O102" s="7" t="s">
        <v>1421</v>
      </c>
      <c r="P102" s="7" t="s">
        <v>1183</v>
      </c>
      <c r="Q102" s="7" t="s">
        <v>1152</v>
      </c>
      <c r="R102" s="8"/>
      <c r="S102" s="12"/>
      <c r="T102" s="12"/>
    </row>
    <row r="103" customFormat="false" ht="23.85" hidden="false" customHeight="false" outlineLevel="0" collapsed="false">
      <c r="A103" s="7" t="s">
        <v>1444</v>
      </c>
      <c r="B103" s="7" t="s">
        <v>79</v>
      </c>
      <c r="C103" s="7" t="s">
        <v>123</v>
      </c>
      <c r="D103" s="7" t="s">
        <v>1445</v>
      </c>
      <c r="E103" s="7" t="s">
        <v>1179</v>
      </c>
      <c r="F103" s="7" t="s">
        <v>943</v>
      </c>
      <c r="G103" s="7" t="s">
        <v>1424</v>
      </c>
      <c r="H103" s="8" t="s">
        <v>125</v>
      </c>
      <c r="I103" s="8" t="s">
        <v>126</v>
      </c>
      <c r="J103" s="7" t="s">
        <v>133</v>
      </c>
      <c r="K103" s="7" t="s">
        <v>1446</v>
      </c>
      <c r="L103" s="7" t="n">
        <v>3</v>
      </c>
      <c r="M103" s="7" t="s">
        <v>124</v>
      </c>
      <c r="N103" s="7"/>
      <c r="O103" s="7" t="s">
        <v>1421</v>
      </c>
      <c r="P103" s="7" t="s">
        <v>1183</v>
      </c>
      <c r="Q103" s="7" t="s">
        <v>1152</v>
      </c>
      <c r="R103" s="8"/>
      <c r="S103" s="12"/>
      <c r="T103" s="12"/>
    </row>
    <row r="104" customFormat="false" ht="23.85" hidden="false" customHeight="false" outlineLevel="0" collapsed="false">
      <c r="A104" s="7" t="s">
        <v>1447</v>
      </c>
      <c r="B104" s="7" t="s">
        <v>79</v>
      </c>
      <c r="C104" s="7" t="s">
        <v>123</v>
      </c>
      <c r="D104" s="7" t="s">
        <v>1448</v>
      </c>
      <c r="E104" s="7" t="s">
        <v>1179</v>
      </c>
      <c r="F104" s="7" t="s">
        <v>943</v>
      </c>
      <c r="G104" s="7" t="s">
        <v>1424</v>
      </c>
      <c r="H104" s="8" t="s">
        <v>125</v>
      </c>
      <c r="I104" s="8" t="s">
        <v>126</v>
      </c>
      <c r="J104" s="7" t="s">
        <v>133</v>
      </c>
      <c r="K104" s="7" t="s">
        <v>1449</v>
      </c>
      <c r="L104" s="7" t="n">
        <v>3</v>
      </c>
      <c r="M104" s="7" t="s">
        <v>124</v>
      </c>
      <c r="N104" s="7"/>
      <c r="O104" s="7" t="s">
        <v>1421</v>
      </c>
      <c r="P104" s="7" t="s">
        <v>1183</v>
      </c>
      <c r="Q104" s="7" t="s">
        <v>1152</v>
      </c>
      <c r="R104" s="8"/>
      <c r="S104" s="12"/>
      <c r="T104" s="12"/>
    </row>
    <row r="105" customFormat="false" ht="23.85" hidden="false" customHeight="false" outlineLevel="0" collapsed="false">
      <c r="A105" s="7" t="s">
        <v>1450</v>
      </c>
      <c r="B105" s="7" t="s">
        <v>79</v>
      </c>
      <c r="C105" s="7" t="s">
        <v>123</v>
      </c>
      <c r="D105" s="7" t="s">
        <v>1451</v>
      </c>
      <c r="E105" s="7" t="s">
        <v>1179</v>
      </c>
      <c r="F105" s="7" t="s">
        <v>943</v>
      </c>
      <c r="G105" s="7" t="s">
        <v>1424</v>
      </c>
      <c r="H105" s="8" t="s">
        <v>125</v>
      </c>
      <c r="I105" s="8" t="s">
        <v>126</v>
      </c>
      <c r="J105" s="7" t="s">
        <v>133</v>
      </c>
      <c r="K105" s="7" t="s">
        <v>1452</v>
      </c>
      <c r="L105" s="7" t="n">
        <v>3</v>
      </c>
      <c r="M105" s="7" t="s">
        <v>124</v>
      </c>
      <c r="N105" s="7"/>
      <c r="O105" s="7" t="s">
        <v>1421</v>
      </c>
      <c r="P105" s="7" t="s">
        <v>1183</v>
      </c>
      <c r="Q105" s="7" t="s">
        <v>1152</v>
      </c>
      <c r="R105" s="8"/>
      <c r="S105" s="12"/>
      <c r="T105" s="12"/>
    </row>
    <row r="106" customFormat="false" ht="23.85" hidden="false" customHeight="false" outlineLevel="0" collapsed="false">
      <c r="A106" s="7" t="s">
        <v>1453</v>
      </c>
      <c r="B106" s="7" t="s">
        <v>79</v>
      </c>
      <c r="C106" s="7" t="s">
        <v>123</v>
      </c>
      <c r="D106" s="7" t="s">
        <v>1454</v>
      </c>
      <c r="E106" s="7" t="s">
        <v>1179</v>
      </c>
      <c r="F106" s="7" t="s">
        <v>943</v>
      </c>
      <c r="G106" s="7" t="s">
        <v>1424</v>
      </c>
      <c r="H106" s="8" t="s">
        <v>125</v>
      </c>
      <c r="I106" s="8" t="s">
        <v>126</v>
      </c>
      <c r="J106" s="7" t="s">
        <v>133</v>
      </c>
      <c r="K106" s="7" t="s">
        <v>1455</v>
      </c>
      <c r="L106" s="7" t="n">
        <v>3</v>
      </c>
      <c r="M106" s="7" t="s">
        <v>124</v>
      </c>
      <c r="N106" s="7"/>
      <c r="O106" s="7" t="s">
        <v>1421</v>
      </c>
      <c r="P106" s="7" t="s">
        <v>1183</v>
      </c>
      <c r="Q106" s="7" t="s">
        <v>1152</v>
      </c>
      <c r="R106" s="8"/>
      <c r="S106" s="12"/>
      <c r="T106" s="12"/>
    </row>
    <row r="107" customFormat="false" ht="23.85" hidden="false" customHeight="false" outlineLevel="0" collapsed="false">
      <c r="A107" s="7" t="s">
        <v>1456</v>
      </c>
      <c r="B107" s="7" t="s">
        <v>79</v>
      </c>
      <c r="C107" s="7" t="s">
        <v>123</v>
      </c>
      <c r="D107" s="7" t="s">
        <v>1457</v>
      </c>
      <c r="E107" s="7" t="s">
        <v>1179</v>
      </c>
      <c r="F107" s="7" t="s">
        <v>943</v>
      </c>
      <c r="G107" s="7" t="s">
        <v>1424</v>
      </c>
      <c r="H107" s="8" t="s">
        <v>125</v>
      </c>
      <c r="I107" s="8" t="s">
        <v>126</v>
      </c>
      <c r="J107" s="7" t="s">
        <v>133</v>
      </c>
      <c r="K107" s="7" t="s">
        <v>1458</v>
      </c>
      <c r="L107" s="7" t="n">
        <v>3</v>
      </c>
      <c r="M107" s="7" t="s">
        <v>124</v>
      </c>
      <c r="N107" s="7"/>
      <c r="O107" s="7" t="s">
        <v>1421</v>
      </c>
      <c r="P107" s="7" t="s">
        <v>1183</v>
      </c>
      <c r="Q107" s="7" t="s">
        <v>1152</v>
      </c>
      <c r="R107" s="8"/>
      <c r="S107" s="12"/>
      <c r="T107" s="12"/>
    </row>
    <row r="108" customFormat="false" ht="23.85" hidden="false" customHeight="false" outlineLevel="0" collapsed="false">
      <c r="A108" s="7" t="s">
        <v>1459</v>
      </c>
      <c r="B108" s="7" t="s">
        <v>79</v>
      </c>
      <c r="C108" s="7" t="s">
        <v>123</v>
      </c>
      <c r="D108" s="7" t="s">
        <v>1460</v>
      </c>
      <c r="E108" s="7" t="s">
        <v>1179</v>
      </c>
      <c r="F108" s="7" t="s">
        <v>943</v>
      </c>
      <c r="G108" s="7" t="s">
        <v>1424</v>
      </c>
      <c r="H108" s="8" t="s">
        <v>125</v>
      </c>
      <c r="I108" s="8" t="s">
        <v>126</v>
      </c>
      <c r="J108" s="7" t="s">
        <v>133</v>
      </c>
      <c r="K108" s="7" t="s">
        <v>1461</v>
      </c>
      <c r="L108" s="7" t="n">
        <v>3</v>
      </c>
      <c r="M108" s="7" t="s">
        <v>124</v>
      </c>
      <c r="N108" s="7"/>
      <c r="O108" s="7" t="s">
        <v>1421</v>
      </c>
      <c r="P108" s="7" t="s">
        <v>1183</v>
      </c>
      <c r="Q108" s="7" t="s">
        <v>1152</v>
      </c>
      <c r="R108" s="8"/>
      <c r="S108" s="12"/>
      <c r="T108" s="12"/>
    </row>
    <row r="109" customFormat="false" ht="23.85" hidden="false" customHeight="false" outlineLevel="0" collapsed="false">
      <c r="A109" s="7" t="s">
        <v>1462</v>
      </c>
      <c r="B109" s="7" t="s">
        <v>79</v>
      </c>
      <c r="C109" s="7" t="s">
        <v>123</v>
      </c>
      <c r="D109" s="7" t="s">
        <v>1463</v>
      </c>
      <c r="E109" s="7" t="s">
        <v>1179</v>
      </c>
      <c r="F109" s="7" t="s">
        <v>943</v>
      </c>
      <c r="G109" s="7" t="s">
        <v>1424</v>
      </c>
      <c r="H109" s="8" t="s">
        <v>125</v>
      </c>
      <c r="I109" s="8" t="s">
        <v>126</v>
      </c>
      <c r="J109" s="7" t="s">
        <v>133</v>
      </c>
      <c r="K109" s="7" t="s">
        <v>1464</v>
      </c>
      <c r="L109" s="7" t="n">
        <v>3</v>
      </c>
      <c r="M109" s="7" t="s">
        <v>124</v>
      </c>
      <c r="N109" s="7"/>
      <c r="O109" s="7" t="s">
        <v>1421</v>
      </c>
      <c r="P109" s="7" t="s">
        <v>1183</v>
      </c>
      <c r="Q109" s="7" t="s">
        <v>1152</v>
      </c>
      <c r="R109" s="8"/>
      <c r="S109" s="12"/>
      <c r="T109" s="12"/>
    </row>
    <row r="110" customFormat="false" ht="23.85" hidden="false" customHeight="false" outlineLevel="0" collapsed="false">
      <c r="A110" s="7" t="s">
        <v>1465</v>
      </c>
      <c r="B110" s="7" t="s">
        <v>79</v>
      </c>
      <c r="C110" s="7" t="s">
        <v>123</v>
      </c>
      <c r="D110" s="7" t="s">
        <v>1466</v>
      </c>
      <c r="E110" s="7" t="s">
        <v>1179</v>
      </c>
      <c r="F110" s="7" t="s">
        <v>943</v>
      </c>
      <c r="G110" s="7" t="s">
        <v>1424</v>
      </c>
      <c r="H110" s="8" t="s">
        <v>125</v>
      </c>
      <c r="I110" s="8" t="s">
        <v>126</v>
      </c>
      <c r="J110" s="7" t="s">
        <v>133</v>
      </c>
      <c r="K110" s="7" t="s">
        <v>1467</v>
      </c>
      <c r="L110" s="7" t="n">
        <v>3</v>
      </c>
      <c r="M110" s="7" t="s">
        <v>124</v>
      </c>
      <c r="N110" s="7"/>
      <c r="O110" s="7" t="s">
        <v>1421</v>
      </c>
      <c r="P110" s="7" t="s">
        <v>1183</v>
      </c>
      <c r="Q110" s="7" t="s">
        <v>1152</v>
      </c>
      <c r="R110" s="8"/>
      <c r="S110" s="12"/>
      <c r="T110" s="12"/>
    </row>
    <row r="111" customFormat="false" ht="23.85" hidden="false" customHeight="false" outlineLevel="0" collapsed="false">
      <c r="A111" s="7" t="s">
        <v>1468</v>
      </c>
      <c r="B111" s="7" t="s">
        <v>79</v>
      </c>
      <c r="C111" s="7" t="s">
        <v>123</v>
      </c>
      <c r="D111" s="7" t="s">
        <v>1469</v>
      </c>
      <c r="E111" s="7" t="s">
        <v>1179</v>
      </c>
      <c r="F111" s="7" t="s">
        <v>943</v>
      </c>
      <c r="G111" s="7" t="s">
        <v>1424</v>
      </c>
      <c r="H111" s="8" t="s">
        <v>125</v>
      </c>
      <c r="I111" s="8" t="s">
        <v>126</v>
      </c>
      <c r="J111" s="7" t="s">
        <v>133</v>
      </c>
      <c r="K111" s="7" t="s">
        <v>1470</v>
      </c>
      <c r="L111" s="7" t="n">
        <v>3</v>
      </c>
      <c r="M111" s="7" t="s">
        <v>124</v>
      </c>
      <c r="N111" s="7"/>
      <c r="O111" s="7" t="s">
        <v>1421</v>
      </c>
      <c r="P111" s="7" t="s">
        <v>1183</v>
      </c>
      <c r="Q111" s="7" t="s">
        <v>1152</v>
      </c>
      <c r="R111" s="8"/>
      <c r="S111" s="12"/>
      <c r="T111" s="12"/>
    </row>
    <row r="112" customFormat="false" ht="23.85" hidden="false" customHeight="false" outlineLevel="0" collapsed="false">
      <c r="A112" s="7" t="s">
        <v>1471</v>
      </c>
      <c r="B112" s="7" t="s">
        <v>79</v>
      </c>
      <c r="C112" s="7" t="s">
        <v>123</v>
      </c>
      <c r="D112" s="7" t="s">
        <v>1472</v>
      </c>
      <c r="E112" s="7" t="s">
        <v>1179</v>
      </c>
      <c r="F112" s="7" t="s">
        <v>943</v>
      </c>
      <c r="G112" s="7" t="s">
        <v>1424</v>
      </c>
      <c r="H112" s="8" t="s">
        <v>125</v>
      </c>
      <c r="I112" s="8" t="s">
        <v>126</v>
      </c>
      <c r="J112" s="7" t="s">
        <v>133</v>
      </c>
      <c r="K112" s="7" t="s">
        <v>1473</v>
      </c>
      <c r="L112" s="7" t="n">
        <v>3</v>
      </c>
      <c r="M112" s="7" t="s">
        <v>124</v>
      </c>
      <c r="N112" s="7"/>
      <c r="O112" s="7" t="s">
        <v>1421</v>
      </c>
      <c r="P112" s="7" t="s">
        <v>1183</v>
      </c>
      <c r="Q112" s="7" t="s">
        <v>1152</v>
      </c>
      <c r="R112" s="8"/>
      <c r="S112" s="12"/>
      <c r="T112" s="12"/>
    </row>
    <row r="113" customFormat="false" ht="23.85" hidden="false" customHeight="false" outlineLevel="0" collapsed="false">
      <c r="A113" s="7" t="s">
        <v>1474</v>
      </c>
      <c r="B113" s="7" t="s">
        <v>79</v>
      </c>
      <c r="C113" s="7" t="s">
        <v>123</v>
      </c>
      <c r="D113" s="7" t="s">
        <v>1475</v>
      </c>
      <c r="E113" s="7" t="s">
        <v>1179</v>
      </c>
      <c r="F113" s="7" t="s">
        <v>943</v>
      </c>
      <c r="G113" s="7" t="s">
        <v>1424</v>
      </c>
      <c r="H113" s="8" t="s">
        <v>125</v>
      </c>
      <c r="I113" s="8" t="s">
        <v>126</v>
      </c>
      <c r="J113" s="7" t="s">
        <v>133</v>
      </c>
      <c r="K113" s="7" t="s">
        <v>1476</v>
      </c>
      <c r="L113" s="7" t="n">
        <v>3</v>
      </c>
      <c r="M113" s="7" t="s">
        <v>124</v>
      </c>
      <c r="N113" s="7"/>
      <c r="O113" s="7" t="s">
        <v>1421</v>
      </c>
      <c r="P113" s="7" t="s">
        <v>1183</v>
      </c>
      <c r="Q113" s="7" t="s">
        <v>1152</v>
      </c>
      <c r="R113" s="8"/>
      <c r="S113" s="12"/>
      <c r="T113" s="12"/>
    </row>
    <row r="114" customFormat="false" ht="35.05" hidden="false" customHeight="false" outlineLevel="0" collapsed="false">
      <c r="A114" s="7" t="s">
        <v>1477</v>
      </c>
      <c r="B114" s="7" t="s">
        <v>79</v>
      </c>
      <c r="C114" s="7" t="s">
        <v>127</v>
      </c>
      <c r="D114" s="7" t="s">
        <v>127</v>
      </c>
      <c r="E114" s="7" t="s">
        <v>1137</v>
      </c>
      <c r="F114" s="7" t="s">
        <v>928</v>
      </c>
      <c r="G114" s="7" t="s">
        <v>1148</v>
      </c>
      <c r="H114" s="8" t="s">
        <v>1478</v>
      </c>
      <c r="I114" s="8" t="s">
        <v>130</v>
      </c>
      <c r="J114" s="7" t="s">
        <v>87</v>
      </c>
      <c r="K114" s="7" t="s">
        <v>128</v>
      </c>
      <c r="L114" s="7" t="n">
        <v>2</v>
      </c>
      <c r="M114" s="7" t="s">
        <v>80</v>
      </c>
      <c r="N114" s="7"/>
      <c r="O114" s="7" t="s">
        <v>1479</v>
      </c>
      <c r="P114" s="7" t="s">
        <v>1480</v>
      </c>
      <c r="Q114" s="7" t="s">
        <v>1152</v>
      </c>
      <c r="R114" s="8"/>
      <c r="S114" s="12"/>
      <c r="T114" s="12"/>
    </row>
    <row r="115" customFormat="false" ht="23.85" hidden="false" customHeight="false" outlineLevel="0" collapsed="false">
      <c r="A115" s="7" t="s">
        <v>1481</v>
      </c>
      <c r="B115" s="7" t="s">
        <v>79</v>
      </c>
      <c r="C115" s="7" t="s">
        <v>127</v>
      </c>
      <c r="D115" s="7" t="s">
        <v>1482</v>
      </c>
      <c r="E115" s="7" t="s">
        <v>1179</v>
      </c>
      <c r="F115" s="7" t="s">
        <v>928</v>
      </c>
      <c r="G115" s="7" t="s">
        <v>1148</v>
      </c>
      <c r="H115" s="8" t="s">
        <v>129</v>
      </c>
      <c r="I115" s="8" t="s">
        <v>130</v>
      </c>
      <c r="J115" s="7" t="s">
        <v>133</v>
      </c>
      <c r="K115" s="7" t="s">
        <v>1483</v>
      </c>
      <c r="L115" s="7" t="n">
        <v>3</v>
      </c>
      <c r="M115" s="7" t="s">
        <v>128</v>
      </c>
      <c r="N115" s="7"/>
      <c r="O115" s="7" t="s">
        <v>1479</v>
      </c>
      <c r="P115" s="7" t="s">
        <v>1480</v>
      </c>
      <c r="Q115" s="7" t="s">
        <v>1152</v>
      </c>
      <c r="R115" s="8"/>
      <c r="S115" s="12"/>
      <c r="T115" s="12"/>
    </row>
    <row r="116" customFormat="false" ht="23.85" hidden="false" customHeight="false" outlineLevel="0" collapsed="false">
      <c r="A116" s="7" t="s">
        <v>1484</v>
      </c>
      <c r="B116" s="7" t="s">
        <v>79</v>
      </c>
      <c r="C116" s="7" t="s">
        <v>127</v>
      </c>
      <c r="D116" s="7" t="s">
        <v>1485</v>
      </c>
      <c r="E116" s="7" t="s">
        <v>1179</v>
      </c>
      <c r="F116" s="7" t="s">
        <v>928</v>
      </c>
      <c r="G116" s="7" t="s">
        <v>1148</v>
      </c>
      <c r="H116" s="8" t="s">
        <v>129</v>
      </c>
      <c r="I116" s="8" t="s">
        <v>130</v>
      </c>
      <c r="J116" s="7" t="s">
        <v>133</v>
      </c>
      <c r="K116" s="7" t="s">
        <v>1486</v>
      </c>
      <c r="L116" s="7" t="n">
        <v>3</v>
      </c>
      <c r="M116" s="7" t="s">
        <v>128</v>
      </c>
      <c r="N116" s="7"/>
      <c r="O116" s="7" t="s">
        <v>1479</v>
      </c>
      <c r="P116" s="7" t="s">
        <v>1480</v>
      </c>
      <c r="Q116" s="7" t="s">
        <v>1152</v>
      </c>
      <c r="R116" s="8"/>
      <c r="S116" s="12"/>
      <c r="T116" s="12"/>
    </row>
    <row r="117" customFormat="false" ht="23.85" hidden="false" customHeight="false" outlineLevel="0" collapsed="false">
      <c r="A117" s="7" t="s">
        <v>1487</v>
      </c>
      <c r="B117" s="7" t="s">
        <v>79</v>
      </c>
      <c r="C117" s="7" t="s">
        <v>127</v>
      </c>
      <c r="D117" s="7" t="s">
        <v>1488</v>
      </c>
      <c r="E117" s="7" t="s">
        <v>1179</v>
      </c>
      <c r="F117" s="7" t="s">
        <v>928</v>
      </c>
      <c r="G117" s="7" t="s">
        <v>1148</v>
      </c>
      <c r="H117" s="8" t="s">
        <v>129</v>
      </c>
      <c r="I117" s="8" t="s">
        <v>130</v>
      </c>
      <c r="J117" s="7" t="s">
        <v>133</v>
      </c>
      <c r="K117" s="7" t="s">
        <v>1489</v>
      </c>
      <c r="L117" s="7" t="n">
        <v>3</v>
      </c>
      <c r="M117" s="7" t="s">
        <v>128</v>
      </c>
      <c r="N117" s="7"/>
      <c r="O117" s="7" t="s">
        <v>1479</v>
      </c>
      <c r="P117" s="7" t="s">
        <v>1480</v>
      </c>
      <c r="Q117" s="7" t="s">
        <v>1152</v>
      </c>
      <c r="R117" s="8"/>
      <c r="S117" s="12"/>
      <c r="T117" s="12"/>
    </row>
    <row r="118" customFormat="false" ht="23.85" hidden="false" customHeight="false" outlineLevel="0" collapsed="false">
      <c r="A118" s="7" t="s">
        <v>1490</v>
      </c>
      <c r="B118" s="7" t="s">
        <v>79</v>
      </c>
      <c r="C118" s="7" t="s">
        <v>127</v>
      </c>
      <c r="D118" s="7" t="s">
        <v>1491</v>
      </c>
      <c r="E118" s="7" t="s">
        <v>1179</v>
      </c>
      <c r="F118" s="7" t="s">
        <v>928</v>
      </c>
      <c r="G118" s="7" t="s">
        <v>1148</v>
      </c>
      <c r="H118" s="8" t="s">
        <v>129</v>
      </c>
      <c r="I118" s="8" t="s">
        <v>130</v>
      </c>
      <c r="J118" s="7" t="s">
        <v>133</v>
      </c>
      <c r="K118" s="7" t="s">
        <v>1492</v>
      </c>
      <c r="L118" s="7" t="n">
        <v>3</v>
      </c>
      <c r="M118" s="7" t="s">
        <v>128</v>
      </c>
      <c r="N118" s="7"/>
      <c r="O118" s="7" t="s">
        <v>1479</v>
      </c>
      <c r="P118" s="7" t="s">
        <v>1480</v>
      </c>
      <c r="Q118" s="7" t="s">
        <v>1152</v>
      </c>
      <c r="R118" s="8"/>
      <c r="S118" s="12"/>
      <c r="T118" s="12"/>
    </row>
    <row r="119" customFormat="false" ht="23.85" hidden="false" customHeight="false" outlineLevel="0" collapsed="false">
      <c r="A119" s="7" t="s">
        <v>1493</v>
      </c>
      <c r="B119" s="7" t="s">
        <v>79</v>
      </c>
      <c r="C119" s="7" t="s">
        <v>127</v>
      </c>
      <c r="D119" s="7" t="s">
        <v>1494</v>
      </c>
      <c r="E119" s="7" t="s">
        <v>1179</v>
      </c>
      <c r="F119" s="7" t="s">
        <v>928</v>
      </c>
      <c r="G119" s="7" t="s">
        <v>1148</v>
      </c>
      <c r="H119" s="8" t="s">
        <v>129</v>
      </c>
      <c r="I119" s="8" t="s">
        <v>130</v>
      </c>
      <c r="J119" s="7" t="s">
        <v>133</v>
      </c>
      <c r="K119" s="7" t="s">
        <v>1495</v>
      </c>
      <c r="L119" s="7" t="n">
        <v>3</v>
      </c>
      <c r="M119" s="7" t="s">
        <v>128</v>
      </c>
      <c r="N119" s="7"/>
      <c r="O119" s="7" t="s">
        <v>1479</v>
      </c>
      <c r="P119" s="7" t="s">
        <v>1480</v>
      </c>
      <c r="Q119" s="7" t="s">
        <v>1152</v>
      </c>
      <c r="R119" s="8"/>
      <c r="S119" s="12"/>
      <c r="T119" s="12"/>
    </row>
    <row r="120" customFormat="false" ht="23.85" hidden="false" customHeight="false" outlineLevel="0" collapsed="false">
      <c r="A120" s="7" t="s">
        <v>1496</v>
      </c>
      <c r="B120" s="7" t="s">
        <v>79</v>
      </c>
      <c r="C120" s="7" t="s">
        <v>127</v>
      </c>
      <c r="D120" s="7" t="s">
        <v>1497</v>
      </c>
      <c r="E120" s="7" t="s">
        <v>1179</v>
      </c>
      <c r="F120" s="7" t="s">
        <v>928</v>
      </c>
      <c r="G120" s="7" t="s">
        <v>1148</v>
      </c>
      <c r="H120" s="8" t="s">
        <v>129</v>
      </c>
      <c r="I120" s="8" t="s">
        <v>130</v>
      </c>
      <c r="J120" s="7" t="s">
        <v>133</v>
      </c>
      <c r="K120" s="7" t="s">
        <v>1498</v>
      </c>
      <c r="L120" s="7" t="n">
        <v>3</v>
      </c>
      <c r="M120" s="7" t="s">
        <v>128</v>
      </c>
      <c r="N120" s="7"/>
      <c r="O120" s="7" t="s">
        <v>1479</v>
      </c>
      <c r="P120" s="7" t="s">
        <v>1480</v>
      </c>
      <c r="Q120" s="7" t="s">
        <v>1152</v>
      </c>
      <c r="R120" s="8"/>
      <c r="S120" s="12"/>
      <c r="T120" s="12"/>
    </row>
    <row r="121" customFormat="false" ht="23.85" hidden="false" customHeight="false" outlineLevel="0" collapsed="false">
      <c r="A121" s="7" t="s">
        <v>1499</v>
      </c>
      <c r="B121" s="7" t="s">
        <v>79</v>
      </c>
      <c r="C121" s="7" t="s">
        <v>127</v>
      </c>
      <c r="D121" s="7" t="s">
        <v>1500</v>
      </c>
      <c r="E121" s="7" t="s">
        <v>1179</v>
      </c>
      <c r="F121" s="7" t="s">
        <v>928</v>
      </c>
      <c r="G121" s="7" t="s">
        <v>1148</v>
      </c>
      <c r="H121" s="8" t="s">
        <v>129</v>
      </c>
      <c r="I121" s="8" t="s">
        <v>130</v>
      </c>
      <c r="J121" s="7" t="s">
        <v>133</v>
      </c>
      <c r="K121" s="7" t="s">
        <v>1501</v>
      </c>
      <c r="L121" s="7" t="n">
        <v>3</v>
      </c>
      <c r="M121" s="7" t="s">
        <v>128</v>
      </c>
      <c r="N121" s="7"/>
      <c r="O121" s="7" t="s">
        <v>1479</v>
      </c>
      <c r="P121" s="7" t="s">
        <v>1480</v>
      </c>
      <c r="Q121" s="7" t="s">
        <v>1152</v>
      </c>
      <c r="R121" s="8"/>
      <c r="S121" s="12"/>
      <c r="T121" s="12"/>
    </row>
    <row r="122" customFormat="false" ht="23.85" hidden="false" customHeight="false" outlineLevel="0" collapsed="false">
      <c r="A122" s="7" t="s">
        <v>1502</v>
      </c>
      <c r="B122" s="7" t="s">
        <v>79</v>
      </c>
      <c r="C122" s="7" t="s">
        <v>127</v>
      </c>
      <c r="D122" s="7" t="s">
        <v>1503</v>
      </c>
      <c r="E122" s="7" t="s">
        <v>1179</v>
      </c>
      <c r="F122" s="7" t="s">
        <v>928</v>
      </c>
      <c r="G122" s="7" t="s">
        <v>1148</v>
      </c>
      <c r="H122" s="8" t="s">
        <v>129</v>
      </c>
      <c r="I122" s="8" t="s">
        <v>130</v>
      </c>
      <c r="J122" s="7" t="s">
        <v>133</v>
      </c>
      <c r="K122" s="7" t="s">
        <v>1504</v>
      </c>
      <c r="L122" s="7" t="n">
        <v>3</v>
      </c>
      <c r="M122" s="7" t="s">
        <v>128</v>
      </c>
      <c r="N122" s="7"/>
      <c r="O122" s="7" t="s">
        <v>1479</v>
      </c>
      <c r="P122" s="7" t="s">
        <v>1480</v>
      </c>
      <c r="Q122" s="7" t="s">
        <v>1152</v>
      </c>
      <c r="R122" s="8"/>
      <c r="S122" s="12"/>
      <c r="T122" s="12"/>
    </row>
    <row r="123" customFormat="false" ht="23.85" hidden="false" customHeight="false" outlineLevel="0" collapsed="false">
      <c r="A123" s="7" t="s">
        <v>1505</v>
      </c>
      <c r="B123" s="7" t="s">
        <v>79</v>
      </c>
      <c r="C123" s="7" t="s">
        <v>127</v>
      </c>
      <c r="D123" s="7" t="s">
        <v>1506</v>
      </c>
      <c r="E123" s="7" t="s">
        <v>1179</v>
      </c>
      <c r="F123" s="7" t="s">
        <v>928</v>
      </c>
      <c r="G123" s="7" t="s">
        <v>1148</v>
      </c>
      <c r="H123" s="8" t="s">
        <v>129</v>
      </c>
      <c r="I123" s="8" t="s">
        <v>130</v>
      </c>
      <c r="J123" s="7" t="s">
        <v>133</v>
      </c>
      <c r="K123" s="7" t="s">
        <v>1507</v>
      </c>
      <c r="L123" s="7" t="n">
        <v>3</v>
      </c>
      <c r="M123" s="7" t="s">
        <v>128</v>
      </c>
      <c r="N123" s="7"/>
      <c r="O123" s="7" t="s">
        <v>1479</v>
      </c>
      <c r="P123" s="7" t="s">
        <v>1480</v>
      </c>
      <c r="Q123" s="7" t="s">
        <v>1152</v>
      </c>
      <c r="R123" s="8"/>
      <c r="S123" s="12"/>
      <c r="T123" s="12"/>
    </row>
    <row r="124" customFormat="false" ht="23.85" hidden="false" customHeight="false" outlineLevel="0" collapsed="false">
      <c r="A124" s="7" t="s">
        <v>1508</v>
      </c>
      <c r="B124" s="7" t="s">
        <v>79</v>
      </c>
      <c r="C124" s="7" t="s">
        <v>127</v>
      </c>
      <c r="D124" s="7" t="s">
        <v>1509</v>
      </c>
      <c r="E124" s="7" t="s">
        <v>1179</v>
      </c>
      <c r="F124" s="7" t="s">
        <v>928</v>
      </c>
      <c r="G124" s="7" t="s">
        <v>1148</v>
      </c>
      <c r="H124" s="8" t="s">
        <v>129</v>
      </c>
      <c r="I124" s="8" t="s">
        <v>130</v>
      </c>
      <c r="J124" s="7" t="s">
        <v>133</v>
      </c>
      <c r="K124" s="7" t="s">
        <v>1510</v>
      </c>
      <c r="L124" s="7" t="n">
        <v>3</v>
      </c>
      <c r="M124" s="7" t="s">
        <v>128</v>
      </c>
      <c r="N124" s="7"/>
      <c r="O124" s="7" t="s">
        <v>1479</v>
      </c>
      <c r="P124" s="7" t="s">
        <v>1480</v>
      </c>
      <c r="Q124" s="7" t="s">
        <v>1152</v>
      </c>
      <c r="R124" s="8"/>
      <c r="S124" s="12"/>
      <c r="T124" s="12"/>
    </row>
    <row r="125" customFormat="false" ht="23.85" hidden="false" customHeight="false" outlineLevel="0" collapsed="false">
      <c r="A125" s="7" t="s">
        <v>1511</v>
      </c>
      <c r="B125" s="7" t="s">
        <v>79</v>
      </c>
      <c r="C125" s="7" t="s">
        <v>127</v>
      </c>
      <c r="D125" s="7" t="s">
        <v>1512</v>
      </c>
      <c r="E125" s="7" t="s">
        <v>1179</v>
      </c>
      <c r="F125" s="7" t="s">
        <v>928</v>
      </c>
      <c r="G125" s="7" t="s">
        <v>1148</v>
      </c>
      <c r="H125" s="8" t="s">
        <v>129</v>
      </c>
      <c r="I125" s="8" t="s">
        <v>130</v>
      </c>
      <c r="J125" s="7" t="s">
        <v>133</v>
      </c>
      <c r="K125" s="7" t="s">
        <v>1513</v>
      </c>
      <c r="L125" s="7" t="n">
        <v>3</v>
      </c>
      <c r="M125" s="7" t="s">
        <v>128</v>
      </c>
      <c r="N125" s="7"/>
      <c r="O125" s="7" t="s">
        <v>1479</v>
      </c>
      <c r="P125" s="7" t="s">
        <v>1480</v>
      </c>
      <c r="Q125" s="7" t="s">
        <v>1152</v>
      </c>
      <c r="R125" s="8"/>
      <c r="S125" s="12"/>
      <c r="T125" s="12"/>
    </row>
    <row r="126" customFormat="false" ht="23.85" hidden="false" customHeight="false" outlineLevel="0" collapsed="false">
      <c r="A126" s="7" t="s">
        <v>1514</v>
      </c>
      <c r="B126" s="7" t="s">
        <v>79</v>
      </c>
      <c r="C126" s="7" t="s">
        <v>127</v>
      </c>
      <c r="D126" s="7" t="s">
        <v>1515</v>
      </c>
      <c r="E126" s="7" t="s">
        <v>1179</v>
      </c>
      <c r="F126" s="7" t="s">
        <v>928</v>
      </c>
      <c r="G126" s="7" t="s">
        <v>1148</v>
      </c>
      <c r="H126" s="8" t="s">
        <v>129</v>
      </c>
      <c r="I126" s="8" t="s">
        <v>130</v>
      </c>
      <c r="J126" s="7" t="s">
        <v>133</v>
      </c>
      <c r="K126" s="7" t="s">
        <v>1516</v>
      </c>
      <c r="L126" s="7" t="n">
        <v>3</v>
      </c>
      <c r="M126" s="7" t="s">
        <v>128</v>
      </c>
      <c r="N126" s="7"/>
      <c r="O126" s="7" t="s">
        <v>1479</v>
      </c>
      <c r="P126" s="7" t="s">
        <v>1480</v>
      </c>
      <c r="Q126" s="7" t="s">
        <v>1152</v>
      </c>
      <c r="R126" s="8"/>
      <c r="S126" s="12"/>
      <c r="T126" s="12"/>
    </row>
    <row r="127" customFormat="false" ht="23.85" hidden="false" customHeight="false" outlineLevel="0" collapsed="false">
      <c r="A127" s="7" t="s">
        <v>1517</v>
      </c>
      <c r="B127" s="7" t="s">
        <v>79</v>
      </c>
      <c r="C127" s="7" t="s">
        <v>127</v>
      </c>
      <c r="D127" s="7" t="s">
        <v>1518</v>
      </c>
      <c r="E127" s="7" t="s">
        <v>1179</v>
      </c>
      <c r="F127" s="7" t="s">
        <v>928</v>
      </c>
      <c r="G127" s="7" t="s">
        <v>1148</v>
      </c>
      <c r="H127" s="8" t="s">
        <v>129</v>
      </c>
      <c r="I127" s="8" t="s">
        <v>130</v>
      </c>
      <c r="J127" s="7" t="s">
        <v>133</v>
      </c>
      <c r="K127" s="7" t="s">
        <v>1519</v>
      </c>
      <c r="L127" s="7" t="n">
        <v>3</v>
      </c>
      <c r="M127" s="7" t="s">
        <v>128</v>
      </c>
      <c r="N127" s="7"/>
      <c r="O127" s="7" t="s">
        <v>1479</v>
      </c>
      <c r="P127" s="7" t="s">
        <v>1480</v>
      </c>
      <c r="Q127" s="7" t="s">
        <v>1152</v>
      </c>
      <c r="R127" s="8"/>
      <c r="S127" s="12"/>
      <c r="T127" s="12"/>
    </row>
    <row r="128" customFormat="false" ht="46.25" hidden="false" customHeight="false" outlineLevel="0" collapsed="false">
      <c r="A128" s="7" t="s">
        <v>1520</v>
      </c>
      <c r="B128" s="7" t="s">
        <v>142</v>
      </c>
      <c r="C128" s="7" t="s">
        <v>146</v>
      </c>
      <c r="D128" s="7" t="s">
        <v>146</v>
      </c>
      <c r="E128" s="7" t="s">
        <v>1137</v>
      </c>
      <c r="F128" s="7" t="s">
        <v>928</v>
      </c>
      <c r="G128" s="7" t="s">
        <v>1148</v>
      </c>
      <c r="H128" s="8" t="s">
        <v>1521</v>
      </c>
      <c r="I128" s="8" t="s">
        <v>149</v>
      </c>
      <c r="J128" s="7" t="s">
        <v>87</v>
      </c>
      <c r="K128" s="7" t="s">
        <v>147</v>
      </c>
      <c r="L128" s="7" t="n">
        <v>2</v>
      </c>
      <c r="M128" s="7" t="s">
        <v>143</v>
      </c>
      <c r="N128" s="7"/>
      <c r="O128" s="7" t="s">
        <v>1150</v>
      </c>
      <c r="P128" s="7" t="s">
        <v>1151</v>
      </c>
      <c r="Q128" s="7" t="s">
        <v>1152</v>
      </c>
      <c r="R128" s="8"/>
      <c r="S128" s="12"/>
      <c r="T128" s="12"/>
    </row>
    <row r="129" customFormat="false" ht="35.05" hidden="false" customHeight="false" outlineLevel="0" collapsed="false">
      <c r="A129" s="7" t="s">
        <v>1522</v>
      </c>
      <c r="B129" s="7" t="s">
        <v>142</v>
      </c>
      <c r="C129" s="7" t="s">
        <v>146</v>
      </c>
      <c r="D129" s="7" t="s">
        <v>1523</v>
      </c>
      <c r="E129" s="7" t="s">
        <v>1179</v>
      </c>
      <c r="F129" s="7" t="s">
        <v>928</v>
      </c>
      <c r="G129" s="7" t="s">
        <v>1148</v>
      </c>
      <c r="H129" s="8" t="s">
        <v>148</v>
      </c>
      <c r="I129" s="8" t="s">
        <v>149</v>
      </c>
      <c r="J129" s="7" t="s">
        <v>133</v>
      </c>
      <c r="K129" s="7" t="s">
        <v>1524</v>
      </c>
      <c r="L129" s="7" t="n">
        <v>3</v>
      </c>
      <c r="M129" s="7" t="s">
        <v>147</v>
      </c>
      <c r="N129" s="7"/>
      <c r="O129" s="7" t="s">
        <v>1150</v>
      </c>
      <c r="P129" s="7" t="s">
        <v>1183</v>
      </c>
      <c r="Q129" s="7" t="s">
        <v>1184</v>
      </c>
      <c r="R129" s="8"/>
      <c r="S129" s="12"/>
      <c r="T129" s="12"/>
    </row>
    <row r="130" customFormat="false" ht="46.25" hidden="false" customHeight="false" outlineLevel="0" collapsed="false">
      <c r="A130" s="7" t="s">
        <v>1525</v>
      </c>
      <c r="B130" s="7" t="s">
        <v>142</v>
      </c>
      <c r="C130" s="7" t="s">
        <v>146</v>
      </c>
      <c r="D130" s="7" t="s">
        <v>1526</v>
      </c>
      <c r="E130" s="7" t="s">
        <v>1179</v>
      </c>
      <c r="F130" s="7" t="s">
        <v>928</v>
      </c>
      <c r="G130" s="7" t="s">
        <v>1148</v>
      </c>
      <c r="H130" s="8" t="s">
        <v>1527</v>
      </c>
      <c r="I130" s="8" t="s">
        <v>149</v>
      </c>
      <c r="J130" s="7" t="s">
        <v>949</v>
      </c>
      <c r="K130" s="7" t="s">
        <v>1528</v>
      </c>
      <c r="L130" s="7" t="s">
        <v>952</v>
      </c>
      <c r="M130" s="7" t="s">
        <v>1524</v>
      </c>
      <c r="N130" s="7" t="s">
        <v>1523</v>
      </c>
      <c r="O130" s="7" t="s">
        <v>1150</v>
      </c>
      <c r="P130" s="7" t="s">
        <v>1183</v>
      </c>
      <c r="Q130" s="7" t="s">
        <v>1184</v>
      </c>
      <c r="R130" s="8" t="s">
        <v>1185</v>
      </c>
      <c r="S130" s="12"/>
      <c r="T130" s="12"/>
    </row>
    <row r="131" customFormat="false" ht="35.05" hidden="false" customHeight="false" outlineLevel="0" collapsed="false">
      <c r="A131" s="7" t="s">
        <v>1529</v>
      </c>
      <c r="B131" s="7" t="s">
        <v>142</v>
      </c>
      <c r="C131" s="7" t="s">
        <v>146</v>
      </c>
      <c r="D131" s="7" t="s">
        <v>1530</v>
      </c>
      <c r="E131" s="7" t="s">
        <v>1179</v>
      </c>
      <c r="F131" s="7" t="s">
        <v>928</v>
      </c>
      <c r="G131" s="7" t="s">
        <v>1148</v>
      </c>
      <c r="H131" s="8" t="s">
        <v>148</v>
      </c>
      <c r="I131" s="8" t="s">
        <v>149</v>
      </c>
      <c r="J131" s="7" t="s">
        <v>133</v>
      </c>
      <c r="K131" s="7" t="s">
        <v>1531</v>
      </c>
      <c r="L131" s="7" t="n">
        <v>3</v>
      </c>
      <c r="M131" s="7" t="s">
        <v>147</v>
      </c>
      <c r="N131" s="7"/>
      <c r="O131" s="7" t="s">
        <v>1150</v>
      </c>
      <c r="P131" s="7" t="s">
        <v>1151</v>
      </c>
      <c r="Q131" s="7" t="s">
        <v>1184</v>
      </c>
      <c r="R131" s="8"/>
      <c r="S131" s="12"/>
      <c r="T131" s="12"/>
    </row>
    <row r="132" customFormat="false" ht="35.05" hidden="false" customHeight="false" outlineLevel="0" collapsed="false">
      <c r="A132" s="7" t="s">
        <v>1532</v>
      </c>
      <c r="B132" s="7" t="s">
        <v>142</v>
      </c>
      <c r="C132" s="7" t="s">
        <v>146</v>
      </c>
      <c r="D132" s="7" t="s">
        <v>1533</v>
      </c>
      <c r="E132" s="7" t="s">
        <v>1179</v>
      </c>
      <c r="F132" s="7" t="s">
        <v>928</v>
      </c>
      <c r="G132" s="7" t="s">
        <v>1148</v>
      </c>
      <c r="H132" s="8" t="s">
        <v>148</v>
      </c>
      <c r="I132" s="8" t="s">
        <v>149</v>
      </c>
      <c r="J132" s="7" t="s">
        <v>133</v>
      </c>
      <c r="K132" s="7" t="s">
        <v>1534</v>
      </c>
      <c r="L132" s="7" t="n">
        <v>3</v>
      </c>
      <c r="M132" s="7" t="s">
        <v>147</v>
      </c>
      <c r="N132" s="7"/>
      <c r="O132" s="7" t="s">
        <v>1150</v>
      </c>
      <c r="P132" s="7" t="s">
        <v>1183</v>
      </c>
      <c r="Q132" s="7" t="s">
        <v>1184</v>
      </c>
      <c r="R132" s="8"/>
      <c r="S132" s="12"/>
      <c r="T132" s="12"/>
    </row>
    <row r="133" customFormat="false" ht="46.25" hidden="false" customHeight="false" outlineLevel="0" collapsed="false">
      <c r="A133" s="7" t="s">
        <v>1535</v>
      </c>
      <c r="B133" s="7" t="s">
        <v>142</v>
      </c>
      <c r="C133" s="7" t="s">
        <v>146</v>
      </c>
      <c r="D133" s="7" t="s">
        <v>1536</v>
      </c>
      <c r="E133" s="7" t="s">
        <v>1179</v>
      </c>
      <c r="F133" s="7" t="s">
        <v>928</v>
      </c>
      <c r="G133" s="7" t="s">
        <v>1148</v>
      </c>
      <c r="H133" s="8" t="s">
        <v>1527</v>
      </c>
      <c r="I133" s="8" t="s">
        <v>149</v>
      </c>
      <c r="J133" s="7" t="s">
        <v>133</v>
      </c>
      <c r="K133" s="7" t="s">
        <v>1537</v>
      </c>
      <c r="L133" s="7" t="n">
        <v>3</v>
      </c>
      <c r="M133" s="7" t="s">
        <v>147</v>
      </c>
      <c r="N133" s="7"/>
      <c r="O133" s="7" t="s">
        <v>1150</v>
      </c>
      <c r="P133" s="7" t="s">
        <v>1151</v>
      </c>
      <c r="Q133" s="7" t="s">
        <v>1184</v>
      </c>
      <c r="R133" s="8"/>
      <c r="S133" s="12"/>
      <c r="T133" s="12"/>
    </row>
    <row r="134" customFormat="false" ht="35.05" hidden="false" customHeight="false" outlineLevel="0" collapsed="false">
      <c r="A134" s="7" t="s">
        <v>1538</v>
      </c>
      <c r="B134" s="7" t="s">
        <v>142</v>
      </c>
      <c r="C134" s="7" t="s">
        <v>146</v>
      </c>
      <c r="D134" s="7" t="s">
        <v>1539</v>
      </c>
      <c r="E134" s="7" t="s">
        <v>1179</v>
      </c>
      <c r="F134" s="7" t="s">
        <v>928</v>
      </c>
      <c r="G134" s="7" t="s">
        <v>1148</v>
      </c>
      <c r="H134" s="8" t="s">
        <v>148</v>
      </c>
      <c r="I134" s="8" t="s">
        <v>149</v>
      </c>
      <c r="J134" s="7" t="s">
        <v>133</v>
      </c>
      <c r="K134" s="7" t="s">
        <v>1540</v>
      </c>
      <c r="L134" s="7" t="n">
        <v>3</v>
      </c>
      <c r="M134" s="7" t="s">
        <v>147</v>
      </c>
      <c r="N134" s="7"/>
      <c r="O134" s="7" t="s">
        <v>1150</v>
      </c>
      <c r="P134" s="7" t="s">
        <v>1183</v>
      </c>
      <c r="Q134" s="7" t="s">
        <v>1152</v>
      </c>
      <c r="R134" s="8"/>
      <c r="S134" s="12"/>
      <c r="T134" s="12"/>
    </row>
    <row r="135" customFormat="false" ht="46.25" hidden="false" customHeight="false" outlineLevel="0" collapsed="false">
      <c r="A135" s="7" t="s">
        <v>1541</v>
      </c>
      <c r="B135" s="7" t="s">
        <v>142</v>
      </c>
      <c r="C135" s="7" t="s">
        <v>146</v>
      </c>
      <c r="D135" s="7" t="s">
        <v>1542</v>
      </c>
      <c r="E135" s="7" t="s">
        <v>1179</v>
      </c>
      <c r="F135" s="7" t="s">
        <v>928</v>
      </c>
      <c r="G135" s="7" t="s">
        <v>1148</v>
      </c>
      <c r="H135" s="8" t="s">
        <v>1543</v>
      </c>
      <c r="I135" s="8" t="s">
        <v>149</v>
      </c>
      <c r="J135" s="7" t="s">
        <v>133</v>
      </c>
      <c r="K135" s="7" t="s">
        <v>1544</v>
      </c>
      <c r="L135" s="7" t="n">
        <v>3</v>
      </c>
      <c r="M135" s="7" t="s">
        <v>147</v>
      </c>
      <c r="N135" s="7"/>
      <c r="O135" s="7" t="s">
        <v>1150</v>
      </c>
      <c r="P135" s="7" t="s">
        <v>1183</v>
      </c>
      <c r="Q135" s="7" t="s">
        <v>1152</v>
      </c>
      <c r="R135" s="8"/>
      <c r="S135" s="12"/>
      <c r="T135" s="12"/>
    </row>
    <row r="136" customFormat="false" ht="35.05" hidden="false" customHeight="false" outlineLevel="0" collapsed="false">
      <c r="A136" s="7" t="s">
        <v>1545</v>
      </c>
      <c r="B136" s="7" t="s">
        <v>142</v>
      </c>
      <c r="C136" s="7" t="s">
        <v>146</v>
      </c>
      <c r="D136" s="7" t="s">
        <v>1546</v>
      </c>
      <c r="E136" s="7" t="s">
        <v>1179</v>
      </c>
      <c r="F136" s="7" t="s">
        <v>928</v>
      </c>
      <c r="G136" s="7" t="s">
        <v>1148</v>
      </c>
      <c r="H136" s="8" t="s">
        <v>148</v>
      </c>
      <c r="I136" s="8" t="s">
        <v>149</v>
      </c>
      <c r="J136" s="7" t="s">
        <v>133</v>
      </c>
      <c r="K136" s="7" t="s">
        <v>1547</v>
      </c>
      <c r="L136" s="7" t="n">
        <v>3</v>
      </c>
      <c r="M136" s="7" t="s">
        <v>147</v>
      </c>
      <c r="N136" s="7"/>
      <c r="O136" s="7" t="s">
        <v>1150</v>
      </c>
      <c r="P136" s="7" t="s">
        <v>1183</v>
      </c>
      <c r="Q136" s="7" t="s">
        <v>1184</v>
      </c>
      <c r="R136" s="8"/>
      <c r="S136" s="12"/>
      <c r="T136" s="12"/>
    </row>
    <row r="137" customFormat="false" ht="35.05" hidden="false" customHeight="false" outlineLevel="0" collapsed="false">
      <c r="A137" s="7" t="s">
        <v>1548</v>
      </c>
      <c r="B137" s="7" t="s">
        <v>142</v>
      </c>
      <c r="C137" s="7" t="s">
        <v>146</v>
      </c>
      <c r="D137" s="7" t="s">
        <v>1549</v>
      </c>
      <c r="E137" s="7" t="s">
        <v>1179</v>
      </c>
      <c r="F137" s="7" t="s">
        <v>928</v>
      </c>
      <c r="G137" s="7" t="s">
        <v>1148</v>
      </c>
      <c r="H137" s="8" t="s">
        <v>148</v>
      </c>
      <c r="I137" s="8" t="s">
        <v>149</v>
      </c>
      <c r="J137" s="7" t="s">
        <v>133</v>
      </c>
      <c r="K137" s="7" t="s">
        <v>1550</v>
      </c>
      <c r="L137" s="7" t="n">
        <v>3</v>
      </c>
      <c r="M137" s="7" t="s">
        <v>147</v>
      </c>
      <c r="N137" s="7"/>
      <c r="O137" s="7" t="s">
        <v>1150</v>
      </c>
      <c r="P137" s="7" t="s">
        <v>1183</v>
      </c>
      <c r="Q137" s="7" t="s">
        <v>1152</v>
      </c>
      <c r="R137" s="8"/>
      <c r="S137" s="12"/>
      <c r="T137" s="12"/>
    </row>
    <row r="138" customFormat="false" ht="35.05" hidden="false" customHeight="false" outlineLevel="0" collapsed="false">
      <c r="A138" s="7" t="s">
        <v>1551</v>
      </c>
      <c r="B138" s="7" t="s">
        <v>142</v>
      </c>
      <c r="C138" s="7" t="s">
        <v>146</v>
      </c>
      <c r="D138" s="7" t="s">
        <v>1552</v>
      </c>
      <c r="E138" s="7" t="s">
        <v>1179</v>
      </c>
      <c r="F138" s="7" t="s">
        <v>928</v>
      </c>
      <c r="G138" s="7" t="s">
        <v>1148</v>
      </c>
      <c r="H138" s="8" t="s">
        <v>148</v>
      </c>
      <c r="I138" s="8" t="s">
        <v>149</v>
      </c>
      <c r="J138" s="7" t="s">
        <v>133</v>
      </c>
      <c r="K138" s="7" t="s">
        <v>1553</v>
      </c>
      <c r="L138" s="7" t="n">
        <v>3</v>
      </c>
      <c r="M138" s="7" t="s">
        <v>147</v>
      </c>
      <c r="N138" s="7"/>
      <c r="O138" s="7" t="s">
        <v>1150</v>
      </c>
      <c r="P138" s="7" t="s">
        <v>1183</v>
      </c>
      <c r="Q138" s="7" t="s">
        <v>1152</v>
      </c>
      <c r="R138" s="8"/>
      <c r="S138" s="12"/>
      <c r="T138" s="12"/>
    </row>
    <row r="139" customFormat="false" ht="35.05" hidden="false" customHeight="false" outlineLevel="0" collapsed="false">
      <c r="A139" s="7" t="s">
        <v>1554</v>
      </c>
      <c r="B139" s="7" t="s">
        <v>142</v>
      </c>
      <c r="C139" s="7" t="s">
        <v>146</v>
      </c>
      <c r="D139" s="7" t="s">
        <v>1555</v>
      </c>
      <c r="E139" s="7" t="s">
        <v>1179</v>
      </c>
      <c r="F139" s="7" t="s">
        <v>928</v>
      </c>
      <c r="G139" s="7" t="s">
        <v>1148</v>
      </c>
      <c r="H139" s="8" t="s">
        <v>148</v>
      </c>
      <c r="I139" s="8" t="s">
        <v>149</v>
      </c>
      <c r="J139" s="7" t="s">
        <v>133</v>
      </c>
      <c r="K139" s="7" t="s">
        <v>1556</v>
      </c>
      <c r="L139" s="7" t="n">
        <v>3</v>
      </c>
      <c r="M139" s="7" t="s">
        <v>147</v>
      </c>
      <c r="N139" s="7"/>
      <c r="O139" s="7" t="s">
        <v>1150</v>
      </c>
      <c r="P139" s="7" t="s">
        <v>1183</v>
      </c>
      <c r="Q139" s="7" t="s">
        <v>1152</v>
      </c>
      <c r="R139" s="8"/>
      <c r="S139" s="12"/>
      <c r="T139" s="12"/>
    </row>
    <row r="140" customFormat="false" ht="35.05" hidden="false" customHeight="false" outlineLevel="0" collapsed="false">
      <c r="A140" s="7" t="s">
        <v>1557</v>
      </c>
      <c r="B140" s="7" t="s">
        <v>142</v>
      </c>
      <c r="C140" s="7" t="s">
        <v>146</v>
      </c>
      <c r="D140" s="7" t="s">
        <v>1558</v>
      </c>
      <c r="E140" s="7" t="s">
        <v>1179</v>
      </c>
      <c r="F140" s="7" t="s">
        <v>928</v>
      </c>
      <c r="G140" s="7" t="s">
        <v>1148</v>
      </c>
      <c r="H140" s="8" t="s">
        <v>148</v>
      </c>
      <c r="I140" s="8" t="s">
        <v>149</v>
      </c>
      <c r="J140" s="7" t="s">
        <v>133</v>
      </c>
      <c r="K140" s="7" t="s">
        <v>1559</v>
      </c>
      <c r="L140" s="7" t="n">
        <v>3</v>
      </c>
      <c r="M140" s="7" t="s">
        <v>147</v>
      </c>
      <c r="N140" s="7"/>
      <c r="O140" s="7" t="s">
        <v>1150</v>
      </c>
      <c r="P140" s="7" t="s">
        <v>1183</v>
      </c>
      <c r="Q140" s="7" t="s">
        <v>1152</v>
      </c>
      <c r="R140" s="8"/>
      <c r="S140" s="12"/>
      <c r="T140" s="12"/>
    </row>
    <row r="141" customFormat="false" ht="46.25" hidden="false" customHeight="false" outlineLevel="0" collapsed="false">
      <c r="A141" s="7" t="s">
        <v>1560</v>
      </c>
      <c r="B141" s="7" t="s">
        <v>142</v>
      </c>
      <c r="C141" s="7" t="s">
        <v>146</v>
      </c>
      <c r="D141" s="7" t="s">
        <v>1561</v>
      </c>
      <c r="E141" s="7" t="s">
        <v>1179</v>
      </c>
      <c r="F141" s="7" t="s">
        <v>928</v>
      </c>
      <c r="G141" s="7" t="s">
        <v>1148</v>
      </c>
      <c r="H141" s="8" t="s">
        <v>1562</v>
      </c>
      <c r="I141" s="8" t="s">
        <v>149</v>
      </c>
      <c r="J141" s="7" t="s">
        <v>133</v>
      </c>
      <c r="K141" s="7" t="s">
        <v>1563</v>
      </c>
      <c r="L141" s="7" t="n">
        <v>3</v>
      </c>
      <c r="M141" s="7" t="s">
        <v>147</v>
      </c>
      <c r="N141" s="7"/>
      <c r="O141" s="7" t="s">
        <v>1150</v>
      </c>
      <c r="P141" s="7" t="s">
        <v>1183</v>
      </c>
      <c r="Q141" s="7" t="s">
        <v>1152</v>
      </c>
      <c r="R141" s="8"/>
      <c r="S141" s="12"/>
      <c r="T141" s="12"/>
    </row>
    <row r="142" customFormat="false" ht="35.05" hidden="false" customHeight="false" outlineLevel="0" collapsed="false">
      <c r="A142" s="7" t="s">
        <v>1564</v>
      </c>
      <c r="B142" s="7" t="s">
        <v>142</v>
      </c>
      <c r="C142" s="7" t="s">
        <v>146</v>
      </c>
      <c r="D142" s="7" t="s">
        <v>1565</v>
      </c>
      <c r="E142" s="7" t="s">
        <v>1179</v>
      </c>
      <c r="F142" s="7" t="s">
        <v>928</v>
      </c>
      <c r="G142" s="7" t="s">
        <v>1148</v>
      </c>
      <c r="H142" s="8" t="s">
        <v>148</v>
      </c>
      <c r="I142" s="8" t="s">
        <v>149</v>
      </c>
      <c r="J142" s="7" t="s">
        <v>133</v>
      </c>
      <c r="K142" s="7" t="s">
        <v>1566</v>
      </c>
      <c r="L142" s="7" t="n">
        <v>3</v>
      </c>
      <c r="M142" s="7" t="s">
        <v>147</v>
      </c>
      <c r="N142" s="7"/>
      <c r="O142" s="7" t="s">
        <v>1150</v>
      </c>
      <c r="P142" s="7" t="s">
        <v>1183</v>
      </c>
      <c r="Q142" s="7" t="s">
        <v>1152</v>
      </c>
      <c r="R142" s="8"/>
      <c r="S142" s="12"/>
      <c r="T142" s="12"/>
    </row>
    <row r="143" customFormat="false" ht="35.05" hidden="false" customHeight="false" outlineLevel="0" collapsed="false">
      <c r="A143" s="7" t="s">
        <v>1567</v>
      </c>
      <c r="B143" s="7" t="s">
        <v>142</v>
      </c>
      <c r="C143" s="7" t="s">
        <v>146</v>
      </c>
      <c r="D143" s="7" t="s">
        <v>1568</v>
      </c>
      <c r="E143" s="7" t="s">
        <v>1179</v>
      </c>
      <c r="F143" s="7" t="s">
        <v>928</v>
      </c>
      <c r="G143" s="7" t="s">
        <v>1148</v>
      </c>
      <c r="H143" s="8" t="s">
        <v>148</v>
      </c>
      <c r="I143" s="8" t="s">
        <v>149</v>
      </c>
      <c r="J143" s="7" t="s">
        <v>133</v>
      </c>
      <c r="K143" s="7" t="s">
        <v>1569</v>
      </c>
      <c r="L143" s="7" t="n">
        <v>3</v>
      </c>
      <c r="M143" s="7" t="s">
        <v>147</v>
      </c>
      <c r="N143" s="7"/>
      <c r="O143" s="7" t="s">
        <v>1150</v>
      </c>
      <c r="P143" s="7" t="s">
        <v>1183</v>
      </c>
      <c r="Q143" s="7" t="s">
        <v>1184</v>
      </c>
      <c r="R143" s="8"/>
      <c r="S143" s="12"/>
      <c r="T143" s="12"/>
    </row>
    <row r="144" customFormat="false" ht="35.05" hidden="false" customHeight="false" outlineLevel="0" collapsed="false">
      <c r="A144" s="7" t="s">
        <v>1570</v>
      </c>
      <c r="B144" s="7" t="s">
        <v>142</v>
      </c>
      <c r="C144" s="7" t="s">
        <v>146</v>
      </c>
      <c r="D144" s="7" t="s">
        <v>1571</v>
      </c>
      <c r="E144" s="7" t="s">
        <v>1179</v>
      </c>
      <c r="F144" s="7" t="s">
        <v>928</v>
      </c>
      <c r="G144" s="7" t="s">
        <v>1148</v>
      </c>
      <c r="H144" s="8" t="s">
        <v>1572</v>
      </c>
      <c r="I144" s="8" t="s">
        <v>149</v>
      </c>
      <c r="J144" s="7" t="s">
        <v>133</v>
      </c>
      <c r="K144" s="7" t="s">
        <v>1573</v>
      </c>
      <c r="L144" s="7" t="n">
        <v>3</v>
      </c>
      <c r="M144" s="7" t="s">
        <v>147</v>
      </c>
      <c r="N144" s="7"/>
      <c r="O144" s="7" t="s">
        <v>1150</v>
      </c>
      <c r="P144" s="7" t="s">
        <v>1183</v>
      </c>
      <c r="Q144" s="7" t="s">
        <v>1152</v>
      </c>
      <c r="R144" s="8"/>
      <c r="S144" s="12"/>
      <c r="T144" s="12"/>
    </row>
    <row r="145" customFormat="false" ht="35.05" hidden="false" customHeight="false" outlineLevel="0" collapsed="false">
      <c r="A145" s="7" t="s">
        <v>1574</v>
      </c>
      <c r="B145" s="7" t="s">
        <v>142</v>
      </c>
      <c r="C145" s="7" t="s">
        <v>146</v>
      </c>
      <c r="D145" s="7" t="s">
        <v>1575</v>
      </c>
      <c r="E145" s="7" t="s">
        <v>1179</v>
      </c>
      <c r="F145" s="7" t="s">
        <v>928</v>
      </c>
      <c r="G145" s="7" t="s">
        <v>1148</v>
      </c>
      <c r="H145" s="8" t="s">
        <v>148</v>
      </c>
      <c r="I145" s="8" t="s">
        <v>149</v>
      </c>
      <c r="J145" s="7" t="s">
        <v>133</v>
      </c>
      <c r="K145" s="7" t="s">
        <v>1576</v>
      </c>
      <c r="L145" s="7" t="n">
        <v>3</v>
      </c>
      <c r="M145" s="7" t="s">
        <v>147</v>
      </c>
      <c r="N145" s="7"/>
      <c r="O145" s="7" t="s">
        <v>1150</v>
      </c>
      <c r="P145" s="7" t="s">
        <v>1183</v>
      </c>
      <c r="Q145" s="7" t="s">
        <v>1152</v>
      </c>
      <c r="R145" s="8"/>
      <c r="S145" s="12"/>
      <c r="T145" s="12"/>
    </row>
    <row r="146" customFormat="false" ht="35.05" hidden="false" customHeight="false" outlineLevel="0" collapsed="false">
      <c r="A146" s="7" t="s">
        <v>1577</v>
      </c>
      <c r="B146" s="7" t="s">
        <v>142</v>
      </c>
      <c r="C146" s="7" t="s">
        <v>146</v>
      </c>
      <c r="D146" s="7" t="s">
        <v>1578</v>
      </c>
      <c r="E146" s="7" t="s">
        <v>1179</v>
      </c>
      <c r="F146" s="7" t="s">
        <v>928</v>
      </c>
      <c r="G146" s="7" t="s">
        <v>1148</v>
      </c>
      <c r="H146" s="8" t="s">
        <v>148</v>
      </c>
      <c r="I146" s="8" t="s">
        <v>149</v>
      </c>
      <c r="J146" s="7" t="s">
        <v>133</v>
      </c>
      <c r="K146" s="7" t="s">
        <v>1579</v>
      </c>
      <c r="L146" s="7" t="n">
        <v>3</v>
      </c>
      <c r="M146" s="7" t="s">
        <v>147</v>
      </c>
      <c r="N146" s="7"/>
      <c r="O146" s="7" t="s">
        <v>1150</v>
      </c>
      <c r="P146" s="7" t="s">
        <v>1183</v>
      </c>
      <c r="Q146" s="7" t="s">
        <v>1152</v>
      </c>
      <c r="R146" s="8"/>
      <c r="S146" s="12"/>
      <c r="T146" s="12"/>
    </row>
    <row r="147" customFormat="false" ht="35.05" hidden="false" customHeight="false" outlineLevel="0" collapsed="false">
      <c r="A147" s="7" t="s">
        <v>1580</v>
      </c>
      <c r="B147" s="7" t="s">
        <v>142</v>
      </c>
      <c r="C147" s="7" t="s">
        <v>146</v>
      </c>
      <c r="D147" s="7" t="s">
        <v>1581</v>
      </c>
      <c r="E147" s="7" t="s">
        <v>1179</v>
      </c>
      <c r="F147" s="7" t="s">
        <v>928</v>
      </c>
      <c r="G147" s="7" t="s">
        <v>1148</v>
      </c>
      <c r="H147" s="8" t="s">
        <v>148</v>
      </c>
      <c r="I147" s="8" t="s">
        <v>149</v>
      </c>
      <c r="J147" s="7" t="s">
        <v>133</v>
      </c>
      <c r="K147" s="7" t="s">
        <v>1582</v>
      </c>
      <c r="L147" s="7" t="n">
        <v>3</v>
      </c>
      <c r="M147" s="7" t="s">
        <v>147</v>
      </c>
      <c r="N147" s="7"/>
      <c r="O147" s="7" t="s">
        <v>1150</v>
      </c>
      <c r="P147" s="7" t="s">
        <v>1183</v>
      </c>
      <c r="Q147" s="7" t="s">
        <v>1152</v>
      </c>
      <c r="R147" s="8"/>
      <c r="S147" s="12"/>
      <c r="T147" s="12"/>
    </row>
    <row r="148" customFormat="false" ht="35.05" hidden="false" customHeight="false" outlineLevel="0" collapsed="false">
      <c r="A148" s="7" t="s">
        <v>1583</v>
      </c>
      <c r="B148" s="7" t="s">
        <v>142</v>
      </c>
      <c r="C148" s="7" t="s">
        <v>146</v>
      </c>
      <c r="D148" s="7" t="s">
        <v>1584</v>
      </c>
      <c r="E148" s="7" t="s">
        <v>1179</v>
      </c>
      <c r="F148" s="7" t="s">
        <v>928</v>
      </c>
      <c r="G148" s="7" t="s">
        <v>1148</v>
      </c>
      <c r="H148" s="8" t="s">
        <v>148</v>
      </c>
      <c r="I148" s="8" t="s">
        <v>149</v>
      </c>
      <c r="J148" s="7" t="s">
        <v>133</v>
      </c>
      <c r="K148" s="7" t="s">
        <v>1585</v>
      </c>
      <c r="L148" s="7" t="n">
        <v>3</v>
      </c>
      <c r="M148" s="7" t="s">
        <v>147</v>
      </c>
      <c r="N148" s="7"/>
      <c r="O148" s="7" t="s">
        <v>1150</v>
      </c>
      <c r="P148" s="7" t="s">
        <v>1183</v>
      </c>
      <c r="Q148" s="7" t="s">
        <v>1152</v>
      </c>
      <c r="R148" s="8"/>
      <c r="S148" s="12"/>
      <c r="T148" s="12"/>
    </row>
    <row r="149" customFormat="false" ht="35.05" hidden="false" customHeight="false" outlineLevel="0" collapsed="false">
      <c r="A149" s="7" t="s">
        <v>1586</v>
      </c>
      <c r="B149" s="7" t="s">
        <v>142</v>
      </c>
      <c r="C149" s="7" t="s">
        <v>146</v>
      </c>
      <c r="D149" s="7" t="s">
        <v>1587</v>
      </c>
      <c r="E149" s="7" t="s">
        <v>1179</v>
      </c>
      <c r="F149" s="7" t="s">
        <v>928</v>
      </c>
      <c r="G149" s="7" t="s">
        <v>1148</v>
      </c>
      <c r="H149" s="8" t="s">
        <v>148</v>
      </c>
      <c r="I149" s="8" t="s">
        <v>149</v>
      </c>
      <c r="J149" s="7" t="s">
        <v>133</v>
      </c>
      <c r="K149" s="7" t="s">
        <v>1588</v>
      </c>
      <c r="L149" s="7" t="n">
        <v>3</v>
      </c>
      <c r="M149" s="7" t="s">
        <v>147</v>
      </c>
      <c r="N149" s="7"/>
      <c r="O149" s="7" t="s">
        <v>1150</v>
      </c>
      <c r="P149" s="7" t="s">
        <v>1183</v>
      </c>
      <c r="Q149" s="7" t="s">
        <v>1152</v>
      </c>
      <c r="R149" s="8"/>
      <c r="S149" s="12"/>
      <c r="T149" s="12"/>
    </row>
    <row r="150" customFormat="false" ht="35.05" hidden="false" customHeight="false" outlineLevel="0" collapsed="false">
      <c r="A150" s="7" t="s">
        <v>1589</v>
      </c>
      <c r="B150" s="7" t="s">
        <v>142</v>
      </c>
      <c r="C150" s="7" t="s">
        <v>150</v>
      </c>
      <c r="D150" s="7" t="s">
        <v>150</v>
      </c>
      <c r="E150" s="7" t="s">
        <v>1137</v>
      </c>
      <c r="F150" s="7" t="s">
        <v>928</v>
      </c>
      <c r="G150" s="7" t="s">
        <v>1148</v>
      </c>
      <c r="H150" s="8" t="s">
        <v>1590</v>
      </c>
      <c r="I150" s="8" t="s">
        <v>153</v>
      </c>
      <c r="J150" s="7" t="s">
        <v>87</v>
      </c>
      <c r="K150" s="7" t="s">
        <v>151</v>
      </c>
      <c r="L150" s="7" t="n">
        <v>2</v>
      </c>
      <c r="M150" s="7" t="s">
        <v>143</v>
      </c>
      <c r="N150" s="7"/>
      <c r="O150" s="7" t="s">
        <v>1150</v>
      </c>
      <c r="P150" s="7" t="s">
        <v>1183</v>
      </c>
      <c r="Q150" s="7" t="s">
        <v>1152</v>
      </c>
      <c r="R150" s="8"/>
      <c r="S150" s="12"/>
      <c r="T150" s="12"/>
    </row>
    <row r="151" customFormat="false" ht="35.05" hidden="false" customHeight="false" outlineLevel="0" collapsed="false">
      <c r="A151" s="7" t="s">
        <v>1591</v>
      </c>
      <c r="B151" s="7" t="s">
        <v>142</v>
      </c>
      <c r="C151" s="7" t="s">
        <v>150</v>
      </c>
      <c r="D151" s="7" t="s">
        <v>1592</v>
      </c>
      <c r="E151" s="7" t="s">
        <v>1179</v>
      </c>
      <c r="F151" s="7" t="s">
        <v>928</v>
      </c>
      <c r="G151" s="7" t="s">
        <v>1148</v>
      </c>
      <c r="H151" s="8" t="s">
        <v>152</v>
      </c>
      <c r="I151" s="8" t="s">
        <v>153</v>
      </c>
      <c r="J151" s="7" t="s">
        <v>133</v>
      </c>
      <c r="K151" s="7" t="s">
        <v>1593</v>
      </c>
      <c r="L151" s="7" t="n">
        <v>3</v>
      </c>
      <c r="M151" s="7" t="s">
        <v>151</v>
      </c>
      <c r="N151" s="7"/>
      <c r="O151" s="7" t="s">
        <v>1150</v>
      </c>
      <c r="P151" s="7" t="s">
        <v>1183</v>
      </c>
      <c r="Q151" s="7" t="s">
        <v>1152</v>
      </c>
      <c r="R151" s="8"/>
      <c r="S151" s="12"/>
      <c r="T151" s="12"/>
    </row>
    <row r="152" customFormat="false" ht="46.25" hidden="false" customHeight="false" outlineLevel="0" collapsed="false">
      <c r="A152" s="7" t="s">
        <v>1594</v>
      </c>
      <c r="B152" s="7" t="s">
        <v>142</v>
      </c>
      <c r="C152" s="7" t="s">
        <v>150</v>
      </c>
      <c r="D152" s="7" t="s">
        <v>1595</v>
      </c>
      <c r="E152" s="7" t="s">
        <v>1179</v>
      </c>
      <c r="F152" s="7" t="s">
        <v>928</v>
      </c>
      <c r="G152" s="7" t="s">
        <v>1148</v>
      </c>
      <c r="H152" s="8" t="s">
        <v>1596</v>
      </c>
      <c r="I152" s="8" t="s">
        <v>153</v>
      </c>
      <c r="J152" s="7" t="s">
        <v>133</v>
      </c>
      <c r="K152" s="7" t="s">
        <v>1597</v>
      </c>
      <c r="L152" s="7" t="n">
        <v>3</v>
      </c>
      <c r="M152" s="7" t="s">
        <v>151</v>
      </c>
      <c r="N152" s="7"/>
      <c r="O152" s="7" t="s">
        <v>1150</v>
      </c>
      <c r="P152" s="7" t="s">
        <v>1183</v>
      </c>
      <c r="Q152" s="7" t="s">
        <v>1152</v>
      </c>
      <c r="R152" s="8"/>
      <c r="S152" s="12"/>
      <c r="T152" s="12"/>
    </row>
    <row r="153" customFormat="false" ht="35.05" hidden="false" customHeight="false" outlineLevel="0" collapsed="false">
      <c r="A153" s="7" t="s">
        <v>1598</v>
      </c>
      <c r="B153" s="7" t="s">
        <v>142</v>
      </c>
      <c r="C153" s="7" t="s">
        <v>150</v>
      </c>
      <c r="D153" s="7" t="s">
        <v>1599</v>
      </c>
      <c r="E153" s="7" t="s">
        <v>1179</v>
      </c>
      <c r="F153" s="7" t="s">
        <v>928</v>
      </c>
      <c r="G153" s="7" t="s">
        <v>1148</v>
      </c>
      <c r="H153" s="8" t="s">
        <v>152</v>
      </c>
      <c r="I153" s="8" t="s">
        <v>153</v>
      </c>
      <c r="J153" s="7" t="s">
        <v>133</v>
      </c>
      <c r="K153" s="7" t="s">
        <v>1600</v>
      </c>
      <c r="L153" s="7" t="n">
        <v>3</v>
      </c>
      <c r="M153" s="7" t="s">
        <v>151</v>
      </c>
      <c r="N153" s="7"/>
      <c r="O153" s="7" t="s">
        <v>1150</v>
      </c>
      <c r="P153" s="7" t="s">
        <v>1183</v>
      </c>
      <c r="Q153" s="7" t="s">
        <v>1152</v>
      </c>
      <c r="R153" s="8"/>
      <c r="S153" s="12"/>
      <c r="T153" s="12"/>
    </row>
    <row r="154" customFormat="false" ht="46.25" hidden="false" customHeight="false" outlineLevel="0" collapsed="false">
      <c r="A154" s="7" t="s">
        <v>1601</v>
      </c>
      <c r="B154" s="7" t="s">
        <v>142</v>
      </c>
      <c r="C154" s="7" t="s">
        <v>150</v>
      </c>
      <c r="D154" s="7" t="s">
        <v>1602</v>
      </c>
      <c r="E154" s="7" t="s">
        <v>1179</v>
      </c>
      <c r="F154" s="7" t="s">
        <v>928</v>
      </c>
      <c r="G154" s="7" t="s">
        <v>1148</v>
      </c>
      <c r="H154" s="8" t="s">
        <v>1596</v>
      </c>
      <c r="I154" s="8" t="s">
        <v>153</v>
      </c>
      <c r="J154" s="7" t="s">
        <v>133</v>
      </c>
      <c r="K154" s="7" t="s">
        <v>1603</v>
      </c>
      <c r="L154" s="7" t="n">
        <v>3</v>
      </c>
      <c r="M154" s="7" t="s">
        <v>151</v>
      </c>
      <c r="N154" s="7"/>
      <c r="O154" s="7" t="s">
        <v>1150</v>
      </c>
      <c r="P154" s="7" t="s">
        <v>1183</v>
      </c>
      <c r="Q154" s="7" t="s">
        <v>1152</v>
      </c>
      <c r="R154" s="8"/>
      <c r="S154" s="12"/>
      <c r="T154" s="12"/>
    </row>
    <row r="155" customFormat="false" ht="35.05" hidden="false" customHeight="false" outlineLevel="0" collapsed="false">
      <c r="A155" s="7" t="s">
        <v>1604</v>
      </c>
      <c r="B155" s="7" t="s">
        <v>142</v>
      </c>
      <c r="C155" s="7" t="s">
        <v>150</v>
      </c>
      <c r="D155" s="7" t="s">
        <v>1605</v>
      </c>
      <c r="E155" s="7" t="s">
        <v>1179</v>
      </c>
      <c r="F155" s="7" t="s">
        <v>928</v>
      </c>
      <c r="G155" s="7" t="s">
        <v>1148</v>
      </c>
      <c r="H155" s="8" t="s">
        <v>152</v>
      </c>
      <c r="I155" s="8" t="s">
        <v>153</v>
      </c>
      <c r="J155" s="7" t="s">
        <v>133</v>
      </c>
      <c r="K155" s="7" t="s">
        <v>1606</v>
      </c>
      <c r="L155" s="7" t="n">
        <v>3</v>
      </c>
      <c r="M155" s="7" t="s">
        <v>151</v>
      </c>
      <c r="N155" s="7"/>
      <c r="O155" s="7" t="s">
        <v>1150</v>
      </c>
      <c r="P155" s="7" t="s">
        <v>1183</v>
      </c>
      <c r="Q155" s="7" t="s">
        <v>1152</v>
      </c>
      <c r="R155" s="8"/>
      <c r="S155" s="12"/>
      <c r="T155" s="12"/>
    </row>
    <row r="156" customFormat="false" ht="35.05" hidden="false" customHeight="false" outlineLevel="0" collapsed="false">
      <c r="A156" s="7" t="s">
        <v>1607</v>
      </c>
      <c r="B156" s="7" t="s">
        <v>142</v>
      </c>
      <c r="C156" s="7" t="s">
        <v>150</v>
      </c>
      <c r="D156" s="7" t="s">
        <v>1608</v>
      </c>
      <c r="E156" s="7" t="s">
        <v>1179</v>
      </c>
      <c r="F156" s="7" t="s">
        <v>928</v>
      </c>
      <c r="G156" s="7" t="s">
        <v>1148</v>
      </c>
      <c r="H156" s="8" t="s">
        <v>152</v>
      </c>
      <c r="I156" s="8" t="s">
        <v>153</v>
      </c>
      <c r="J156" s="7" t="s">
        <v>133</v>
      </c>
      <c r="K156" s="7" t="s">
        <v>1609</v>
      </c>
      <c r="L156" s="7" t="n">
        <v>3</v>
      </c>
      <c r="M156" s="7" t="s">
        <v>151</v>
      </c>
      <c r="N156" s="7"/>
      <c r="O156" s="7" t="s">
        <v>1150</v>
      </c>
      <c r="P156" s="7" t="s">
        <v>1183</v>
      </c>
      <c r="Q156" s="7" t="s">
        <v>1152</v>
      </c>
      <c r="R156" s="8"/>
      <c r="S156" s="12"/>
      <c r="T156" s="12"/>
    </row>
    <row r="157" customFormat="false" ht="35.05" hidden="false" customHeight="false" outlineLevel="0" collapsed="false">
      <c r="A157" s="7" t="s">
        <v>1610</v>
      </c>
      <c r="B157" s="7" t="s">
        <v>142</v>
      </c>
      <c r="C157" s="7" t="s">
        <v>150</v>
      </c>
      <c r="D157" s="7" t="s">
        <v>1611</v>
      </c>
      <c r="E157" s="7" t="s">
        <v>1179</v>
      </c>
      <c r="F157" s="7" t="s">
        <v>928</v>
      </c>
      <c r="G157" s="7" t="s">
        <v>1148</v>
      </c>
      <c r="H157" s="8" t="s">
        <v>152</v>
      </c>
      <c r="I157" s="8" t="s">
        <v>153</v>
      </c>
      <c r="J157" s="7" t="s">
        <v>133</v>
      </c>
      <c r="K157" s="7" t="s">
        <v>1612</v>
      </c>
      <c r="L157" s="7" t="n">
        <v>3</v>
      </c>
      <c r="M157" s="7" t="s">
        <v>151</v>
      </c>
      <c r="N157" s="7"/>
      <c r="O157" s="7" t="s">
        <v>1150</v>
      </c>
      <c r="P157" s="7" t="s">
        <v>1183</v>
      </c>
      <c r="Q157" s="7" t="s">
        <v>1152</v>
      </c>
      <c r="R157" s="8"/>
      <c r="S157" s="12"/>
      <c r="T157" s="12"/>
    </row>
    <row r="158" customFormat="false" ht="35.05" hidden="false" customHeight="false" outlineLevel="0" collapsed="false">
      <c r="A158" s="7" t="s">
        <v>1613</v>
      </c>
      <c r="B158" s="7" t="s">
        <v>142</v>
      </c>
      <c r="C158" s="7" t="s">
        <v>150</v>
      </c>
      <c r="D158" s="7" t="s">
        <v>1614</v>
      </c>
      <c r="E158" s="7" t="s">
        <v>1179</v>
      </c>
      <c r="F158" s="7" t="s">
        <v>928</v>
      </c>
      <c r="G158" s="7" t="s">
        <v>1148</v>
      </c>
      <c r="H158" s="8" t="s">
        <v>152</v>
      </c>
      <c r="I158" s="8" t="s">
        <v>153</v>
      </c>
      <c r="J158" s="7" t="s">
        <v>133</v>
      </c>
      <c r="K158" s="7" t="s">
        <v>1615</v>
      </c>
      <c r="L158" s="7" t="n">
        <v>3</v>
      </c>
      <c r="M158" s="7" t="s">
        <v>151</v>
      </c>
      <c r="N158" s="7"/>
      <c r="O158" s="7" t="s">
        <v>1150</v>
      </c>
      <c r="P158" s="7" t="s">
        <v>1183</v>
      </c>
      <c r="Q158" s="7" t="s">
        <v>1152</v>
      </c>
      <c r="R158" s="8"/>
      <c r="S158" s="12"/>
      <c r="T158" s="12"/>
    </row>
    <row r="159" customFormat="false" ht="35.05" hidden="false" customHeight="false" outlineLevel="0" collapsed="false">
      <c r="A159" s="7" t="s">
        <v>1616</v>
      </c>
      <c r="B159" s="7" t="s">
        <v>142</v>
      </c>
      <c r="C159" s="7" t="s">
        <v>150</v>
      </c>
      <c r="D159" s="7" t="s">
        <v>1617</v>
      </c>
      <c r="E159" s="7" t="s">
        <v>1179</v>
      </c>
      <c r="F159" s="7" t="s">
        <v>928</v>
      </c>
      <c r="G159" s="7" t="s">
        <v>1148</v>
      </c>
      <c r="H159" s="8" t="s">
        <v>152</v>
      </c>
      <c r="I159" s="8" t="s">
        <v>153</v>
      </c>
      <c r="J159" s="7" t="s">
        <v>133</v>
      </c>
      <c r="K159" s="7" t="s">
        <v>1618</v>
      </c>
      <c r="L159" s="7" t="n">
        <v>3</v>
      </c>
      <c r="M159" s="7" t="s">
        <v>151</v>
      </c>
      <c r="N159" s="7"/>
      <c r="O159" s="7" t="s">
        <v>1150</v>
      </c>
      <c r="P159" s="7" t="s">
        <v>1183</v>
      </c>
      <c r="Q159" s="7" t="s">
        <v>1152</v>
      </c>
      <c r="R159" s="8"/>
      <c r="S159" s="12"/>
      <c r="T159" s="12"/>
    </row>
    <row r="160" customFormat="false" ht="35.05" hidden="false" customHeight="false" outlineLevel="0" collapsed="false">
      <c r="A160" s="7" t="s">
        <v>1619</v>
      </c>
      <c r="B160" s="7" t="s">
        <v>142</v>
      </c>
      <c r="C160" s="7" t="s">
        <v>150</v>
      </c>
      <c r="D160" s="7" t="s">
        <v>1620</v>
      </c>
      <c r="E160" s="7" t="s">
        <v>1179</v>
      </c>
      <c r="F160" s="7" t="s">
        <v>928</v>
      </c>
      <c r="G160" s="7" t="s">
        <v>1148</v>
      </c>
      <c r="H160" s="8" t="s">
        <v>152</v>
      </c>
      <c r="I160" s="8" t="s">
        <v>153</v>
      </c>
      <c r="J160" s="7" t="s">
        <v>133</v>
      </c>
      <c r="K160" s="7" t="s">
        <v>1621</v>
      </c>
      <c r="L160" s="7" t="n">
        <v>3</v>
      </c>
      <c r="M160" s="7" t="s">
        <v>151</v>
      </c>
      <c r="N160" s="7"/>
      <c r="O160" s="7" t="s">
        <v>1150</v>
      </c>
      <c r="P160" s="7" t="s">
        <v>1183</v>
      </c>
      <c r="Q160" s="7" t="s">
        <v>1152</v>
      </c>
      <c r="R160" s="8"/>
      <c r="S160" s="12"/>
      <c r="T160" s="12"/>
    </row>
    <row r="161" customFormat="false" ht="35.05" hidden="false" customHeight="false" outlineLevel="0" collapsed="false">
      <c r="A161" s="7" t="s">
        <v>1622</v>
      </c>
      <c r="B161" s="7" t="s">
        <v>142</v>
      </c>
      <c r="C161" s="7" t="s">
        <v>150</v>
      </c>
      <c r="D161" s="7" t="s">
        <v>1623</v>
      </c>
      <c r="E161" s="7" t="s">
        <v>1179</v>
      </c>
      <c r="F161" s="7" t="s">
        <v>928</v>
      </c>
      <c r="G161" s="7" t="s">
        <v>1148</v>
      </c>
      <c r="H161" s="8" t="s">
        <v>152</v>
      </c>
      <c r="I161" s="8" t="s">
        <v>153</v>
      </c>
      <c r="J161" s="7" t="s">
        <v>133</v>
      </c>
      <c r="K161" s="7" t="s">
        <v>1624</v>
      </c>
      <c r="L161" s="7" t="n">
        <v>3</v>
      </c>
      <c r="M161" s="7" t="s">
        <v>151</v>
      </c>
      <c r="N161" s="7"/>
      <c r="O161" s="7" t="s">
        <v>1150</v>
      </c>
      <c r="P161" s="7" t="s">
        <v>1183</v>
      </c>
      <c r="Q161" s="7" t="s">
        <v>1152</v>
      </c>
      <c r="R161" s="8"/>
      <c r="S161" s="12"/>
      <c r="T161" s="12"/>
    </row>
    <row r="162" customFormat="false" ht="35.05" hidden="false" customHeight="false" outlineLevel="0" collapsed="false">
      <c r="A162" s="7" t="s">
        <v>1625</v>
      </c>
      <c r="B162" s="7" t="s">
        <v>142</v>
      </c>
      <c r="C162" s="7" t="s">
        <v>150</v>
      </c>
      <c r="D162" s="7" t="s">
        <v>1626</v>
      </c>
      <c r="E162" s="7" t="s">
        <v>1179</v>
      </c>
      <c r="F162" s="7" t="s">
        <v>928</v>
      </c>
      <c r="G162" s="7" t="s">
        <v>1148</v>
      </c>
      <c r="H162" s="8" t="s">
        <v>152</v>
      </c>
      <c r="I162" s="8" t="s">
        <v>153</v>
      </c>
      <c r="J162" s="7" t="s">
        <v>133</v>
      </c>
      <c r="K162" s="7" t="s">
        <v>1627</v>
      </c>
      <c r="L162" s="7" t="n">
        <v>3</v>
      </c>
      <c r="M162" s="7" t="s">
        <v>151</v>
      </c>
      <c r="N162" s="7"/>
      <c r="O162" s="7" t="s">
        <v>1150</v>
      </c>
      <c r="P162" s="7" t="s">
        <v>1183</v>
      </c>
      <c r="Q162" s="7" t="s">
        <v>1152</v>
      </c>
      <c r="R162" s="8"/>
      <c r="S162" s="12"/>
      <c r="T162" s="12"/>
    </row>
    <row r="163" customFormat="false" ht="35.05" hidden="false" customHeight="false" outlineLevel="0" collapsed="false">
      <c r="A163" s="7" t="s">
        <v>1628</v>
      </c>
      <c r="B163" s="7" t="s">
        <v>142</v>
      </c>
      <c r="C163" s="7" t="s">
        <v>150</v>
      </c>
      <c r="D163" s="7" t="s">
        <v>1629</v>
      </c>
      <c r="E163" s="7" t="s">
        <v>1179</v>
      </c>
      <c r="F163" s="7" t="s">
        <v>928</v>
      </c>
      <c r="G163" s="7" t="s">
        <v>1148</v>
      </c>
      <c r="H163" s="8" t="s">
        <v>152</v>
      </c>
      <c r="I163" s="8" t="s">
        <v>153</v>
      </c>
      <c r="J163" s="7" t="s">
        <v>133</v>
      </c>
      <c r="K163" s="7" t="s">
        <v>1630</v>
      </c>
      <c r="L163" s="7" t="n">
        <v>3</v>
      </c>
      <c r="M163" s="7" t="s">
        <v>151</v>
      </c>
      <c r="N163" s="7"/>
      <c r="O163" s="7" t="s">
        <v>1150</v>
      </c>
      <c r="P163" s="7" t="s">
        <v>1183</v>
      </c>
      <c r="Q163" s="7" t="s">
        <v>1152</v>
      </c>
      <c r="R163" s="8"/>
      <c r="S163" s="12"/>
      <c r="T163" s="12"/>
    </row>
    <row r="164" customFormat="false" ht="35.05" hidden="false" customHeight="false" outlineLevel="0" collapsed="false">
      <c r="A164" s="7" t="s">
        <v>1631</v>
      </c>
      <c r="B164" s="7" t="s">
        <v>142</v>
      </c>
      <c r="C164" s="7" t="s">
        <v>150</v>
      </c>
      <c r="D164" s="7" t="s">
        <v>1632</v>
      </c>
      <c r="E164" s="7" t="s">
        <v>1179</v>
      </c>
      <c r="F164" s="7" t="s">
        <v>928</v>
      </c>
      <c r="G164" s="7" t="s">
        <v>1148</v>
      </c>
      <c r="H164" s="8" t="s">
        <v>152</v>
      </c>
      <c r="I164" s="8" t="s">
        <v>153</v>
      </c>
      <c r="J164" s="7" t="s">
        <v>133</v>
      </c>
      <c r="K164" s="7" t="s">
        <v>1633</v>
      </c>
      <c r="L164" s="7" t="n">
        <v>3</v>
      </c>
      <c r="M164" s="7" t="s">
        <v>151</v>
      </c>
      <c r="N164" s="7"/>
      <c r="O164" s="7" t="s">
        <v>1150</v>
      </c>
      <c r="P164" s="7" t="s">
        <v>1183</v>
      </c>
      <c r="Q164" s="7" t="s">
        <v>1152</v>
      </c>
      <c r="R164" s="8"/>
      <c r="S164" s="12"/>
      <c r="T164" s="12"/>
    </row>
    <row r="165" customFormat="false" ht="35.05" hidden="false" customHeight="false" outlineLevel="0" collapsed="false">
      <c r="A165" s="7" t="s">
        <v>1634</v>
      </c>
      <c r="B165" s="7" t="s">
        <v>142</v>
      </c>
      <c r="C165" s="7" t="s">
        <v>150</v>
      </c>
      <c r="D165" s="7" t="s">
        <v>1635</v>
      </c>
      <c r="E165" s="7" t="s">
        <v>1179</v>
      </c>
      <c r="F165" s="7" t="s">
        <v>928</v>
      </c>
      <c r="G165" s="7" t="s">
        <v>1148</v>
      </c>
      <c r="H165" s="8" t="s">
        <v>152</v>
      </c>
      <c r="I165" s="8" t="s">
        <v>153</v>
      </c>
      <c r="J165" s="7" t="s">
        <v>133</v>
      </c>
      <c r="K165" s="7" t="s">
        <v>1636</v>
      </c>
      <c r="L165" s="7" t="n">
        <v>3</v>
      </c>
      <c r="M165" s="7" t="s">
        <v>151</v>
      </c>
      <c r="N165" s="7"/>
      <c r="O165" s="7" t="s">
        <v>1150</v>
      </c>
      <c r="P165" s="7" t="s">
        <v>1183</v>
      </c>
      <c r="Q165" s="7" t="s">
        <v>1152</v>
      </c>
      <c r="R165" s="8"/>
      <c r="S165" s="12"/>
      <c r="T165" s="12"/>
    </row>
    <row r="166" customFormat="false" ht="35.05" hidden="false" customHeight="false" outlineLevel="0" collapsed="false">
      <c r="A166" s="7" t="s">
        <v>1637</v>
      </c>
      <c r="B166" s="7" t="s">
        <v>142</v>
      </c>
      <c r="C166" s="7" t="s">
        <v>150</v>
      </c>
      <c r="D166" s="7" t="s">
        <v>1638</v>
      </c>
      <c r="E166" s="7" t="s">
        <v>1179</v>
      </c>
      <c r="F166" s="7" t="s">
        <v>928</v>
      </c>
      <c r="G166" s="7" t="s">
        <v>1148</v>
      </c>
      <c r="H166" s="8" t="s">
        <v>152</v>
      </c>
      <c r="I166" s="8" t="s">
        <v>153</v>
      </c>
      <c r="J166" s="7" t="s">
        <v>133</v>
      </c>
      <c r="K166" s="7" t="s">
        <v>1639</v>
      </c>
      <c r="L166" s="7" t="n">
        <v>3</v>
      </c>
      <c r="M166" s="7" t="s">
        <v>151</v>
      </c>
      <c r="N166" s="7"/>
      <c r="O166" s="7" t="s">
        <v>1150</v>
      </c>
      <c r="P166" s="7" t="s">
        <v>1183</v>
      </c>
      <c r="Q166" s="7" t="s">
        <v>1152</v>
      </c>
      <c r="R166" s="8"/>
      <c r="S166" s="12"/>
      <c r="T166" s="12"/>
    </row>
    <row r="167" customFormat="false" ht="35.05" hidden="false" customHeight="false" outlineLevel="0" collapsed="false">
      <c r="A167" s="7" t="s">
        <v>1640</v>
      </c>
      <c r="B167" s="7" t="s">
        <v>142</v>
      </c>
      <c r="C167" s="7" t="s">
        <v>154</v>
      </c>
      <c r="D167" s="7" t="s">
        <v>154</v>
      </c>
      <c r="E167" s="7" t="s">
        <v>1137</v>
      </c>
      <c r="F167" s="7" t="s">
        <v>928</v>
      </c>
      <c r="G167" s="7" t="s">
        <v>1148</v>
      </c>
      <c r="H167" s="8" t="s">
        <v>1641</v>
      </c>
      <c r="I167" s="8" t="s">
        <v>98</v>
      </c>
      <c r="J167" s="7" t="s">
        <v>87</v>
      </c>
      <c r="K167" s="7" t="s">
        <v>155</v>
      </c>
      <c r="L167" s="7" t="n">
        <v>2</v>
      </c>
      <c r="M167" s="7" t="s">
        <v>143</v>
      </c>
      <c r="N167" s="7"/>
      <c r="O167" s="7" t="s">
        <v>1150</v>
      </c>
      <c r="P167" s="7" t="s">
        <v>1183</v>
      </c>
      <c r="Q167" s="7" t="s">
        <v>1152</v>
      </c>
      <c r="R167" s="8"/>
      <c r="S167" s="12"/>
      <c r="T167" s="12"/>
    </row>
    <row r="168" customFormat="false" ht="23.85" hidden="false" customHeight="false" outlineLevel="0" collapsed="false">
      <c r="A168" s="7" t="s">
        <v>1642</v>
      </c>
      <c r="B168" s="7" t="s">
        <v>142</v>
      </c>
      <c r="C168" s="7" t="s">
        <v>154</v>
      </c>
      <c r="D168" s="7" t="s">
        <v>1643</v>
      </c>
      <c r="E168" s="7" t="s">
        <v>1179</v>
      </c>
      <c r="F168" s="7" t="s">
        <v>928</v>
      </c>
      <c r="G168" s="7" t="s">
        <v>1148</v>
      </c>
      <c r="H168" s="8" t="s">
        <v>156</v>
      </c>
      <c r="I168" s="8" t="s">
        <v>98</v>
      </c>
      <c r="J168" s="7" t="s">
        <v>133</v>
      </c>
      <c r="K168" s="7" t="s">
        <v>1644</v>
      </c>
      <c r="L168" s="7" t="n">
        <v>3</v>
      </c>
      <c r="M168" s="7" t="s">
        <v>155</v>
      </c>
      <c r="N168" s="7"/>
      <c r="O168" s="7" t="s">
        <v>1150</v>
      </c>
      <c r="P168" s="7" t="s">
        <v>1183</v>
      </c>
      <c r="Q168" s="7" t="s">
        <v>1152</v>
      </c>
      <c r="R168" s="8"/>
      <c r="S168" s="12"/>
      <c r="T168" s="12"/>
    </row>
    <row r="169" customFormat="false" ht="23.85" hidden="false" customHeight="false" outlineLevel="0" collapsed="false">
      <c r="A169" s="7" t="s">
        <v>1645</v>
      </c>
      <c r="B169" s="7" t="s">
        <v>142</v>
      </c>
      <c r="C169" s="7" t="s">
        <v>154</v>
      </c>
      <c r="D169" s="7" t="s">
        <v>1646</v>
      </c>
      <c r="E169" s="7" t="s">
        <v>1179</v>
      </c>
      <c r="F169" s="7" t="s">
        <v>928</v>
      </c>
      <c r="G169" s="7" t="s">
        <v>1148</v>
      </c>
      <c r="H169" s="8" t="s">
        <v>156</v>
      </c>
      <c r="I169" s="8" t="s">
        <v>98</v>
      </c>
      <c r="J169" s="7" t="s">
        <v>133</v>
      </c>
      <c r="K169" s="7" t="s">
        <v>1647</v>
      </c>
      <c r="L169" s="7" t="n">
        <v>3</v>
      </c>
      <c r="M169" s="7" t="s">
        <v>155</v>
      </c>
      <c r="N169" s="7"/>
      <c r="O169" s="7" t="s">
        <v>1150</v>
      </c>
      <c r="P169" s="7" t="s">
        <v>1183</v>
      </c>
      <c r="Q169" s="7" t="s">
        <v>1152</v>
      </c>
      <c r="R169" s="8"/>
      <c r="S169" s="12"/>
      <c r="T169" s="12"/>
    </row>
    <row r="170" customFormat="false" ht="23.85" hidden="false" customHeight="false" outlineLevel="0" collapsed="false">
      <c r="A170" s="7" t="s">
        <v>1648</v>
      </c>
      <c r="B170" s="7" t="s">
        <v>142</v>
      </c>
      <c r="C170" s="7" t="s">
        <v>154</v>
      </c>
      <c r="D170" s="7" t="s">
        <v>1649</v>
      </c>
      <c r="E170" s="7" t="s">
        <v>1179</v>
      </c>
      <c r="F170" s="7" t="s">
        <v>928</v>
      </c>
      <c r="G170" s="7" t="s">
        <v>1148</v>
      </c>
      <c r="H170" s="8" t="s">
        <v>156</v>
      </c>
      <c r="I170" s="8" t="s">
        <v>98</v>
      </c>
      <c r="J170" s="7" t="s">
        <v>133</v>
      </c>
      <c r="K170" s="7" t="s">
        <v>1650</v>
      </c>
      <c r="L170" s="7" t="n">
        <v>3</v>
      </c>
      <c r="M170" s="7" t="s">
        <v>155</v>
      </c>
      <c r="N170" s="7"/>
      <c r="O170" s="7" t="s">
        <v>1150</v>
      </c>
      <c r="P170" s="7" t="s">
        <v>1183</v>
      </c>
      <c r="Q170" s="7" t="s">
        <v>1152</v>
      </c>
      <c r="R170" s="8"/>
      <c r="S170" s="12"/>
      <c r="T170" s="12"/>
    </row>
    <row r="171" customFormat="false" ht="23.85" hidden="false" customHeight="false" outlineLevel="0" collapsed="false">
      <c r="A171" s="7" t="s">
        <v>1651</v>
      </c>
      <c r="B171" s="7" t="s">
        <v>142</v>
      </c>
      <c r="C171" s="7" t="s">
        <v>154</v>
      </c>
      <c r="D171" s="7" t="s">
        <v>1652</v>
      </c>
      <c r="E171" s="7" t="s">
        <v>1179</v>
      </c>
      <c r="F171" s="7" t="s">
        <v>928</v>
      </c>
      <c r="G171" s="7" t="s">
        <v>1148</v>
      </c>
      <c r="H171" s="8" t="s">
        <v>156</v>
      </c>
      <c r="I171" s="8" t="s">
        <v>98</v>
      </c>
      <c r="J171" s="7" t="s">
        <v>133</v>
      </c>
      <c r="K171" s="7" t="s">
        <v>1653</v>
      </c>
      <c r="L171" s="7" t="n">
        <v>3</v>
      </c>
      <c r="M171" s="7" t="s">
        <v>155</v>
      </c>
      <c r="N171" s="7"/>
      <c r="O171" s="7" t="s">
        <v>1150</v>
      </c>
      <c r="P171" s="7" t="s">
        <v>1183</v>
      </c>
      <c r="Q171" s="7" t="s">
        <v>1152</v>
      </c>
      <c r="R171" s="8"/>
      <c r="S171" s="12"/>
      <c r="T171" s="12"/>
    </row>
    <row r="172" customFormat="false" ht="23.85" hidden="false" customHeight="false" outlineLevel="0" collapsed="false">
      <c r="A172" s="7" t="s">
        <v>1654</v>
      </c>
      <c r="B172" s="7" t="s">
        <v>142</v>
      </c>
      <c r="C172" s="7" t="s">
        <v>154</v>
      </c>
      <c r="D172" s="7" t="s">
        <v>1655</v>
      </c>
      <c r="E172" s="7" t="s">
        <v>1179</v>
      </c>
      <c r="F172" s="7" t="s">
        <v>928</v>
      </c>
      <c r="G172" s="7" t="s">
        <v>1148</v>
      </c>
      <c r="H172" s="8" t="s">
        <v>156</v>
      </c>
      <c r="I172" s="8" t="s">
        <v>98</v>
      </c>
      <c r="J172" s="7" t="s">
        <v>133</v>
      </c>
      <c r="K172" s="7" t="s">
        <v>1656</v>
      </c>
      <c r="L172" s="7" t="n">
        <v>3</v>
      </c>
      <c r="M172" s="7" t="s">
        <v>155</v>
      </c>
      <c r="N172" s="7"/>
      <c r="O172" s="7" t="s">
        <v>1150</v>
      </c>
      <c r="P172" s="7" t="s">
        <v>1183</v>
      </c>
      <c r="Q172" s="7" t="s">
        <v>1152</v>
      </c>
      <c r="R172" s="8"/>
      <c r="S172" s="12"/>
      <c r="T172" s="12"/>
    </row>
    <row r="173" customFormat="false" ht="23.85" hidden="false" customHeight="false" outlineLevel="0" collapsed="false">
      <c r="A173" s="7" t="s">
        <v>1657</v>
      </c>
      <c r="B173" s="7" t="s">
        <v>142</v>
      </c>
      <c r="C173" s="7" t="s">
        <v>154</v>
      </c>
      <c r="D173" s="7" t="s">
        <v>1658</v>
      </c>
      <c r="E173" s="7" t="s">
        <v>1179</v>
      </c>
      <c r="F173" s="7" t="s">
        <v>928</v>
      </c>
      <c r="G173" s="7" t="s">
        <v>1148</v>
      </c>
      <c r="H173" s="8" t="s">
        <v>156</v>
      </c>
      <c r="I173" s="8" t="s">
        <v>98</v>
      </c>
      <c r="J173" s="7" t="s">
        <v>133</v>
      </c>
      <c r="K173" s="7" t="s">
        <v>1659</v>
      </c>
      <c r="L173" s="7" t="n">
        <v>3</v>
      </c>
      <c r="M173" s="7" t="s">
        <v>155</v>
      </c>
      <c r="N173" s="7"/>
      <c r="O173" s="7" t="s">
        <v>1150</v>
      </c>
      <c r="P173" s="7" t="s">
        <v>1183</v>
      </c>
      <c r="Q173" s="7" t="s">
        <v>1152</v>
      </c>
      <c r="R173" s="8"/>
      <c r="S173" s="12"/>
      <c r="T173" s="12"/>
    </row>
    <row r="174" customFormat="false" ht="35.05" hidden="false" customHeight="false" outlineLevel="0" collapsed="false">
      <c r="A174" s="7" t="s">
        <v>1660</v>
      </c>
      <c r="B174" s="7" t="s">
        <v>142</v>
      </c>
      <c r="C174" s="7" t="s">
        <v>157</v>
      </c>
      <c r="D174" s="7" t="s">
        <v>157</v>
      </c>
      <c r="E174" s="7" t="s">
        <v>1137</v>
      </c>
      <c r="F174" s="7" t="s">
        <v>928</v>
      </c>
      <c r="G174" s="7" t="s">
        <v>1148</v>
      </c>
      <c r="H174" s="8" t="s">
        <v>1661</v>
      </c>
      <c r="I174" s="8" t="s">
        <v>160</v>
      </c>
      <c r="J174" s="7" t="s">
        <v>87</v>
      </c>
      <c r="K174" s="7" t="s">
        <v>158</v>
      </c>
      <c r="L174" s="7" t="n">
        <v>2</v>
      </c>
      <c r="M174" s="7" t="s">
        <v>143</v>
      </c>
      <c r="N174" s="7"/>
      <c r="O174" s="7" t="s">
        <v>1150</v>
      </c>
      <c r="P174" s="7" t="s">
        <v>1151</v>
      </c>
      <c r="Q174" s="7" t="s">
        <v>1152</v>
      </c>
      <c r="R174" s="8"/>
      <c r="S174" s="12"/>
      <c r="T174" s="12"/>
    </row>
    <row r="175" customFormat="false" ht="35.05" hidden="false" customHeight="false" outlineLevel="0" collapsed="false">
      <c r="A175" s="7" t="s">
        <v>1662</v>
      </c>
      <c r="B175" s="7" t="s">
        <v>142</v>
      </c>
      <c r="C175" s="7" t="s">
        <v>157</v>
      </c>
      <c r="D175" s="7" t="s">
        <v>1663</v>
      </c>
      <c r="E175" s="7" t="s">
        <v>1179</v>
      </c>
      <c r="F175" s="7" t="s">
        <v>928</v>
      </c>
      <c r="G175" s="7" t="s">
        <v>1148</v>
      </c>
      <c r="H175" s="8" t="s">
        <v>159</v>
      </c>
      <c r="I175" s="8" t="s">
        <v>160</v>
      </c>
      <c r="J175" s="7" t="s">
        <v>133</v>
      </c>
      <c r="K175" s="7" t="s">
        <v>1664</v>
      </c>
      <c r="L175" s="7" t="n">
        <v>3</v>
      </c>
      <c r="M175" s="7" t="s">
        <v>158</v>
      </c>
      <c r="N175" s="7"/>
      <c r="O175" s="7" t="s">
        <v>1150</v>
      </c>
      <c r="P175" s="7" t="s">
        <v>1183</v>
      </c>
      <c r="Q175" s="7" t="s">
        <v>1184</v>
      </c>
      <c r="R175" s="8"/>
      <c r="S175" s="12"/>
      <c r="T175" s="12"/>
    </row>
    <row r="176" customFormat="false" ht="35.05" hidden="false" customHeight="false" outlineLevel="0" collapsed="false">
      <c r="A176" s="7" t="s">
        <v>1665</v>
      </c>
      <c r="B176" s="7" t="s">
        <v>142</v>
      </c>
      <c r="C176" s="7" t="s">
        <v>157</v>
      </c>
      <c r="D176" s="7" t="s">
        <v>1666</v>
      </c>
      <c r="E176" s="7" t="s">
        <v>1179</v>
      </c>
      <c r="F176" s="7" t="s">
        <v>928</v>
      </c>
      <c r="G176" s="7" t="s">
        <v>1148</v>
      </c>
      <c r="H176" s="8" t="s">
        <v>159</v>
      </c>
      <c r="I176" s="8" t="s">
        <v>160</v>
      </c>
      <c r="J176" s="7" t="s">
        <v>133</v>
      </c>
      <c r="K176" s="7" t="s">
        <v>1667</v>
      </c>
      <c r="L176" s="7" t="n">
        <v>3</v>
      </c>
      <c r="M176" s="7" t="s">
        <v>158</v>
      </c>
      <c r="N176" s="7"/>
      <c r="O176" s="7" t="s">
        <v>1150</v>
      </c>
      <c r="P176" s="7" t="s">
        <v>1183</v>
      </c>
      <c r="Q176" s="7" t="s">
        <v>1152</v>
      </c>
      <c r="R176" s="8"/>
      <c r="S176" s="12"/>
      <c r="T176" s="12"/>
    </row>
    <row r="177" customFormat="false" ht="35.05" hidden="false" customHeight="false" outlineLevel="0" collapsed="false">
      <c r="A177" s="7" t="s">
        <v>1668</v>
      </c>
      <c r="B177" s="7" t="s">
        <v>142</v>
      </c>
      <c r="C177" s="7" t="s">
        <v>157</v>
      </c>
      <c r="D177" s="7" t="s">
        <v>1669</v>
      </c>
      <c r="E177" s="7" t="s">
        <v>1179</v>
      </c>
      <c r="F177" s="7" t="s">
        <v>928</v>
      </c>
      <c r="G177" s="7" t="s">
        <v>1148</v>
      </c>
      <c r="H177" s="8" t="s">
        <v>159</v>
      </c>
      <c r="I177" s="8" t="s">
        <v>160</v>
      </c>
      <c r="J177" s="7" t="s">
        <v>133</v>
      </c>
      <c r="K177" s="7" t="s">
        <v>1670</v>
      </c>
      <c r="L177" s="7" t="n">
        <v>3</v>
      </c>
      <c r="M177" s="7" t="s">
        <v>158</v>
      </c>
      <c r="N177" s="7"/>
      <c r="O177" s="7" t="s">
        <v>1150</v>
      </c>
      <c r="P177" s="7" t="s">
        <v>1151</v>
      </c>
      <c r="Q177" s="7" t="s">
        <v>1152</v>
      </c>
      <c r="R177" s="8"/>
      <c r="S177" s="12"/>
      <c r="T177" s="12"/>
    </row>
    <row r="178" customFormat="false" ht="35.05" hidden="false" customHeight="false" outlineLevel="0" collapsed="false">
      <c r="A178" s="7" t="s">
        <v>1671</v>
      </c>
      <c r="B178" s="7" t="s">
        <v>142</v>
      </c>
      <c r="C178" s="7" t="s">
        <v>157</v>
      </c>
      <c r="D178" s="7" t="s">
        <v>1672</v>
      </c>
      <c r="E178" s="7" t="s">
        <v>1179</v>
      </c>
      <c r="F178" s="7" t="s">
        <v>928</v>
      </c>
      <c r="G178" s="7" t="s">
        <v>1148</v>
      </c>
      <c r="H178" s="8" t="s">
        <v>159</v>
      </c>
      <c r="I178" s="8" t="s">
        <v>160</v>
      </c>
      <c r="J178" s="7" t="s">
        <v>133</v>
      </c>
      <c r="K178" s="7" t="s">
        <v>1673</v>
      </c>
      <c r="L178" s="7" t="n">
        <v>3</v>
      </c>
      <c r="M178" s="7" t="s">
        <v>158</v>
      </c>
      <c r="N178" s="7"/>
      <c r="O178" s="7" t="s">
        <v>1150</v>
      </c>
      <c r="P178" s="7" t="s">
        <v>1183</v>
      </c>
      <c r="Q178" s="7" t="s">
        <v>1152</v>
      </c>
      <c r="R178" s="8"/>
      <c r="S178" s="12"/>
      <c r="T178" s="12"/>
    </row>
    <row r="179" customFormat="false" ht="35.05" hidden="false" customHeight="false" outlineLevel="0" collapsed="false">
      <c r="A179" s="7" t="s">
        <v>1674</v>
      </c>
      <c r="B179" s="7" t="s">
        <v>142</v>
      </c>
      <c r="C179" s="7" t="s">
        <v>157</v>
      </c>
      <c r="D179" s="7" t="s">
        <v>1675</v>
      </c>
      <c r="E179" s="7" t="s">
        <v>1179</v>
      </c>
      <c r="F179" s="7" t="s">
        <v>928</v>
      </c>
      <c r="G179" s="7" t="s">
        <v>1148</v>
      </c>
      <c r="H179" s="8" t="s">
        <v>1676</v>
      </c>
      <c r="I179" s="8" t="s">
        <v>160</v>
      </c>
      <c r="J179" s="7" t="s">
        <v>133</v>
      </c>
      <c r="K179" s="7" t="s">
        <v>1677</v>
      </c>
      <c r="L179" s="7" t="n">
        <v>3</v>
      </c>
      <c r="M179" s="7" t="s">
        <v>158</v>
      </c>
      <c r="N179" s="7"/>
      <c r="O179" s="7" t="s">
        <v>1150</v>
      </c>
      <c r="P179" s="7" t="s">
        <v>1151</v>
      </c>
      <c r="Q179" s="7" t="s">
        <v>1152</v>
      </c>
      <c r="R179" s="8"/>
      <c r="S179" s="12"/>
      <c r="T179" s="12"/>
    </row>
    <row r="180" customFormat="false" ht="35.05" hidden="false" customHeight="false" outlineLevel="0" collapsed="false">
      <c r="A180" s="7" t="s">
        <v>1678</v>
      </c>
      <c r="B180" s="7" t="s">
        <v>142</v>
      </c>
      <c r="C180" s="7" t="s">
        <v>157</v>
      </c>
      <c r="D180" s="7" t="s">
        <v>1679</v>
      </c>
      <c r="E180" s="7" t="s">
        <v>1179</v>
      </c>
      <c r="F180" s="7" t="s">
        <v>928</v>
      </c>
      <c r="G180" s="7" t="s">
        <v>1148</v>
      </c>
      <c r="H180" s="8" t="s">
        <v>1676</v>
      </c>
      <c r="I180" s="8" t="s">
        <v>160</v>
      </c>
      <c r="J180" s="7" t="s">
        <v>133</v>
      </c>
      <c r="K180" s="7" t="s">
        <v>1680</v>
      </c>
      <c r="L180" s="7" t="n">
        <v>3</v>
      </c>
      <c r="M180" s="7" t="s">
        <v>158</v>
      </c>
      <c r="N180" s="7"/>
      <c r="O180" s="7" t="s">
        <v>1150</v>
      </c>
      <c r="P180" s="7" t="s">
        <v>1183</v>
      </c>
      <c r="Q180" s="7" t="s">
        <v>1152</v>
      </c>
      <c r="R180" s="8"/>
      <c r="S180" s="12"/>
      <c r="T180" s="12"/>
    </row>
    <row r="181" customFormat="false" ht="35.05" hidden="false" customHeight="false" outlineLevel="0" collapsed="false">
      <c r="A181" s="7" t="s">
        <v>1681</v>
      </c>
      <c r="B181" s="7" t="s">
        <v>142</v>
      </c>
      <c r="C181" s="7" t="s">
        <v>157</v>
      </c>
      <c r="D181" s="7" t="s">
        <v>1682</v>
      </c>
      <c r="E181" s="7" t="s">
        <v>1179</v>
      </c>
      <c r="F181" s="7" t="s">
        <v>928</v>
      </c>
      <c r="G181" s="7" t="s">
        <v>1148</v>
      </c>
      <c r="H181" s="8" t="s">
        <v>1683</v>
      </c>
      <c r="I181" s="8" t="s">
        <v>160</v>
      </c>
      <c r="J181" s="7" t="s">
        <v>133</v>
      </c>
      <c r="K181" s="7" t="s">
        <v>1684</v>
      </c>
      <c r="L181" s="7" t="n">
        <v>3</v>
      </c>
      <c r="M181" s="7" t="s">
        <v>158</v>
      </c>
      <c r="N181" s="7"/>
      <c r="O181" s="7" t="s">
        <v>1150</v>
      </c>
      <c r="P181" s="7" t="s">
        <v>1183</v>
      </c>
      <c r="Q181" s="7" t="s">
        <v>1152</v>
      </c>
      <c r="R181" s="8"/>
      <c r="S181" s="12"/>
      <c r="T181" s="12"/>
    </row>
    <row r="182" customFormat="false" ht="35.05" hidden="false" customHeight="false" outlineLevel="0" collapsed="false">
      <c r="A182" s="7" t="s">
        <v>1685</v>
      </c>
      <c r="B182" s="7" t="s">
        <v>142</v>
      </c>
      <c r="C182" s="7" t="s">
        <v>157</v>
      </c>
      <c r="D182" s="7" t="s">
        <v>1686</v>
      </c>
      <c r="E182" s="7" t="s">
        <v>1179</v>
      </c>
      <c r="F182" s="7" t="s">
        <v>928</v>
      </c>
      <c r="G182" s="7" t="s">
        <v>1148</v>
      </c>
      <c r="H182" s="8" t="s">
        <v>159</v>
      </c>
      <c r="I182" s="8" t="s">
        <v>160</v>
      </c>
      <c r="J182" s="7" t="s">
        <v>133</v>
      </c>
      <c r="K182" s="7" t="s">
        <v>1687</v>
      </c>
      <c r="L182" s="7" t="n">
        <v>3</v>
      </c>
      <c r="M182" s="7" t="s">
        <v>158</v>
      </c>
      <c r="N182" s="7"/>
      <c r="O182" s="7" t="s">
        <v>1150</v>
      </c>
      <c r="P182" s="7" t="s">
        <v>1183</v>
      </c>
      <c r="Q182" s="7" t="s">
        <v>1152</v>
      </c>
      <c r="R182" s="8"/>
      <c r="S182" s="12"/>
      <c r="T182" s="12"/>
    </row>
    <row r="183" customFormat="false" ht="35.05" hidden="false" customHeight="false" outlineLevel="0" collapsed="false">
      <c r="A183" s="7" t="s">
        <v>1688</v>
      </c>
      <c r="B183" s="7" t="s">
        <v>142</v>
      </c>
      <c r="C183" s="7" t="s">
        <v>157</v>
      </c>
      <c r="D183" s="7" t="s">
        <v>1689</v>
      </c>
      <c r="E183" s="7" t="s">
        <v>1179</v>
      </c>
      <c r="F183" s="7" t="s">
        <v>928</v>
      </c>
      <c r="G183" s="7" t="s">
        <v>1148</v>
      </c>
      <c r="H183" s="8" t="s">
        <v>159</v>
      </c>
      <c r="I183" s="8" t="s">
        <v>160</v>
      </c>
      <c r="J183" s="7" t="s">
        <v>133</v>
      </c>
      <c r="K183" s="7" t="s">
        <v>1690</v>
      </c>
      <c r="L183" s="7" t="n">
        <v>3</v>
      </c>
      <c r="M183" s="7" t="s">
        <v>158</v>
      </c>
      <c r="N183" s="7"/>
      <c r="O183" s="7" t="s">
        <v>1150</v>
      </c>
      <c r="P183" s="7" t="s">
        <v>1183</v>
      </c>
      <c r="Q183" s="7" t="s">
        <v>1152</v>
      </c>
      <c r="R183" s="8"/>
      <c r="S183" s="12"/>
      <c r="T183" s="12"/>
    </row>
    <row r="184" customFormat="false" ht="35.05" hidden="false" customHeight="false" outlineLevel="0" collapsed="false">
      <c r="A184" s="7" t="s">
        <v>1691</v>
      </c>
      <c r="B184" s="7" t="s">
        <v>142</v>
      </c>
      <c r="C184" s="7" t="s">
        <v>157</v>
      </c>
      <c r="D184" s="7" t="s">
        <v>1692</v>
      </c>
      <c r="E184" s="7" t="s">
        <v>1179</v>
      </c>
      <c r="F184" s="7" t="s">
        <v>928</v>
      </c>
      <c r="G184" s="7" t="s">
        <v>1148</v>
      </c>
      <c r="H184" s="8" t="s">
        <v>1693</v>
      </c>
      <c r="I184" s="8" t="s">
        <v>160</v>
      </c>
      <c r="J184" s="7" t="s">
        <v>133</v>
      </c>
      <c r="K184" s="7" t="s">
        <v>1694</v>
      </c>
      <c r="L184" s="7" t="n">
        <v>3</v>
      </c>
      <c r="M184" s="7" t="s">
        <v>158</v>
      </c>
      <c r="N184" s="7"/>
      <c r="O184" s="7" t="s">
        <v>1150</v>
      </c>
      <c r="P184" s="7" t="s">
        <v>1183</v>
      </c>
      <c r="Q184" s="7" t="s">
        <v>1152</v>
      </c>
      <c r="R184" s="8"/>
      <c r="S184" s="12"/>
      <c r="T184" s="12"/>
    </row>
    <row r="185" customFormat="false" ht="35.05" hidden="false" customHeight="false" outlineLevel="0" collapsed="false">
      <c r="A185" s="7" t="s">
        <v>1695</v>
      </c>
      <c r="B185" s="7" t="s">
        <v>142</v>
      </c>
      <c r="C185" s="7" t="s">
        <v>157</v>
      </c>
      <c r="D185" s="7" t="s">
        <v>1696</v>
      </c>
      <c r="E185" s="7" t="s">
        <v>1179</v>
      </c>
      <c r="F185" s="7" t="s">
        <v>928</v>
      </c>
      <c r="G185" s="7" t="s">
        <v>1148</v>
      </c>
      <c r="H185" s="8" t="s">
        <v>1693</v>
      </c>
      <c r="I185" s="8" t="s">
        <v>160</v>
      </c>
      <c r="J185" s="7" t="s">
        <v>133</v>
      </c>
      <c r="K185" s="7" t="s">
        <v>1697</v>
      </c>
      <c r="L185" s="7" t="n">
        <v>3</v>
      </c>
      <c r="M185" s="7" t="s">
        <v>158</v>
      </c>
      <c r="N185" s="7"/>
      <c r="O185" s="7" t="s">
        <v>1150</v>
      </c>
      <c r="P185" s="7" t="s">
        <v>1183</v>
      </c>
      <c r="Q185" s="7" t="s">
        <v>1152</v>
      </c>
      <c r="R185" s="8"/>
      <c r="S185" s="12"/>
      <c r="T185" s="12"/>
    </row>
    <row r="186" customFormat="false" ht="35.05" hidden="false" customHeight="false" outlineLevel="0" collapsed="false">
      <c r="A186" s="7" t="s">
        <v>1698</v>
      </c>
      <c r="B186" s="7" t="s">
        <v>142</v>
      </c>
      <c r="C186" s="7" t="s">
        <v>157</v>
      </c>
      <c r="D186" s="7" t="s">
        <v>1699</v>
      </c>
      <c r="E186" s="7" t="s">
        <v>1179</v>
      </c>
      <c r="F186" s="7" t="s">
        <v>928</v>
      </c>
      <c r="G186" s="7" t="s">
        <v>1148</v>
      </c>
      <c r="H186" s="8" t="s">
        <v>159</v>
      </c>
      <c r="I186" s="8" t="s">
        <v>160</v>
      </c>
      <c r="J186" s="7" t="s">
        <v>133</v>
      </c>
      <c r="K186" s="7" t="s">
        <v>1700</v>
      </c>
      <c r="L186" s="7" t="n">
        <v>3</v>
      </c>
      <c r="M186" s="7" t="s">
        <v>158</v>
      </c>
      <c r="N186" s="7"/>
      <c r="O186" s="7" t="s">
        <v>1150</v>
      </c>
      <c r="P186" s="7" t="s">
        <v>1183</v>
      </c>
      <c r="Q186" s="7" t="s">
        <v>1152</v>
      </c>
      <c r="R186" s="8"/>
      <c r="S186" s="12"/>
      <c r="T186" s="12"/>
    </row>
    <row r="187" customFormat="false" ht="35.05" hidden="false" customHeight="false" outlineLevel="0" collapsed="false">
      <c r="A187" s="7" t="s">
        <v>1701</v>
      </c>
      <c r="B187" s="7" t="s">
        <v>142</v>
      </c>
      <c r="C187" s="7" t="s">
        <v>157</v>
      </c>
      <c r="D187" s="7" t="s">
        <v>1702</v>
      </c>
      <c r="E187" s="7" t="s">
        <v>1179</v>
      </c>
      <c r="F187" s="7" t="s">
        <v>928</v>
      </c>
      <c r="G187" s="7" t="s">
        <v>1148</v>
      </c>
      <c r="H187" s="8" t="s">
        <v>159</v>
      </c>
      <c r="I187" s="8" t="s">
        <v>160</v>
      </c>
      <c r="J187" s="7" t="s">
        <v>133</v>
      </c>
      <c r="K187" s="7" t="s">
        <v>1703</v>
      </c>
      <c r="L187" s="7" t="n">
        <v>3</v>
      </c>
      <c r="M187" s="7" t="s">
        <v>158</v>
      </c>
      <c r="N187" s="7"/>
      <c r="O187" s="7" t="s">
        <v>1150</v>
      </c>
      <c r="P187" s="7" t="s">
        <v>1183</v>
      </c>
      <c r="Q187" s="7" t="s">
        <v>1152</v>
      </c>
      <c r="R187" s="8"/>
      <c r="S187" s="12"/>
      <c r="T187" s="12"/>
    </row>
    <row r="188" customFormat="false" ht="35.05" hidden="false" customHeight="false" outlineLevel="0" collapsed="false">
      <c r="A188" s="7" t="s">
        <v>1704</v>
      </c>
      <c r="B188" s="7" t="s">
        <v>142</v>
      </c>
      <c r="C188" s="7" t="s">
        <v>161</v>
      </c>
      <c r="D188" s="7" t="s">
        <v>161</v>
      </c>
      <c r="E188" s="7" t="s">
        <v>1137</v>
      </c>
      <c r="F188" s="7" t="s">
        <v>928</v>
      </c>
      <c r="G188" s="7" t="s">
        <v>1148</v>
      </c>
      <c r="H188" s="8" t="s">
        <v>1705</v>
      </c>
      <c r="I188" s="8" t="s">
        <v>164</v>
      </c>
      <c r="J188" s="7" t="s">
        <v>87</v>
      </c>
      <c r="K188" s="7" t="s">
        <v>162</v>
      </c>
      <c r="L188" s="7" t="n">
        <v>2</v>
      </c>
      <c r="M188" s="7" t="s">
        <v>143</v>
      </c>
      <c r="N188" s="7"/>
      <c r="O188" s="7" t="s">
        <v>1150</v>
      </c>
      <c r="P188" s="7" t="s">
        <v>1183</v>
      </c>
      <c r="Q188" s="7" t="s">
        <v>1152</v>
      </c>
      <c r="R188" s="8"/>
      <c r="S188" s="12"/>
      <c r="T188" s="12"/>
    </row>
    <row r="189" customFormat="false" ht="35.05" hidden="false" customHeight="false" outlineLevel="0" collapsed="false">
      <c r="A189" s="7" t="s">
        <v>1706</v>
      </c>
      <c r="B189" s="7" t="s">
        <v>142</v>
      </c>
      <c r="C189" s="7" t="s">
        <v>161</v>
      </c>
      <c r="D189" s="7" t="s">
        <v>1707</v>
      </c>
      <c r="E189" s="7" t="s">
        <v>1179</v>
      </c>
      <c r="F189" s="7" t="s">
        <v>928</v>
      </c>
      <c r="G189" s="7" t="s">
        <v>1148</v>
      </c>
      <c r="H189" s="8" t="s">
        <v>1708</v>
      </c>
      <c r="I189" s="8" t="s">
        <v>164</v>
      </c>
      <c r="J189" s="7" t="s">
        <v>133</v>
      </c>
      <c r="K189" s="7" t="s">
        <v>1709</v>
      </c>
      <c r="L189" s="7" t="n">
        <v>3</v>
      </c>
      <c r="M189" s="7" t="s">
        <v>162</v>
      </c>
      <c r="N189" s="7"/>
      <c r="O189" s="7" t="s">
        <v>1150</v>
      </c>
      <c r="P189" s="7" t="s">
        <v>1183</v>
      </c>
      <c r="Q189" s="7" t="s">
        <v>1184</v>
      </c>
      <c r="R189" s="8"/>
      <c r="S189" s="12"/>
      <c r="T189" s="12"/>
    </row>
    <row r="190" customFormat="false" ht="23.85" hidden="false" customHeight="false" outlineLevel="0" collapsed="false">
      <c r="A190" s="7" t="s">
        <v>1710</v>
      </c>
      <c r="B190" s="7" t="s">
        <v>142</v>
      </c>
      <c r="C190" s="7" t="s">
        <v>161</v>
      </c>
      <c r="D190" s="7" t="s">
        <v>1711</v>
      </c>
      <c r="E190" s="7" t="s">
        <v>1179</v>
      </c>
      <c r="F190" s="7" t="s">
        <v>928</v>
      </c>
      <c r="G190" s="7" t="s">
        <v>1148</v>
      </c>
      <c r="H190" s="8" t="s">
        <v>163</v>
      </c>
      <c r="I190" s="8" t="s">
        <v>164</v>
      </c>
      <c r="J190" s="7" t="s">
        <v>133</v>
      </c>
      <c r="K190" s="7" t="s">
        <v>1712</v>
      </c>
      <c r="L190" s="7" t="n">
        <v>3</v>
      </c>
      <c r="M190" s="7" t="s">
        <v>162</v>
      </c>
      <c r="N190" s="7"/>
      <c r="O190" s="7" t="s">
        <v>1150</v>
      </c>
      <c r="P190" s="7" t="s">
        <v>1183</v>
      </c>
      <c r="Q190" s="7" t="s">
        <v>1152</v>
      </c>
      <c r="R190" s="8"/>
      <c r="S190" s="12"/>
      <c r="T190" s="12"/>
    </row>
    <row r="191" customFormat="false" ht="23.85" hidden="false" customHeight="false" outlineLevel="0" collapsed="false">
      <c r="A191" s="7" t="s">
        <v>1713</v>
      </c>
      <c r="B191" s="7" t="s">
        <v>142</v>
      </c>
      <c r="C191" s="7" t="s">
        <v>161</v>
      </c>
      <c r="D191" s="7" t="s">
        <v>1714</v>
      </c>
      <c r="E191" s="7" t="s">
        <v>1179</v>
      </c>
      <c r="F191" s="7" t="s">
        <v>928</v>
      </c>
      <c r="G191" s="7" t="s">
        <v>1148</v>
      </c>
      <c r="H191" s="8" t="s">
        <v>163</v>
      </c>
      <c r="I191" s="8" t="s">
        <v>164</v>
      </c>
      <c r="J191" s="7" t="s">
        <v>133</v>
      </c>
      <c r="K191" s="7" t="s">
        <v>1715</v>
      </c>
      <c r="L191" s="7" t="n">
        <v>3</v>
      </c>
      <c r="M191" s="7" t="s">
        <v>162</v>
      </c>
      <c r="N191" s="7"/>
      <c r="O191" s="7" t="s">
        <v>1150</v>
      </c>
      <c r="P191" s="7" t="s">
        <v>1183</v>
      </c>
      <c r="Q191" s="7" t="s">
        <v>1152</v>
      </c>
      <c r="R191" s="8"/>
      <c r="S191" s="12"/>
      <c r="T191" s="12"/>
    </row>
    <row r="192" customFormat="false" ht="23.85" hidden="false" customHeight="false" outlineLevel="0" collapsed="false">
      <c r="A192" s="7" t="s">
        <v>1716</v>
      </c>
      <c r="B192" s="7" t="s">
        <v>142</v>
      </c>
      <c r="C192" s="7" t="s">
        <v>161</v>
      </c>
      <c r="D192" s="7" t="s">
        <v>1717</v>
      </c>
      <c r="E192" s="7" t="s">
        <v>1179</v>
      </c>
      <c r="F192" s="7" t="s">
        <v>928</v>
      </c>
      <c r="G192" s="7" t="s">
        <v>1148</v>
      </c>
      <c r="H192" s="8" t="s">
        <v>163</v>
      </c>
      <c r="I192" s="8" t="s">
        <v>164</v>
      </c>
      <c r="J192" s="7" t="s">
        <v>133</v>
      </c>
      <c r="K192" s="7" t="s">
        <v>1718</v>
      </c>
      <c r="L192" s="7" t="n">
        <v>3</v>
      </c>
      <c r="M192" s="7" t="s">
        <v>162</v>
      </c>
      <c r="N192" s="7"/>
      <c r="O192" s="7" t="s">
        <v>1150</v>
      </c>
      <c r="P192" s="7" t="s">
        <v>1183</v>
      </c>
      <c r="Q192" s="7" t="s">
        <v>1152</v>
      </c>
      <c r="R192" s="8"/>
      <c r="S192" s="12"/>
      <c r="T192" s="12"/>
    </row>
    <row r="193" customFormat="false" ht="35.05" hidden="false" customHeight="false" outlineLevel="0" collapsed="false">
      <c r="A193" s="7" t="s">
        <v>1719</v>
      </c>
      <c r="B193" s="7" t="s">
        <v>142</v>
      </c>
      <c r="C193" s="7" t="s">
        <v>161</v>
      </c>
      <c r="D193" s="7" t="s">
        <v>1720</v>
      </c>
      <c r="E193" s="7" t="s">
        <v>1179</v>
      </c>
      <c r="F193" s="7" t="s">
        <v>928</v>
      </c>
      <c r="G193" s="7" t="s">
        <v>1148</v>
      </c>
      <c r="H193" s="8" t="s">
        <v>1708</v>
      </c>
      <c r="I193" s="8" t="s">
        <v>164</v>
      </c>
      <c r="J193" s="7" t="s">
        <v>133</v>
      </c>
      <c r="K193" s="7" t="s">
        <v>1721</v>
      </c>
      <c r="L193" s="7" t="n">
        <v>3</v>
      </c>
      <c r="M193" s="7" t="s">
        <v>162</v>
      </c>
      <c r="N193" s="7"/>
      <c r="O193" s="7" t="s">
        <v>1150</v>
      </c>
      <c r="P193" s="7" t="s">
        <v>1183</v>
      </c>
      <c r="Q193" s="7" t="s">
        <v>1152</v>
      </c>
      <c r="R193" s="8"/>
      <c r="S193" s="12"/>
      <c r="T193" s="12"/>
    </row>
    <row r="194" customFormat="false" ht="23.85" hidden="false" customHeight="false" outlineLevel="0" collapsed="false">
      <c r="A194" s="7" t="s">
        <v>1722</v>
      </c>
      <c r="B194" s="7" t="s">
        <v>142</v>
      </c>
      <c r="C194" s="7" t="s">
        <v>161</v>
      </c>
      <c r="D194" s="7" t="s">
        <v>1723</v>
      </c>
      <c r="E194" s="7" t="s">
        <v>1179</v>
      </c>
      <c r="F194" s="7" t="s">
        <v>928</v>
      </c>
      <c r="G194" s="7" t="s">
        <v>1148</v>
      </c>
      <c r="H194" s="8" t="s">
        <v>163</v>
      </c>
      <c r="I194" s="8" t="s">
        <v>164</v>
      </c>
      <c r="J194" s="7" t="s">
        <v>133</v>
      </c>
      <c r="K194" s="7" t="s">
        <v>1724</v>
      </c>
      <c r="L194" s="7" t="n">
        <v>3</v>
      </c>
      <c r="M194" s="7" t="s">
        <v>162</v>
      </c>
      <c r="N194" s="7"/>
      <c r="O194" s="7" t="s">
        <v>1150</v>
      </c>
      <c r="P194" s="7" t="s">
        <v>1183</v>
      </c>
      <c r="Q194" s="7" t="s">
        <v>1152</v>
      </c>
      <c r="R194" s="8"/>
      <c r="S194" s="12"/>
      <c r="T194" s="12"/>
    </row>
    <row r="195" customFormat="false" ht="23.85" hidden="false" customHeight="false" outlineLevel="0" collapsed="false">
      <c r="A195" s="7" t="s">
        <v>1725</v>
      </c>
      <c r="B195" s="7" t="s">
        <v>142</v>
      </c>
      <c r="C195" s="7" t="s">
        <v>161</v>
      </c>
      <c r="D195" s="7" t="s">
        <v>1726</v>
      </c>
      <c r="E195" s="7" t="s">
        <v>1179</v>
      </c>
      <c r="F195" s="7" t="s">
        <v>928</v>
      </c>
      <c r="G195" s="7" t="s">
        <v>1148</v>
      </c>
      <c r="H195" s="8" t="s">
        <v>163</v>
      </c>
      <c r="I195" s="8" t="s">
        <v>164</v>
      </c>
      <c r="J195" s="7" t="s">
        <v>133</v>
      </c>
      <c r="K195" s="7" t="s">
        <v>1727</v>
      </c>
      <c r="L195" s="7" t="n">
        <v>3</v>
      </c>
      <c r="M195" s="7" t="s">
        <v>162</v>
      </c>
      <c r="N195" s="7"/>
      <c r="O195" s="7" t="s">
        <v>1150</v>
      </c>
      <c r="P195" s="7" t="s">
        <v>1183</v>
      </c>
      <c r="Q195" s="7" t="s">
        <v>1152</v>
      </c>
      <c r="R195" s="8"/>
      <c r="S195" s="12"/>
      <c r="T195" s="12"/>
    </row>
    <row r="196" customFormat="false" ht="23.85" hidden="false" customHeight="false" outlineLevel="0" collapsed="false">
      <c r="A196" s="7" t="s">
        <v>1728</v>
      </c>
      <c r="B196" s="7" t="s">
        <v>142</v>
      </c>
      <c r="C196" s="7" t="s">
        <v>161</v>
      </c>
      <c r="D196" s="7" t="s">
        <v>1729</v>
      </c>
      <c r="E196" s="7" t="s">
        <v>1179</v>
      </c>
      <c r="F196" s="7" t="s">
        <v>928</v>
      </c>
      <c r="G196" s="7" t="s">
        <v>1148</v>
      </c>
      <c r="H196" s="8" t="s">
        <v>163</v>
      </c>
      <c r="I196" s="8" t="s">
        <v>164</v>
      </c>
      <c r="J196" s="7" t="s">
        <v>133</v>
      </c>
      <c r="K196" s="7" t="s">
        <v>1730</v>
      </c>
      <c r="L196" s="7" t="n">
        <v>3</v>
      </c>
      <c r="M196" s="7" t="s">
        <v>162</v>
      </c>
      <c r="N196" s="7"/>
      <c r="O196" s="7" t="s">
        <v>1150</v>
      </c>
      <c r="P196" s="7" t="s">
        <v>1183</v>
      </c>
      <c r="Q196" s="7" t="s">
        <v>1152</v>
      </c>
      <c r="R196" s="8"/>
      <c r="S196" s="12"/>
      <c r="T196" s="12"/>
    </row>
    <row r="197" customFormat="false" ht="23.85" hidden="false" customHeight="false" outlineLevel="0" collapsed="false">
      <c r="A197" s="7" t="s">
        <v>1731</v>
      </c>
      <c r="B197" s="7" t="s">
        <v>142</v>
      </c>
      <c r="C197" s="7" t="s">
        <v>161</v>
      </c>
      <c r="D197" s="7" t="s">
        <v>1732</v>
      </c>
      <c r="E197" s="7" t="s">
        <v>1179</v>
      </c>
      <c r="F197" s="7" t="s">
        <v>928</v>
      </c>
      <c r="G197" s="7" t="s">
        <v>1148</v>
      </c>
      <c r="H197" s="8" t="s">
        <v>163</v>
      </c>
      <c r="I197" s="8" t="s">
        <v>164</v>
      </c>
      <c r="J197" s="7" t="s">
        <v>133</v>
      </c>
      <c r="K197" s="7" t="s">
        <v>1733</v>
      </c>
      <c r="L197" s="7" t="n">
        <v>3</v>
      </c>
      <c r="M197" s="7" t="s">
        <v>162</v>
      </c>
      <c r="N197" s="7"/>
      <c r="O197" s="7" t="s">
        <v>1150</v>
      </c>
      <c r="P197" s="7" t="s">
        <v>1183</v>
      </c>
      <c r="Q197" s="7" t="s">
        <v>1152</v>
      </c>
      <c r="R197" s="8"/>
      <c r="S197" s="12"/>
      <c r="T197" s="12"/>
    </row>
    <row r="198" customFormat="false" ht="35.05" hidden="false" customHeight="false" outlineLevel="0" collapsed="false">
      <c r="A198" s="7" t="s">
        <v>1734</v>
      </c>
      <c r="B198" s="7" t="s">
        <v>142</v>
      </c>
      <c r="C198" s="7" t="s">
        <v>165</v>
      </c>
      <c r="D198" s="7" t="s">
        <v>165</v>
      </c>
      <c r="E198" s="7" t="s">
        <v>1137</v>
      </c>
      <c r="F198" s="7" t="s">
        <v>928</v>
      </c>
      <c r="G198" s="7" t="s">
        <v>1148</v>
      </c>
      <c r="H198" s="8" t="s">
        <v>1735</v>
      </c>
      <c r="I198" s="8" t="s">
        <v>168</v>
      </c>
      <c r="J198" s="7" t="s">
        <v>87</v>
      </c>
      <c r="K198" s="7" t="s">
        <v>166</v>
      </c>
      <c r="L198" s="7" t="n">
        <v>2</v>
      </c>
      <c r="M198" s="7" t="s">
        <v>143</v>
      </c>
      <c r="N198" s="7"/>
      <c r="O198" s="7" t="s">
        <v>1150</v>
      </c>
      <c r="P198" s="7" t="s">
        <v>1183</v>
      </c>
      <c r="Q198" s="7" t="s">
        <v>1152</v>
      </c>
      <c r="R198" s="8"/>
      <c r="S198" s="12"/>
      <c r="T198" s="12"/>
    </row>
    <row r="199" customFormat="false" ht="23.85" hidden="false" customHeight="false" outlineLevel="0" collapsed="false">
      <c r="A199" s="7" t="s">
        <v>1736</v>
      </c>
      <c r="B199" s="7" t="s">
        <v>142</v>
      </c>
      <c r="C199" s="7" t="s">
        <v>165</v>
      </c>
      <c r="D199" s="7" t="s">
        <v>1737</v>
      </c>
      <c r="E199" s="7" t="s">
        <v>1179</v>
      </c>
      <c r="F199" s="7" t="s">
        <v>928</v>
      </c>
      <c r="G199" s="7" t="s">
        <v>1148</v>
      </c>
      <c r="H199" s="8" t="s">
        <v>167</v>
      </c>
      <c r="I199" s="8" t="s">
        <v>168</v>
      </c>
      <c r="J199" s="7" t="s">
        <v>133</v>
      </c>
      <c r="K199" s="7" t="s">
        <v>1738</v>
      </c>
      <c r="L199" s="7" t="n">
        <v>3</v>
      </c>
      <c r="M199" s="7" t="s">
        <v>166</v>
      </c>
      <c r="N199" s="7"/>
      <c r="O199" s="7" t="s">
        <v>1150</v>
      </c>
      <c r="P199" s="7" t="s">
        <v>1183</v>
      </c>
      <c r="Q199" s="7" t="s">
        <v>1184</v>
      </c>
      <c r="R199" s="8"/>
      <c r="S199" s="12"/>
      <c r="T199" s="12"/>
    </row>
    <row r="200" customFormat="false" ht="23.85" hidden="false" customHeight="false" outlineLevel="0" collapsed="false">
      <c r="A200" s="7" t="s">
        <v>1739</v>
      </c>
      <c r="B200" s="7" t="s">
        <v>142</v>
      </c>
      <c r="C200" s="7" t="s">
        <v>165</v>
      </c>
      <c r="D200" s="7" t="s">
        <v>1740</v>
      </c>
      <c r="E200" s="7" t="s">
        <v>1179</v>
      </c>
      <c r="F200" s="7" t="s">
        <v>928</v>
      </c>
      <c r="G200" s="7" t="s">
        <v>1148</v>
      </c>
      <c r="H200" s="8" t="s">
        <v>167</v>
      </c>
      <c r="I200" s="8" t="s">
        <v>168</v>
      </c>
      <c r="J200" s="7" t="s">
        <v>133</v>
      </c>
      <c r="K200" s="7" t="s">
        <v>1741</v>
      </c>
      <c r="L200" s="7" t="n">
        <v>3</v>
      </c>
      <c r="M200" s="7" t="s">
        <v>166</v>
      </c>
      <c r="N200" s="7"/>
      <c r="O200" s="7" t="s">
        <v>1150</v>
      </c>
      <c r="P200" s="7" t="s">
        <v>1183</v>
      </c>
      <c r="Q200" s="7" t="s">
        <v>1152</v>
      </c>
      <c r="R200" s="8"/>
      <c r="S200" s="12"/>
      <c r="T200" s="12"/>
    </row>
    <row r="201" customFormat="false" ht="23.85" hidden="false" customHeight="false" outlineLevel="0" collapsed="false">
      <c r="A201" s="7" t="s">
        <v>1742</v>
      </c>
      <c r="B201" s="7" t="s">
        <v>142</v>
      </c>
      <c r="C201" s="7" t="s">
        <v>165</v>
      </c>
      <c r="D201" s="7" t="s">
        <v>1743</v>
      </c>
      <c r="E201" s="7" t="s">
        <v>1179</v>
      </c>
      <c r="F201" s="7" t="s">
        <v>928</v>
      </c>
      <c r="G201" s="7" t="s">
        <v>1148</v>
      </c>
      <c r="H201" s="8" t="s">
        <v>167</v>
      </c>
      <c r="I201" s="8" t="s">
        <v>168</v>
      </c>
      <c r="J201" s="7" t="s">
        <v>133</v>
      </c>
      <c r="K201" s="7" t="s">
        <v>1744</v>
      </c>
      <c r="L201" s="7" t="n">
        <v>3</v>
      </c>
      <c r="M201" s="7" t="s">
        <v>166</v>
      </c>
      <c r="N201" s="7"/>
      <c r="O201" s="7" t="s">
        <v>1150</v>
      </c>
      <c r="P201" s="7" t="s">
        <v>1183</v>
      </c>
      <c r="Q201" s="7" t="s">
        <v>1152</v>
      </c>
      <c r="R201" s="8"/>
      <c r="S201" s="12"/>
      <c r="T201" s="12"/>
    </row>
    <row r="202" customFormat="false" ht="23.85" hidden="false" customHeight="false" outlineLevel="0" collapsed="false">
      <c r="A202" s="7" t="s">
        <v>1745</v>
      </c>
      <c r="B202" s="7" t="s">
        <v>142</v>
      </c>
      <c r="C202" s="7" t="s">
        <v>165</v>
      </c>
      <c r="D202" s="7" t="s">
        <v>1746</v>
      </c>
      <c r="E202" s="7" t="s">
        <v>1179</v>
      </c>
      <c r="F202" s="7" t="s">
        <v>928</v>
      </c>
      <c r="G202" s="7" t="s">
        <v>1148</v>
      </c>
      <c r="H202" s="8" t="s">
        <v>167</v>
      </c>
      <c r="I202" s="8" t="s">
        <v>168</v>
      </c>
      <c r="J202" s="7" t="s">
        <v>133</v>
      </c>
      <c r="K202" s="7" t="s">
        <v>1747</v>
      </c>
      <c r="L202" s="7" t="n">
        <v>3</v>
      </c>
      <c r="M202" s="7" t="s">
        <v>166</v>
      </c>
      <c r="N202" s="7"/>
      <c r="O202" s="7" t="s">
        <v>1150</v>
      </c>
      <c r="P202" s="7" t="s">
        <v>1183</v>
      </c>
      <c r="Q202" s="7" t="s">
        <v>1152</v>
      </c>
      <c r="R202" s="8"/>
      <c r="S202" s="12"/>
      <c r="T202" s="12"/>
    </row>
    <row r="203" customFormat="false" ht="23.85" hidden="false" customHeight="false" outlineLevel="0" collapsed="false">
      <c r="A203" s="7" t="s">
        <v>1748</v>
      </c>
      <c r="B203" s="7" t="s">
        <v>142</v>
      </c>
      <c r="C203" s="7" t="s">
        <v>165</v>
      </c>
      <c r="D203" s="7" t="s">
        <v>1749</v>
      </c>
      <c r="E203" s="7" t="s">
        <v>1179</v>
      </c>
      <c r="F203" s="7" t="s">
        <v>928</v>
      </c>
      <c r="G203" s="7" t="s">
        <v>1148</v>
      </c>
      <c r="H203" s="8" t="s">
        <v>167</v>
      </c>
      <c r="I203" s="8" t="s">
        <v>168</v>
      </c>
      <c r="J203" s="7" t="s">
        <v>133</v>
      </c>
      <c r="K203" s="7" t="s">
        <v>1750</v>
      </c>
      <c r="L203" s="7" t="n">
        <v>3</v>
      </c>
      <c r="M203" s="7" t="s">
        <v>166</v>
      </c>
      <c r="N203" s="7"/>
      <c r="O203" s="7" t="s">
        <v>1150</v>
      </c>
      <c r="P203" s="7" t="s">
        <v>1183</v>
      </c>
      <c r="Q203" s="7" t="s">
        <v>1152</v>
      </c>
      <c r="R203" s="8"/>
      <c r="S203" s="12"/>
      <c r="T203" s="12"/>
    </row>
    <row r="204" customFormat="false" ht="23.85" hidden="false" customHeight="false" outlineLevel="0" collapsed="false">
      <c r="A204" s="7" t="s">
        <v>1751</v>
      </c>
      <c r="B204" s="7" t="s">
        <v>142</v>
      </c>
      <c r="C204" s="7" t="s">
        <v>165</v>
      </c>
      <c r="D204" s="7" t="s">
        <v>1752</v>
      </c>
      <c r="E204" s="7" t="s">
        <v>1179</v>
      </c>
      <c r="F204" s="7" t="s">
        <v>928</v>
      </c>
      <c r="G204" s="7" t="s">
        <v>1148</v>
      </c>
      <c r="H204" s="8" t="s">
        <v>167</v>
      </c>
      <c r="I204" s="8" t="s">
        <v>168</v>
      </c>
      <c r="J204" s="7" t="s">
        <v>133</v>
      </c>
      <c r="K204" s="7" t="s">
        <v>1753</v>
      </c>
      <c r="L204" s="7" t="n">
        <v>3</v>
      </c>
      <c r="M204" s="7" t="s">
        <v>166</v>
      </c>
      <c r="N204" s="7"/>
      <c r="O204" s="7" t="s">
        <v>1150</v>
      </c>
      <c r="P204" s="7" t="s">
        <v>1183</v>
      </c>
      <c r="Q204" s="7" t="s">
        <v>1152</v>
      </c>
      <c r="R204" s="8"/>
      <c r="S204" s="12"/>
      <c r="T204" s="12"/>
    </row>
    <row r="205" customFormat="false" ht="23.85" hidden="false" customHeight="false" outlineLevel="0" collapsed="false">
      <c r="A205" s="7" t="s">
        <v>1754</v>
      </c>
      <c r="B205" s="7" t="s">
        <v>142</v>
      </c>
      <c r="C205" s="7" t="s">
        <v>165</v>
      </c>
      <c r="D205" s="7" t="s">
        <v>1755</v>
      </c>
      <c r="E205" s="7" t="s">
        <v>1179</v>
      </c>
      <c r="F205" s="7" t="s">
        <v>928</v>
      </c>
      <c r="G205" s="7" t="s">
        <v>1148</v>
      </c>
      <c r="H205" s="8" t="s">
        <v>167</v>
      </c>
      <c r="I205" s="8" t="s">
        <v>168</v>
      </c>
      <c r="J205" s="7" t="s">
        <v>133</v>
      </c>
      <c r="K205" s="7" t="s">
        <v>1756</v>
      </c>
      <c r="L205" s="7" t="n">
        <v>3</v>
      </c>
      <c r="M205" s="7" t="s">
        <v>166</v>
      </c>
      <c r="N205" s="7"/>
      <c r="O205" s="7" t="s">
        <v>1150</v>
      </c>
      <c r="P205" s="7" t="s">
        <v>1183</v>
      </c>
      <c r="Q205" s="7" t="s">
        <v>1152</v>
      </c>
      <c r="R205" s="8"/>
      <c r="S205" s="12"/>
      <c r="T205" s="12"/>
    </row>
    <row r="206" customFormat="false" ht="23.85" hidden="false" customHeight="false" outlineLevel="0" collapsed="false">
      <c r="A206" s="7" t="s">
        <v>1757</v>
      </c>
      <c r="B206" s="7" t="s">
        <v>142</v>
      </c>
      <c r="C206" s="7" t="s">
        <v>165</v>
      </c>
      <c r="D206" s="7" t="s">
        <v>1758</v>
      </c>
      <c r="E206" s="7" t="s">
        <v>1179</v>
      </c>
      <c r="F206" s="7" t="s">
        <v>928</v>
      </c>
      <c r="G206" s="7" t="s">
        <v>1148</v>
      </c>
      <c r="H206" s="8" t="s">
        <v>167</v>
      </c>
      <c r="I206" s="8" t="s">
        <v>168</v>
      </c>
      <c r="J206" s="7" t="s">
        <v>133</v>
      </c>
      <c r="K206" s="7" t="s">
        <v>1759</v>
      </c>
      <c r="L206" s="7" t="n">
        <v>3</v>
      </c>
      <c r="M206" s="7" t="s">
        <v>166</v>
      </c>
      <c r="N206" s="7"/>
      <c r="O206" s="7" t="s">
        <v>1150</v>
      </c>
      <c r="P206" s="7" t="s">
        <v>1183</v>
      </c>
      <c r="Q206" s="7" t="s">
        <v>1152</v>
      </c>
      <c r="R206" s="8"/>
      <c r="S206" s="12"/>
      <c r="T206" s="12"/>
    </row>
    <row r="207" customFormat="false" ht="35.05" hidden="false" customHeight="false" outlineLevel="0" collapsed="false">
      <c r="A207" s="7" t="s">
        <v>1760</v>
      </c>
      <c r="B207" s="7" t="s">
        <v>142</v>
      </c>
      <c r="C207" s="7" t="s">
        <v>165</v>
      </c>
      <c r="D207" s="7" t="s">
        <v>1761</v>
      </c>
      <c r="E207" s="7" t="s">
        <v>1179</v>
      </c>
      <c r="F207" s="7" t="s">
        <v>928</v>
      </c>
      <c r="G207" s="7" t="s">
        <v>1148</v>
      </c>
      <c r="H207" s="8" t="s">
        <v>167</v>
      </c>
      <c r="I207" s="8" t="s">
        <v>168</v>
      </c>
      <c r="J207" s="7" t="s">
        <v>949</v>
      </c>
      <c r="K207" s="7" t="s">
        <v>1762</v>
      </c>
      <c r="L207" s="7" t="s">
        <v>952</v>
      </c>
      <c r="M207" s="7" t="s">
        <v>1759</v>
      </c>
      <c r="N207" s="7" t="s">
        <v>1758</v>
      </c>
      <c r="O207" s="7" t="s">
        <v>1150</v>
      </c>
      <c r="P207" s="7" t="s">
        <v>1183</v>
      </c>
      <c r="Q207" s="7" t="s">
        <v>1152</v>
      </c>
      <c r="R207" s="8" t="s">
        <v>1185</v>
      </c>
      <c r="S207" s="12"/>
      <c r="T207" s="12"/>
    </row>
    <row r="208" customFormat="false" ht="23.85" hidden="false" customHeight="false" outlineLevel="0" collapsed="false">
      <c r="A208" s="7" t="s">
        <v>1763</v>
      </c>
      <c r="B208" s="7" t="s">
        <v>142</v>
      </c>
      <c r="C208" s="7" t="s">
        <v>165</v>
      </c>
      <c r="D208" s="7" t="s">
        <v>1764</v>
      </c>
      <c r="E208" s="7" t="s">
        <v>1179</v>
      </c>
      <c r="F208" s="7" t="s">
        <v>928</v>
      </c>
      <c r="G208" s="7" t="s">
        <v>1148</v>
      </c>
      <c r="H208" s="8" t="s">
        <v>167</v>
      </c>
      <c r="I208" s="8" t="s">
        <v>168</v>
      </c>
      <c r="J208" s="7" t="s">
        <v>133</v>
      </c>
      <c r="K208" s="7" t="s">
        <v>1765</v>
      </c>
      <c r="L208" s="7" t="n">
        <v>3</v>
      </c>
      <c r="M208" s="7" t="s">
        <v>166</v>
      </c>
      <c r="N208" s="7"/>
      <c r="O208" s="7" t="s">
        <v>1150</v>
      </c>
      <c r="P208" s="7" t="s">
        <v>1183</v>
      </c>
      <c r="Q208" s="7" t="s">
        <v>1152</v>
      </c>
      <c r="R208" s="8"/>
      <c r="S208" s="12"/>
      <c r="T208" s="12"/>
    </row>
    <row r="209" customFormat="false" ht="23.85" hidden="false" customHeight="false" outlineLevel="0" collapsed="false">
      <c r="A209" s="7" t="s">
        <v>1766</v>
      </c>
      <c r="B209" s="7" t="s">
        <v>142</v>
      </c>
      <c r="C209" s="7" t="s">
        <v>165</v>
      </c>
      <c r="D209" s="7" t="s">
        <v>1767</v>
      </c>
      <c r="E209" s="7" t="s">
        <v>1179</v>
      </c>
      <c r="F209" s="7" t="s">
        <v>928</v>
      </c>
      <c r="G209" s="7" t="s">
        <v>1148</v>
      </c>
      <c r="H209" s="8" t="s">
        <v>167</v>
      </c>
      <c r="I209" s="8" t="s">
        <v>168</v>
      </c>
      <c r="J209" s="7" t="s">
        <v>133</v>
      </c>
      <c r="K209" s="7" t="s">
        <v>1768</v>
      </c>
      <c r="L209" s="7" t="n">
        <v>3</v>
      </c>
      <c r="M209" s="7" t="s">
        <v>166</v>
      </c>
      <c r="N209" s="7"/>
      <c r="O209" s="7" t="s">
        <v>1150</v>
      </c>
      <c r="P209" s="7" t="s">
        <v>1183</v>
      </c>
      <c r="Q209" s="7" t="s">
        <v>1152</v>
      </c>
      <c r="R209" s="8"/>
      <c r="S209" s="12"/>
      <c r="T209" s="12"/>
    </row>
    <row r="210" customFormat="false" ht="23.85" hidden="false" customHeight="false" outlineLevel="0" collapsed="false">
      <c r="A210" s="7" t="s">
        <v>1769</v>
      </c>
      <c r="B210" s="7" t="s">
        <v>142</v>
      </c>
      <c r="C210" s="7" t="s">
        <v>165</v>
      </c>
      <c r="D210" s="7" t="s">
        <v>1770</v>
      </c>
      <c r="E210" s="7" t="s">
        <v>1179</v>
      </c>
      <c r="F210" s="7" t="s">
        <v>928</v>
      </c>
      <c r="G210" s="7" t="s">
        <v>1148</v>
      </c>
      <c r="H210" s="8" t="s">
        <v>167</v>
      </c>
      <c r="I210" s="8" t="s">
        <v>168</v>
      </c>
      <c r="J210" s="7" t="s">
        <v>133</v>
      </c>
      <c r="K210" s="7" t="s">
        <v>1771</v>
      </c>
      <c r="L210" s="7" t="n">
        <v>3</v>
      </c>
      <c r="M210" s="7" t="s">
        <v>166</v>
      </c>
      <c r="N210" s="7"/>
      <c r="O210" s="7" t="s">
        <v>1150</v>
      </c>
      <c r="P210" s="7" t="s">
        <v>1183</v>
      </c>
      <c r="Q210" s="7" t="s">
        <v>1152</v>
      </c>
      <c r="R210" s="8"/>
      <c r="S210" s="12"/>
      <c r="T210" s="12"/>
    </row>
    <row r="211" customFormat="false" ht="23.85" hidden="false" customHeight="false" outlineLevel="0" collapsed="false">
      <c r="A211" s="7" t="s">
        <v>1772</v>
      </c>
      <c r="B211" s="7" t="s">
        <v>142</v>
      </c>
      <c r="C211" s="7" t="s">
        <v>165</v>
      </c>
      <c r="D211" s="7" t="s">
        <v>1773</v>
      </c>
      <c r="E211" s="7" t="s">
        <v>1179</v>
      </c>
      <c r="F211" s="7" t="s">
        <v>928</v>
      </c>
      <c r="G211" s="7" t="s">
        <v>1148</v>
      </c>
      <c r="H211" s="8" t="s">
        <v>167</v>
      </c>
      <c r="I211" s="8" t="s">
        <v>168</v>
      </c>
      <c r="J211" s="7" t="s">
        <v>133</v>
      </c>
      <c r="K211" s="7" t="s">
        <v>1774</v>
      </c>
      <c r="L211" s="7" t="n">
        <v>3</v>
      </c>
      <c r="M211" s="7" t="s">
        <v>166</v>
      </c>
      <c r="N211" s="7"/>
      <c r="O211" s="7" t="s">
        <v>1150</v>
      </c>
      <c r="P211" s="7" t="s">
        <v>1183</v>
      </c>
      <c r="Q211" s="7" t="s">
        <v>1152</v>
      </c>
      <c r="R211" s="8"/>
      <c r="S211" s="12"/>
      <c r="T211" s="12"/>
    </row>
    <row r="212" customFormat="false" ht="23.85" hidden="false" customHeight="false" outlineLevel="0" collapsed="false">
      <c r="A212" s="7" t="s">
        <v>1775</v>
      </c>
      <c r="B212" s="7" t="s">
        <v>142</v>
      </c>
      <c r="C212" s="7" t="s">
        <v>165</v>
      </c>
      <c r="D212" s="7" t="s">
        <v>1776</v>
      </c>
      <c r="E212" s="7" t="s">
        <v>1179</v>
      </c>
      <c r="F212" s="7" t="s">
        <v>928</v>
      </c>
      <c r="G212" s="7" t="s">
        <v>1148</v>
      </c>
      <c r="H212" s="8" t="s">
        <v>167</v>
      </c>
      <c r="I212" s="8" t="s">
        <v>168</v>
      </c>
      <c r="J212" s="7" t="s">
        <v>133</v>
      </c>
      <c r="K212" s="7" t="s">
        <v>1777</v>
      </c>
      <c r="L212" s="7" t="n">
        <v>3</v>
      </c>
      <c r="M212" s="7" t="s">
        <v>166</v>
      </c>
      <c r="N212" s="7"/>
      <c r="O212" s="7" t="s">
        <v>1150</v>
      </c>
      <c r="P212" s="7" t="s">
        <v>1183</v>
      </c>
      <c r="Q212" s="7" t="s">
        <v>1152</v>
      </c>
      <c r="R212" s="8"/>
      <c r="S212" s="12"/>
      <c r="T212" s="12"/>
    </row>
    <row r="213" customFormat="false" ht="23.85" hidden="false" customHeight="false" outlineLevel="0" collapsed="false">
      <c r="A213" s="7" t="s">
        <v>1778</v>
      </c>
      <c r="B213" s="7" t="s">
        <v>142</v>
      </c>
      <c r="C213" s="7" t="s">
        <v>165</v>
      </c>
      <c r="D213" s="7" t="s">
        <v>1779</v>
      </c>
      <c r="E213" s="7" t="s">
        <v>1179</v>
      </c>
      <c r="F213" s="7" t="s">
        <v>928</v>
      </c>
      <c r="G213" s="7" t="s">
        <v>1148</v>
      </c>
      <c r="H213" s="8" t="s">
        <v>167</v>
      </c>
      <c r="I213" s="8" t="s">
        <v>168</v>
      </c>
      <c r="J213" s="7" t="s">
        <v>133</v>
      </c>
      <c r="K213" s="7" t="s">
        <v>1780</v>
      </c>
      <c r="L213" s="7" t="n">
        <v>3</v>
      </c>
      <c r="M213" s="7" t="s">
        <v>166</v>
      </c>
      <c r="N213" s="7"/>
      <c r="O213" s="7" t="s">
        <v>1150</v>
      </c>
      <c r="P213" s="7" t="s">
        <v>1183</v>
      </c>
      <c r="Q213" s="7" t="s">
        <v>1152</v>
      </c>
      <c r="R213" s="8"/>
      <c r="S213" s="12"/>
      <c r="T213" s="12"/>
    </row>
    <row r="214" customFormat="false" ht="35.05" hidden="false" customHeight="false" outlineLevel="0" collapsed="false">
      <c r="A214" s="7" t="s">
        <v>1781</v>
      </c>
      <c r="B214" s="7" t="s">
        <v>142</v>
      </c>
      <c r="C214" s="7" t="s">
        <v>169</v>
      </c>
      <c r="D214" s="7" t="s">
        <v>169</v>
      </c>
      <c r="E214" s="7" t="s">
        <v>1137</v>
      </c>
      <c r="F214" s="7" t="s">
        <v>928</v>
      </c>
      <c r="G214" s="7" t="s">
        <v>1148</v>
      </c>
      <c r="H214" s="8" t="s">
        <v>1782</v>
      </c>
      <c r="I214" s="8" t="s">
        <v>172</v>
      </c>
      <c r="J214" s="7" t="s">
        <v>87</v>
      </c>
      <c r="K214" s="7" t="s">
        <v>170</v>
      </c>
      <c r="L214" s="7" t="n">
        <v>2</v>
      </c>
      <c r="M214" s="7" t="s">
        <v>143</v>
      </c>
      <c r="N214" s="7"/>
      <c r="O214" s="7" t="s">
        <v>1150</v>
      </c>
      <c r="P214" s="7" t="s">
        <v>1183</v>
      </c>
      <c r="Q214" s="7" t="s">
        <v>1152</v>
      </c>
      <c r="R214" s="8"/>
      <c r="S214" s="12"/>
      <c r="T214" s="12"/>
    </row>
    <row r="215" customFormat="false" ht="35.05" hidden="false" customHeight="false" outlineLevel="0" collapsed="false">
      <c r="A215" s="7" t="s">
        <v>1783</v>
      </c>
      <c r="B215" s="7" t="s">
        <v>142</v>
      </c>
      <c r="C215" s="7" t="s">
        <v>169</v>
      </c>
      <c r="D215" s="7" t="s">
        <v>1784</v>
      </c>
      <c r="E215" s="7" t="s">
        <v>1179</v>
      </c>
      <c r="F215" s="7" t="s">
        <v>928</v>
      </c>
      <c r="G215" s="7" t="s">
        <v>1148</v>
      </c>
      <c r="H215" s="8" t="s">
        <v>1785</v>
      </c>
      <c r="I215" s="8" t="s">
        <v>172</v>
      </c>
      <c r="J215" s="7" t="s">
        <v>133</v>
      </c>
      <c r="K215" s="7" t="s">
        <v>1786</v>
      </c>
      <c r="L215" s="7" t="n">
        <v>3</v>
      </c>
      <c r="M215" s="7" t="s">
        <v>170</v>
      </c>
      <c r="N215" s="7"/>
      <c r="O215" s="7" t="s">
        <v>1150</v>
      </c>
      <c r="P215" s="7" t="s">
        <v>1183</v>
      </c>
      <c r="Q215" s="7" t="s">
        <v>1152</v>
      </c>
      <c r="R215" s="8"/>
      <c r="S215" s="12"/>
      <c r="T215" s="12"/>
    </row>
    <row r="216" customFormat="false" ht="35.05" hidden="false" customHeight="false" outlineLevel="0" collapsed="false">
      <c r="A216" s="7" t="s">
        <v>1787</v>
      </c>
      <c r="B216" s="7" t="s">
        <v>142</v>
      </c>
      <c r="C216" s="7" t="s">
        <v>169</v>
      </c>
      <c r="D216" s="7" t="s">
        <v>1788</v>
      </c>
      <c r="E216" s="7" t="s">
        <v>1179</v>
      </c>
      <c r="F216" s="7" t="s">
        <v>928</v>
      </c>
      <c r="G216" s="7" t="s">
        <v>1148</v>
      </c>
      <c r="H216" s="8" t="s">
        <v>1785</v>
      </c>
      <c r="I216" s="8" t="s">
        <v>172</v>
      </c>
      <c r="J216" s="7" t="s">
        <v>133</v>
      </c>
      <c r="K216" s="7" t="s">
        <v>1789</v>
      </c>
      <c r="L216" s="7" t="n">
        <v>3</v>
      </c>
      <c r="M216" s="7" t="s">
        <v>170</v>
      </c>
      <c r="N216" s="7"/>
      <c r="O216" s="7" t="s">
        <v>1150</v>
      </c>
      <c r="P216" s="7" t="s">
        <v>1183</v>
      </c>
      <c r="Q216" s="13" t="s">
        <v>1790</v>
      </c>
      <c r="R216" s="8"/>
      <c r="S216" s="12"/>
      <c r="T216" s="12"/>
    </row>
    <row r="217" customFormat="false" ht="35.05" hidden="false" customHeight="false" outlineLevel="0" collapsed="false">
      <c r="A217" s="7" t="s">
        <v>1791</v>
      </c>
      <c r="B217" s="7" t="s">
        <v>142</v>
      </c>
      <c r="C217" s="7" t="s">
        <v>169</v>
      </c>
      <c r="D217" s="7" t="s">
        <v>1792</v>
      </c>
      <c r="E217" s="7" t="s">
        <v>1179</v>
      </c>
      <c r="F217" s="7" t="s">
        <v>928</v>
      </c>
      <c r="G217" s="7" t="s">
        <v>1148</v>
      </c>
      <c r="H217" s="8" t="s">
        <v>1785</v>
      </c>
      <c r="I217" s="8" t="s">
        <v>172</v>
      </c>
      <c r="J217" s="7" t="s">
        <v>133</v>
      </c>
      <c r="K217" s="7" t="s">
        <v>1793</v>
      </c>
      <c r="L217" s="7" t="n">
        <v>3</v>
      </c>
      <c r="M217" s="7" t="s">
        <v>170</v>
      </c>
      <c r="N217" s="7"/>
      <c r="O217" s="7" t="s">
        <v>1150</v>
      </c>
      <c r="P217" s="7" t="s">
        <v>1183</v>
      </c>
      <c r="Q217" s="13" t="s">
        <v>1790</v>
      </c>
      <c r="R217" s="8"/>
      <c r="S217" s="12"/>
      <c r="T217" s="12"/>
    </row>
    <row r="218" customFormat="false" ht="35.05" hidden="false" customHeight="false" outlineLevel="0" collapsed="false">
      <c r="A218" s="7" t="s">
        <v>1794</v>
      </c>
      <c r="B218" s="7" t="s">
        <v>142</v>
      </c>
      <c r="C218" s="7" t="s">
        <v>169</v>
      </c>
      <c r="D218" s="7" t="s">
        <v>1795</v>
      </c>
      <c r="E218" s="7" t="s">
        <v>1179</v>
      </c>
      <c r="F218" s="7" t="s">
        <v>928</v>
      </c>
      <c r="G218" s="7" t="s">
        <v>1148</v>
      </c>
      <c r="H218" s="8" t="s">
        <v>1785</v>
      </c>
      <c r="I218" s="8" t="s">
        <v>172</v>
      </c>
      <c r="J218" s="7" t="s">
        <v>133</v>
      </c>
      <c r="K218" s="7" t="s">
        <v>1796</v>
      </c>
      <c r="L218" s="7" t="n">
        <v>3</v>
      </c>
      <c r="M218" s="7" t="s">
        <v>170</v>
      </c>
      <c r="N218" s="7"/>
      <c r="O218" s="7" t="s">
        <v>1150</v>
      </c>
      <c r="P218" s="7" t="s">
        <v>1183</v>
      </c>
      <c r="Q218" s="7" t="s">
        <v>1152</v>
      </c>
      <c r="R218" s="8"/>
      <c r="S218" s="12"/>
      <c r="T218" s="12"/>
    </row>
    <row r="219" customFormat="false" ht="35.05" hidden="false" customHeight="false" outlineLevel="0" collapsed="false">
      <c r="A219" s="7" t="s">
        <v>1797</v>
      </c>
      <c r="B219" s="7" t="s">
        <v>142</v>
      </c>
      <c r="C219" s="7" t="s">
        <v>169</v>
      </c>
      <c r="D219" s="7" t="s">
        <v>1798</v>
      </c>
      <c r="E219" s="7" t="s">
        <v>1179</v>
      </c>
      <c r="F219" s="7" t="s">
        <v>928</v>
      </c>
      <c r="G219" s="7" t="s">
        <v>1148</v>
      </c>
      <c r="H219" s="8" t="s">
        <v>171</v>
      </c>
      <c r="I219" s="8" t="s">
        <v>172</v>
      </c>
      <c r="J219" s="7" t="s">
        <v>133</v>
      </c>
      <c r="K219" s="7" t="s">
        <v>1799</v>
      </c>
      <c r="L219" s="7" t="n">
        <v>3</v>
      </c>
      <c r="M219" s="7" t="s">
        <v>170</v>
      </c>
      <c r="N219" s="7"/>
      <c r="O219" s="7" t="s">
        <v>1150</v>
      </c>
      <c r="P219" s="7" t="s">
        <v>1183</v>
      </c>
      <c r="Q219" s="7" t="s">
        <v>1152</v>
      </c>
      <c r="R219" s="8"/>
      <c r="S219" s="12"/>
      <c r="T219" s="12"/>
    </row>
    <row r="220" customFormat="false" ht="35.05" hidden="false" customHeight="false" outlineLevel="0" collapsed="false">
      <c r="A220" s="7" t="s">
        <v>1800</v>
      </c>
      <c r="B220" s="7" t="s">
        <v>142</v>
      </c>
      <c r="C220" s="7" t="s">
        <v>169</v>
      </c>
      <c r="D220" s="7" t="s">
        <v>1801</v>
      </c>
      <c r="E220" s="7" t="s">
        <v>1179</v>
      </c>
      <c r="F220" s="7" t="s">
        <v>928</v>
      </c>
      <c r="G220" s="7" t="s">
        <v>1148</v>
      </c>
      <c r="H220" s="8" t="s">
        <v>171</v>
      </c>
      <c r="I220" s="8" t="s">
        <v>172</v>
      </c>
      <c r="J220" s="7" t="s">
        <v>133</v>
      </c>
      <c r="K220" s="7" t="s">
        <v>1802</v>
      </c>
      <c r="L220" s="7" t="n">
        <v>3</v>
      </c>
      <c r="M220" s="7" t="s">
        <v>170</v>
      </c>
      <c r="N220" s="7"/>
      <c r="O220" s="7" t="s">
        <v>1150</v>
      </c>
      <c r="P220" s="7" t="s">
        <v>1183</v>
      </c>
      <c r="Q220" s="7" t="s">
        <v>1152</v>
      </c>
      <c r="R220" s="8"/>
      <c r="S220" s="12"/>
      <c r="T220" s="12"/>
    </row>
    <row r="221" customFormat="false" ht="35.05" hidden="false" customHeight="false" outlineLevel="0" collapsed="false">
      <c r="A221" s="7" t="s">
        <v>1803</v>
      </c>
      <c r="B221" s="7" t="s">
        <v>142</v>
      </c>
      <c r="C221" s="7" t="s">
        <v>169</v>
      </c>
      <c r="D221" s="7" t="s">
        <v>1804</v>
      </c>
      <c r="E221" s="7" t="s">
        <v>1179</v>
      </c>
      <c r="F221" s="7" t="s">
        <v>928</v>
      </c>
      <c r="G221" s="7" t="s">
        <v>1148</v>
      </c>
      <c r="H221" s="8" t="s">
        <v>1805</v>
      </c>
      <c r="I221" s="8" t="s">
        <v>172</v>
      </c>
      <c r="J221" s="7" t="s">
        <v>133</v>
      </c>
      <c r="K221" s="7" t="s">
        <v>1806</v>
      </c>
      <c r="L221" s="7" t="n">
        <v>3</v>
      </c>
      <c r="M221" s="7" t="s">
        <v>170</v>
      </c>
      <c r="N221" s="7"/>
      <c r="O221" s="7" t="s">
        <v>1150</v>
      </c>
      <c r="P221" s="7" t="s">
        <v>1183</v>
      </c>
      <c r="Q221" s="7" t="s">
        <v>1152</v>
      </c>
      <c r="R221" s="8"/>
      <c r="S221" s="12"/>
      <c r="T221" s="12"/>
    </row>
    <row r="222" customFormat="false" ht="35.05" hidden="false" customHeight="false" outlineLevel="0" collapsed="false">
      <c r="A222" s="7" t="s">
        <v>1807</v>
      </c>
      <c r="B222" s="7" t="s">
        <v>142</v>
      </c>
      <c r="C222" s="7" t="s">
        <v>173</v>
      </c>
      <c r="D222" s="7" t="s">
        <v>173</v>
      </c>
      <c r="E222" s="7" t="s">
        <v>1137</v>
      </c>
      <c r="F222" s="7" t="s">
        <v>928</v>
      </c>
      <c r="G222" s="7" t="s">
        <v>1148</v>
      </c>
      <c r="H222" s="8" t="s">
        <v>1808</v>
      </c>
      <c r="I222" s="8" t="s">
        <v>176</v>
      </c>
      <c r="J222" s="7" t="s">
        <v>87</v>
      </c>
      <c r="K222" s="7" t="s">
        <v>174</v>
      </c>
      <c r="L222" s="7" t="n">
        <v>2</v>
      </c>
      <c r="M222" s="7" t="s">
        <v>143</v>
      </c>
      <c r="N222" s="7"/>
      <c r="O222" s="7" t="s">
        <v>1479</v>
      </c>
      <c r="P222" s="7" t="s">
        <v>1480</v>
      </c>
      <c r="Q222" s="7" t="s">
        <v>1152</v>
      </c>
      <c r="R222" s="8"/>
      <c r="S222" s="12"/>
      <c r="T222" s="12"/>
    </row>
    <row r="223" customFormat="false" ht="46.25" hidden="false" customHeight="false" outlineLevel="0" collapsed="false">
      <c r="A223" s="7" t="s">
        <v>1809</v>
      </c>
      <c r="B223" s="7" t="s">
        <v>142</v>
      </c>
      <c r="C223" s="7" t="s">
        <v>173</v>
      </c>
      <c r="D223" s="7" t="s">
        <v>1810</v>
      </c>
      <c r="E223" s="7" t="s">
        <v>1179</v>
      </c>
      <c r="F223" s="7" t="s">
        <v>928</v>
      </c>
      <c r="G223" s="7" t="s">
        <v>1148</v>
      </c>
      <c r="H223" s="8" t="s">
        <v>1811</v>
      </c>
      <c r="I223" s="8" t="s">
        <v>176</v>
      </c>
      <c r="J223" s="7" t="s">
        <v>133</v>
      </c>
      <c r="K223" s="7" t="s">
        <v>1812</v>
      </c>
      <c r="L223" s="7" t="n">
        <v>3</v>
      </c>
      <c r="M223" s="7" t="s">
        <v>174</v>
      </c>
      <c r="N223" s="7"/>
      <c r="O223" s="7" t="s">
        <v>1479</v>
      </c>
      <c r="P223" s="7" t="s">
        <v>1480</v>
      </c>
      <c r="Q223" s="7" t="s">
        <v>1152</v>
      </c>
      <c r="R223" s="8"/>
      <c r="S223" s="12"/>
      <c r="T223" s="12"/>
    </row>
    <row r="224" customFormat="false" ht="23.85" hidden="false" customHeight="false" outlineLevel="0" collapsed="false">
      <c r="A224" s="7" t="s">
        <v>1813</v>
      </c>
      <c r="B224" s="7" t="s">
        <v>142</v>
      </c>
      <c r="C224" s="7" t="s">
        <v>173</v>
      </c>
      <c r="D224" s="7" t="s">
        <v>1814</v>
      </c>
      <c r="E224" s="7" t="s">
        <v>1179</v>
      </c>
      <c r="F224" s="7" t="s">
        <v>928</v>
      </c>
      <c r="G224" s="7" t="s">
        <v>1148</v>
      </c>
      <c r="H224" s="8" t="s">
        <v>175</v>
      </c>
      <c r="I224" s="8" t="s">
        <v>176</v>
      </c>
      <c r="J224" s="7" t="s">
        <v>133</v>
      </c>
      <c r="K224" s="7" t="s">
        <v>1815</v>
      </c>
      <c r="L224" s="7" t="n">
        <v>3</v>
      </c>
      <c r="M224" s="7" t="s">
        <v>174</v>
      </c>
      <c r="N224" s="7"/>
      <c r="O224" s="7" t="s">
        <v>1479</v>
      </c>
      <c r="P224" s="7" t="s">
        <v>1480</v>
      </c>
      <c r="Q224" s="7" t="s">
        <v>1152</v>
      </c>
      <c r="R224" s="8"/>
      <c r="S224" s="12"/>
      <c r="T224" s="12"/>
    </row>
    <row r="225" customFormat="false" ht="23.85" hidden="false" customHeight="false" outlineLevel="0" collapsed="false">
      <c r="A225" s="7" t="s">
        <v>1816</v>
      </c>
      <c r="B225" s="7" t="s">
        <v>142</v>
      </c>
      <c r="C225" s="7" t="s">
        <v>173</v>
      </c>
      <c r="D225" s="7" t="s">
        <v>1817</v>
      </c>
      <c r="E225" s="7" t="s">
        <v>1179</v>
      </c>
      <c r="F225" s="7" t="s">
        <v>928</v>
      </c>
      <c r="G225" s="7" t="s">
        <v>1148</v>
      </c>
      <c r="H225" s="8" t="s">
        <v>175</v>
      </c>
      <c r="I225" s="8" t="s">
        <v>176</v>
      </c>
      <c r="J225" s="7" t="s">
        <v>133</v>
      </c>
      <c r="K225" s="7" t="s">
        <v>1818</v>
      </c>
      <c r="L225" s="7" t="n">
        <v>3</v>
      </c>
      <c r="M225" s="7" t="s">
        <v>174</v>
      </c>
      <c r="N225" s="7"/>
      <c r="O225" s="7" t="s">
        <v>1479</v>
      </c>
      <c r="P225" s="7" t="s">
        <v>1480</v>
      </c>
      <c r="Q225" s="7" t="s">
        <v>1152</v>
      </c>
      <c r="R225" s="8"/>
      <c r="S225" s="12"/>
      <c r="T225" s="12"/>
    </row>
    <row r="226" customFormat="false" ht="23.85" hidden="false" customHeight="false" outlineLevel="0" collapsed="false">
      <c r="A226" s="7" t="s">
        <v>1819</v>
      </c>
      <c r="B226" s="7" t="s">
        <v>142</v>
      </c>
      <c r="C226" s="7" t="s">
        <v>173</v>
      </c>
      <c r="D226" s="7" t="s">
        <v>1820</v>
      </c>
      <c r="E226" s="7" t="s">
        <v>1179</v>
      </c>
      <c r="F226" s="7" t="s">
        <v>928</v>
      </c>
      <c r="G226" s="7" t="s">
        <v>1148</v>
      </c>
      <c r="H226" s="8" t="s">
        <v>175</v>
      </c>
      <c r="I226" s="8" t="s">
        <v>176</v>
      </c>
      <c r="J226" s="7" t="s">
        <v>133</v>
      </c>
      <c r="K226" s="7" t="s">
        <v>1821</v>
      </c>
      <c r="L226" s="7" t="n">
        <v>3</v>
      </c>
      <c r="M226" s="7" t="s">
        <v>174</v>
      </c>
      <c r="N226" s="7"/>
      <c r="O226" s="7" t="s">
        <v>1479</v>
      </c>
      <c r="P226" s="7" t="s">
        <v>1480</v>
      </c>
      <c r="Q226" s="7" t="s">
        <v>1152</v>
      </c>
      <c r="R226" s="8"/>
      <c r="S226" s="12"/>
      <c r="T226" s="12"/>
    </row>
    <row r="227" customFormat="false" ht="23.85" hidden="false" customHeight="false" outlineLevel="0" collapsed="false">
      <c r="A227" s="7" t="s">
        <v>1822</v>
      </c>
      <c r="B227" s="7" t="s">
        <v>142</v>
      </c>
      <c r="C227" s="7" t="s">
        <v>173</v>
      </c>
      <c r="D227" s="7" t="s">
        <v>1823</v>
      </c>
      <c r="E227" s="7" t="s">
        <v>1179</v>
      </c>
      <c r="F227" s="7" t="s">
        <v>928</v>
      </c>
      <c r="G227" s="7" t="s">
        <v>1148</v>
      </c>
      <c r="H227" s="8" t="s">
        <v>175</v>
      </c>
      <c r="I227" s="8" t="s">
        <v>176</v>
      </c>
      <c r="J227" s="7" t="s">
        <v>133</v>
      </c>
      <c r="K227" s="7" t="s">
        <v>1824</v>
      </c>
      <c r="L227" s="7" t="n">
        <v>3</v>
      </c>
      <c r="M227" s="7" t="s">
        <v>174</v>
      </c>
      <c r="N227" s="7"/>
      <c r="O227" s="7" t="s">
        <v>1479</v>
      </c>
      <c r="P227" s="7" t="s">
        <v>1480</v>
      </c>
      <c r="Q227" s="7" t="s">
        <v>1152</v>
      </c>
      <c r="R227" s="8"/>
      <c r="S227" s="12"/>
      <c r="T227" s="12"/>
    </row>
    <row r="228" customFormat="false" ht="23.85" hidden="false" customHeight="false" outlineLevel="0" collapsed="false">
      <c r="A228" s="7" t="s">
        <v>1825</v>
      </c>
      <c r="B228" s="7" t="s">
        <v>142</v>
      </c>
      <c r="C228" s="7" t="s">
        <v>173</v>
      </c>
      <c r="D228" s="7" t="s">
        <v>1826</v>
      </c>
      <c r="E228" s="7" t="s">
        <v>1179</v>
      </c>
      <c r="F228" s="7" t="s">
        <v>928</v>
      </c>
      <c r="G228" s="7" t="s">
        <v>1148</v>
      </c>
      <c r="H228" s="8" t="s">
        <v>175</v>
      </c>
      <c r="I228" s="8" t="s">
        <v>176</v>
      </c>
      <c r="J228" s="7" t="s">
        <v>133</v>
      </c>
      <c r="K228" s="7" t="s">
        <v>1827</v>
      </c>
      <c r="L228" s="7" t="n">
        <v>3</v>
      </c>
      <c r="M228" s="7" t="s">
        <v>174</v>
      </c>
      <c r="N228" s="7"/>
      <c r="O228" s="7" t="s">
        <v>1479</v>
      </c>
      <c r="P228" s="7" t="s">
        <v>1480</v>
      </c>
      <c r="Q228" s="7" t="s">
        <v>1152</v>
      </c>
      <c r="R228" s="8"/>
      <c r="S228" s="12"/>
      <c r="T228" s="12"/>
    </row>
    <row r="229" customFormat="false" ht="23.85" hidden="false" customHeight="false" outlineLevel="0" collapsed="false">
      <c r="A229" s="7" t="s">
        <v>1828</v>
      </c>
      <c r="B229" s="7" t="s">
        <v>142</v>
      </c>
      <c r="C229" s="7" t="s">
        <v>173</v>
      </c>
      <c r="D229" s="7" t="s">
        <v>1829</v>
      </c>
      <c r="E229" s="7" t="s">
        <v>1179</v>
      </c>
      <c r="F229" s="7" t="s">
        <v>928</v>
      </c>
      <c r="G229" s="7" t="s">
        <v>1148</v>
      </c>
      <c r="H229" s="8" t="s">
        <v>175</v>
      </c>
      <c r="I229" s="8" t="s">
        <v>176</v>
      </c>
      <c r="J229" s="7" t="s">
        <v>133</v>
      </c>
      <c r="K229" s="7" t="s">
        <v>1830</v>
      </c>
      <c r="L229" s="7" t="n">
        <v>3</v>
      </c>
      <c r="M229" s="7" t="s">
        <v>174</v>
      </c>
      <c r="N229" s="7"/>
      <c r="O229" s="7" t="s">
        <v>1479</v>
      </c>
      <c r="P229" s="7" t="s">
        <v>1480</v>
      </c>
      <c r="Q229" s="7" t="s">
        <v>1152</v>
      </c>
      <c r="R229" s="8"/>
      <c r="S229" s="12"/>
      <c r="T229" s="12"/>
    </row>
    <row r="230" customFormat="false" ht="23.85" hidden="false" customHeight="false" outlineLevel="0" collapsed="false">
      <c r="A230" s="7" t="s">
        <v>1831</v>
      </c>
      <c r="B230" s="7" t="s">
        <v>142</v>
      </c>
      <c r="C230" s="7" t="s">
        <v>173</v>
      </c>
      <c r="D230" s="7" t="s">
        <v>1832</v>
      </c>
      <c r="E230" s="7" t="s">
        <v>1179</v>
      </c>
      <c r="F230" s="7" t="s">
        <v>928</v>
      </c>
      <c r="G230" s="7" t="s">
        <v>1148</v>
      </c>
      <c r="H230" s="8" t="s">
        <v>175</v>
      </c>
      <c r="I230" s="8" t="s">
        <v>176</v>
      </c>
      <c r="J230" s="7" t="s">
        <v>133</v>
      </c>
      <c r="K230" s="7" t="s">
        <v>1833</v>
      </c>
      <c r="L230" s="7" t="n">
        <v>3</v>
      </c>
      <c r="M230" s="7" t="s">
        <v>174</v>
      </c>
      <c r="N230" s="7"/>
      <c r="O230" s="7" t="s">
        <v>1479</v>
      </c>
      <c r="P230" s="7" t="s">
        <v>1480</v>
      </c>
      <c r="Q230" s="7" t="s">
        <v>1152</v>
      </c>
      <c r="R230" s="8"/>
      <c r="S230" s="12"/>
      <c r="T230" s="12"/>
    </row>
    <row r="231" customFormat="false" ht="23.85" hidden="false" customHeight="false" outlineLevel="0" collapsed="false">
      <c r="A231" s="7" t="s">
        <v>1834</v>
      </c>
      <c r="B231" s="7" t="s">
        <v>142</v>
      </c>
      <c r="C231" s="7" t="s">
        <v>173</v>
      </c>
      <c r="D231" s="7" t="s">
        <v>1835</v>
      </c>
      <c r="E231" s="7" t="s">
        <v>1179</v>
      </c>
      <c r="F231" s="7" t="s">
        <v>928</v>
      </c>
      <c r="G231" s="7" t="s">
        <v>1148</v>
      </c>
      <c r="H231" s="8" t="s">
        <v>175</v>
      </c>
      <c r="I231" s="8" t="s">
        <v>176</v>
      </c>
      <c r="J231" s="7" t="s">
        <v>133</v>
      </c>
      <c r="K231" s="7" t="s">
        <v>1836</v>
      </c>
      <c r="L231" s="7" t="n">
        <v>3</v>
      </c>
      <c r="M231" s="7" t="s">
        <v>174</v>
      </c>
      <c r="N231" s="7"/>
      <c r="O231" s="7" t="s">
        <v>1479</v>
      </c>
      <c r="P231" s="7" t="s">
        <v>1480</v>
      </c>
      <c r="Q231" s="7" t="s">
        <v>1152</v>
      </c>
      <c r="R231" s="8"/>
      <c r="S231" s="12"/>
      <c r="T231" s="12"/>
    </row>
    <row r="232" customFormat="false" ht="23.85" hidden="false" customHeight="false" outlineLevel="0" collapsed="false">
      <c r="A232" s="7" t="s">
        <v>1837</v>
      </c>
      <c r="B232" s="7" t="s">
        <v>142</v>
      </c>
      <c r="C232" s="7" t="s">
        <v>173</v>
      </c>
      <c r="D232" s="7" t="s">
        <v>1838</v>
      </c>
      <c r="E232" s="7" t="s">
        <v>1179</v>
      </c>
      <c r="F232" s="7" t="s">
        <v>928</v>
      </c>
      <c r="G232" s="7" t="s">
        <v>1148</v>
      </c>
      <c r="H232" s="8" t="s">
        <v>175</v>
      </c>
      <c r="I232" s="8" t="s">
        <v>176</v>
      </c>
      <c r="J232" s="7" t="s">
        <v>133</v>
      </c>
      <c r="K232" s="7" t="s">
        <v>1839</v>
      </c>
      <c r="L232" s="7" t="n">
        <v>3</v>
      </c>
      <c r="M232" s="7" t="s">
        <v>174</v>
      </c>
      <c r="N232" s="7"/>
      <c r="O232" s="7" t="s">
        <v>1479</v>
      </c>
      <c r="P232" s="7" t="s">
        <v>1480</v>
      </c>
      <c r="Q232" s="7" t="s">
        <v>1152</v>
      </c>
      <c r="R232" s="8"/>
      <c r="S232" s="12"/>
      <c r="T232" s="12"/>
    </row>
    <row r="233" customFormat="false" ht="23.85" hidden="false" customHeight="false" outlineLevel="0" collapsed="false">
      <c r="A233" s="7" t="s">
        <v>1840</v>
      </c>
      <c r="B233" s="7" t="s">
        <v>142</v>
      </c>
      <c r="C233" s="7" t="s">
        <v>173</v>
      </c>
      <c r="D233" s="7" t="s">
        <v>1841</v>
      </c>
      <c r="E233" s="7" t="s">
        <v>1179</v>
      </c>
      <c r="F233" s="7" t="s">
        <v>928</v>
      </c>
      <c r="G233" s="7" t="s">
        <v>1148</v>
      </c>
      <c r="H233" s="8" t="s">
        <v>175</v>
      </c>
      <c r="I233" s="8" t="s">
        <v>176</v>
      </c>
      <c r="J233" s="7" t="s">
        <v>133</v>
      </c>
      <c r="K233" s="7" t="s">
        <v>1842</v>
      </c>
      <c r="L233" s="7" t="n">
        <v>3</v>
      </c>
      <c r="M233" s="7" t="s">
        <v>174</v>
      </c>
      <c r="N233" s="7"/>
      <c r="O233" s="7" t="s">
        <v>1479</v>
      </c>
      <c r="P233" s="7" t="s">
        <v>1480</v>
      </c>
      <c r="Q233" s="7" t="s">
        <v>1152</v>
      </c>
      <c r="R233" s="8"/>
      <c r="S233" s="12"/>
      <c r="T233" s="12"/>
    </row>
    <row r="234" customFormat="false" ht="23.85" hidden="false" customHeight="false" outlineLevel="0" collapsed="false">
      <c r="A234" s="7" t="s">
        <v>1843</v>
      </c>
      <c r="B234" s="7" t="s">
        <v>142</v>
      </c>
      <c r="C234" s="7" t="s">
        <v>173</v>
      </c>
      <c r="D234" s="7" t="s">
        <v>1844</v>
      </c>
      <c r="E234" s="7" t="s">
        <v>1179</v>
      </c>
      <c r="F234" s="7" t="s">
        <v>928</v>
      </c>
      <c r="G234" s="7" t="s">
        <v>1148</v>
      </c>
      <c r="H234" s="8" t="s">
        <v>175</v>
      </c>
      <c r="I234" s="8" t="s">
        <v>176</v>
      </c>
      <c r="J234" s="7" t="s">
        <v>133</v>
      </c>
      <c r="K234" s="7" t="s">
        <v>1845</v>
      </c>
      <c r="L234" s="7" t="n">
        <v>3</v>
      </c>
      <c r="M234" s="7" t="s">
        <v>174</v>
      </c>
      <c r="N234" s="7"/>
      <c r="O234" s="7" t="s">
        <v>1479</v>
      </c>
      <c r="P234" s="7" t="s">
        <v>1480</v>
      </c>
      <c r="Q234" s="7" t="s">
        <v>1152</v>
      </c>
      <c r="R234" s="8"/>
      <c r="S234" s="12"/>
      <c r="T234" s="12"/>
    </row>
    <row r="235" customFormat="false" ht="23.85" hidden="false" customHeight="false" outlineLevel="0" collapsed="false">
      <c r="A235" s="7" t="s">
        <v>1846</v>
      </c>
      <c r="B235" s="7" t="s">
        <v>142</v>
      </c>
      <c r="C235" s="7" t="s">
        <v>173</v>
      </c>
      <c r="D235" s="7" t="s">
        <v>1847</v>
      </c>
      <c r="E235" s="7" t="s">
        <v>1179</v>
      </c>
      <c r="F235" s="7" t="s">
        <v>928</v>
      </c>
      <c r="G235" s="7" t="s">
        <v>1148</v>
      </c>
      <c r="H235" s="8" t="s">
        <v>175</v>
      </c>
      <c r="I235" s="8" t="s">
        <v>176</v>
      </c>
      <c r="J235" s="7" t="s">
        <v>133</v>
      </c>
      <c r="K235" s="7" t="s">
        <v>1848</v>
      </c>
      <c r="L235" s="7" t="n">
        <v>3</v>
      </c>
      <c r="M235" s="7" t="s">
        <v>174</v>
      </c>
      <c r="N235" s="7"/>
      <c r="O235" s="7" t="s">
        <v>1479</v>
      </c>
      <c r="P235" s="7" t="s">
        <v>1480</v>
      </c>
      <c r="Q235" s="7" t="s">
        <v>1152</v>
      </c>
      <c r="R235" s="8"/>
      <c r="S235" s="12"/>
      <c r="T235" s="12"/>
    </row>
    <row r="236" customFormat="false" ht="23.85" hidden="false" customHeight="false" outlineLevel="0" collapsed="false">
      <c r="A236" s="7" t="s">
        <v>1849</v>
      </c>
      <c r="B236" s="7" t="s">
        <v>142</v>
      </c>
      <c r="C236" s="7" t="s">
        <v>173</v>
      </c>
      <c r="D236" s="7" t="s">
        <v>1850</v>
      </c>
      <c r="E236" s="7" t="s">
        <v>1179</v>
      </c>
      <c r="F236" s="7" t="s">
        <v>928</v>
      </c>
      <c r="G236" s="7" t="s">
        <v>1148</v>
      </c>
      <c r="H236" s="8" t="s">
        <v>175</v>
      </c>
      <c r="I236" s="8" t="s">
        <v>176</v>
      </c>
      <c r="J236" s="7" t="s">
        <v>133</v>
      </c>
      <c r="K236" s="7" t="s">
        <v>1851</v>
      </c>
      <c r="L236" s="7" t="n">
        <v>3</v>
      </c>
      <c r="M236" s="7" t="s">
        <v>174</v>
      </c>
      <c r="N236" s="7"/>
      <c r="O236" s="7" t="s">
        <v>1479</v>
      </c>
      <c r="P236" s="7" t="s">
        <v>1480</v>
      </c>
      <c r="Q236" s="7" t="s">
        <v>1152</v>
      </c>
      <c r="R236" s="8"/>
      <c r="S236" s="12"/>
      <c r="T236" s="12"/>
    </row>
    <row r="237" customFormat="false" ht="46.25" hidden="false" customHeight="false" outlineLevel="0" collapsed="false">
      <c r="A237" s="7" t="s">
        <v>1852</v>
      </c>
      <c r="B237" s="7" t="s">
        <v>142</v>
      </c>
      <c r="C237" s="7" t="s">
        <v>173</v>
      </c>
      <c r="D237" s="7" t="s">
        <v>1853</v>
      </c>
      <c r="E237" s="7" t="s">
        <v>1179</v>
      </c>
      <c r="F237" s="7" t="s">
        <v>928</v>
      </c>
      <c r="G237" s="7" t="s">
        <v>1148</v>
      </c>
      <c r="H237" s="8" t="s">
        <v>1811</v>
      </c>
      <c r="I237" s="8" t="s">
        <v>176</v>
      </c>
      <c r="J237" s="7" t="s">
        <v>133</v>
      </c>
      <c r="K237" s="7" t="s">
        <v>1854</v>
      </c>
      <c r="L237" s="7" t="n">
        <v>3</v>
      </c>
      <c r="M237" s="7" t="s">
        <v>174</v>
      </c>
      <c r="N237" s="7"/>
      <c r="O237" s="7" t="s">
        <v>1479</v>
      </c>
      <c r="P237" s="7" t="s">
        <v>1480</v>
      </c>
      <c r="Q237" s="7" t="s">
        <v>1152</v>
      </c>
      <c r="R237" s="8"/>
      <c r="S237" s="12"/>
      <c r="T237" s="12"/>
    </row>
    <row r="238" customFormat="false" ht="23.85" hidden="false" customHeight="false" outlineLevel="0" collapsed="false">
      <c r="A238" s="7" t="s">
        <v>1855</v>
      </c>
      <c r="B238" s="7" t="s">
        <v>142</v>
      </c>
      <c r="C238" s="7" t="s">
        <v>173</v>
      </c>
      <c r="D238" s="7" t="s">
        <v>1856</v>
      </c>
      <c r="E238" s="7" t="s">
        <v>1179</v>
      </c>
      <c r="F238" s="7" t="s">
        <v>928</v>
      </c>
      <c r="G238" s="7" t="s">
        <v>1148</v>
      </c>
      <c r="H238" s="8" t="s">
        <v>175</v>
      </c>
      <c r="I238" s="8" t="s">
        <v>176</v>
      </c>
      <c r="J238" s="7" t="s">
        <v>133</v>
      </c>
      <c r="K238" s="7" t="s">
        <v>1857</v>
      </c>
      <c r="L238" s="7" t="n">
        <v>3</v>
      </c>
      <c r="M238" s="7" t="s">
        <v>174</v>
      </c>
      <c r="N238" s="7"/>
      <c r="O238" s="7" t="s">
        <v>1479</v>
      </c>
      <c r="P238" s="7" t="s">
        <v>1480</v>
      </c>
      <c r="Q238" s="7" t="s">
        <v>1152</v>
      </c>
      <c r="R238" s="8"/>
      <c r="S238" s="12"/>
      <c r="T238" s="12"/>
    </row>
    <row r="239" customFormat="false" ht="23.85" hidden="false" customHeight="false" outlineLevel="0" collapsed="false">
      <c r="A239" s="7" t="s">
        <v>1858</v>
      </c>
      <c r="B239" s="7" t="s">
        <v>142</v>
      </c>
      <c r="C239" s="7" t="s">
        <v>173</v>
      </c>
      <c r="D239" s="7" t="s">
        <v>1859</v>
      </c>
      <c r="E239" s="7" t="s">
        <v>1179</v>
      </c>
      <c r="F239" s="7" t="s">
        <v>928</v>
      </c>
      <c r="G239" s="7" t="s">
        <v>1148</v>
      </c>
      <c r="H239" s="8" t="s">
        <v>175</v>
      </c>
      <c r="I239" s="8" t="s">
        <v>176</v>
      </c>
      <c r="J239" s="7" t="s">
        <v>133</v>
      </c>
      <c r="K239" s="7" t="s">
        <v>1860</v>
      </c>
      <c r="L239" s="7" t="n">
        <v>3</v>
      </c>
      <c r="M239" s="7" t="s">
        <v>174</v>
      </c>
      <c r="N239" s="7"/>
      <c r="O239" s="7" t="s">
        <v>1479</v>
      </c>
      <c r="P239" s="7" t="s">
        <v>1480</v>
      </c>
      <c r="Q239" s="7" t="s">
        <v>1152</v>
      </c>
      <c r="R239" s="8"/>
      <c r="S239" s="12"/>
      <c r="T239" s="12"/>
    </row>
    <row r="240" customFormat="false" ht="23.85" hidden="false" customHeight="false" outlineLevel="0" collapsed="false">
      <c r="A240" s="7" t="s">
        <v>1861</v>
      </c>
      <c r="B240" s="7" t="s">
        <v>142</v>
      </c>
      <c r="C240" s="7" t="s">
        <v>173</v>
      </c>
      <c r="D240" s="7" t="s">
        <v>1862</v>
      </c>
      <c r="E240" s="7" t="s">
        <v>1179</v>
      </c>
      <c r="F240" s="7" t="s">
        <v>928</v>
      </c>
      <c r="G240" s="7" t="s">
        <v>1148</v>
      </c>
      <c r="H240" s="8" t="s">
        <v>175</v>
      </c>
      <c r="I240" s="8" t="s">
        <v>176</v>
      </c>
      <c r="J240" s="7" t="s">
        <v>133</v>
      </c>
      <c r="K240" s="7" t="s">
        <v>1863</v>
      </c>
      <c r="L240" s="7" t="n">
        <v>3</v>
      </c>
      <c r="M240" s="7" t="s">
        <v>174</v>
      </c>
      <c r="N240" s="7"/>
      <c r="O240" s="7" t="s">
        <v>1479</v>
      </c>
      <c r="P240" s="7" t="s">
        <v>1480</v>
      </c>
      <c r="Q240" s="7" t="s">
        <v>1152</v>
      </c>
      <c r="R240" s="8"/>
      <c r="S240" s="12"/>
      <c r="T240" s="12"/>
    </row>
    <row r="241" customFormat="false" ht="23.85" hidden="false" customHeight="false" outlineLevel="0" collapsed="false">
      <c r="A241" s="7" t="s">
        <v>1864</v>
      </c>
      <c r="B241" s="7" t="s">
        <v>142</v>
      </c>
      <c r="C241" s="7" t="s">
        <v>173</v>
      </c>
      <c r="D241" s="7" t="s">
        <v>1865</v>
      </c>
      <c r="E241" s="7" t="s">
        <v>1179</v>
      </c>
      <c r="F241" s="7" t="s">
        <v>928</v>
      </c>
      <c r="G241" s="7" t="s">
        <v>1148</v>
      </c>
      <c r="H241" s="8" t="s">
        <v>175</v>
      </c>
      <c r="I241" s="8" t="s">
        <v>176</v>
      </c>
      <c r="J241" s="7" t="s">
        <v>133</v>
      </c>
      <c r="K241" s="7" t="s">
        <v>1866</v>
      </c>
      <c r="L241" s="7" t="n">
        <v>3</v>
      </c>
      <c r="M241" s="7" t="s">
        <v>174</v>
      </c>
      <c r="N241" s="7"/>
      <c r="O241" s="7" t="s">
        <v>1479</v>
      </c>
      <c r="P241" s="7" t="s">
        <v>1480</v>
      </c>
      <c r="Q241" s="7" t="s">
        <v>1152</v>
      </c>
      <c r="R241" s="8"/>
      <c r="S241" s="12"/>
      <c r="T241" s="12"/>
    </row>
    <row r="242" customFormat="false" ht="23.85" hidden="false" customHeight="false" outlineLevel="0" collapsed="false">
      <c r="A242" s="7" t="s">
        <v>1867</v>
      </c>
      <c r="B242" s="7" t="s">
        <v>142</v>
      </c>
      <c r="C242" s="7" t="s">
        <v>173</v>
      </c>
      <c r="D242" s="7" t="s">
        <v>1868</v>
      </c>
      <c r="E242" s="7" t="s">
        <v>1179</v>
      </c>
      <c r="F242" s="7" t="s">
        <v>928</v>
      </c>
      <c r="G242" s="7" t="s">
        <v>1148</v>
      </c>
      <c r="H242" s="8" t="s">
        <v>175</v>
      </c>
      <c r="I242" s="8" t="s">
        <v>176</v>
      </c>
      <c r="J242" s="7" t="s">
        <v>133</v>
      </c>
      <c r="K242" s="7" t="s">
        <v>1869</v>
      </c>
      <c r="L242" s="7" t="n">
        <v>3</v>
      </c>
      <c r="M242" s="7" t="s">
        <v>174</v>
      </c>
      <c r="N242" s="7"/>
      <c r="O242" s="7" t="s">
        <v>1479</v>
      </c>
      <c r="P242" s="7" t="s">
        <v>1480</v>
      </c>
      <c r="Q242" s="7" t="s">
        <v>1152</v>
      </c>
      <c r="R242" s="8"/>
      <c r="S242" s="12"/>
      <c r="T242" s="12"/>
    </row>
    <row r="243" customFormat="false" ht="23.85" hidden="false" customHeight="false" outlineLevel="0" collapsed="false">
      <c r="A243" s="7" t="s">
        <v>1870</v>
      </c>
      <c r="B243" s="7" t="s">
        <v>142</v>
      </c>
      <c r="C243" s="7" t="s">
        <v>173</v>
      </c>
      <c r="D243" s="7" t="s">
        <v>1871</v>
      </c>
      <c r="E243" s="7" t="s">
        <v>1179</v>
      </c>
      <c r="F243" s="7" t="s">
        <v>928</v>
      </c>
      <c r="G243" s="7" t="s">
        <v>1148</v>
      </c>
      <c r="H243" s="8" t="s">
        <v>175</v>
      </c>
      <c r="I243" s="8" t="s">
        <v>176</v>
      </c>
      <c r="J243" s="7" t="s">
        <v>133</v>
      </c>
      <c r="K243" s="7" t="s">
        <v>1872</v>
      </c>
      <c r="L243" s="7" t="n">
        <v>3</v>
      </c>
      <c r="M243" s="7" t="s">
        <v>174</v>
      </c>
      <c r="N243" s="7"/>
      <c r="O243" s="7" t="s">
        <v>1479</v>
      </c>
      <c r="P243" s="7" t="s">
        <v>1480</v>
      </c>
      <c r="Q243" s="7" t="s">
        <v>1152</v>
      </c>
      <c r="R243" s="8"/>
      <c r="S243" s="12"/>
      <c r="T243" s="12"/>
    </row>
    <row r="244" customFormat="false" ht="35.05" hidden="false" customHeight="false" outlineLevel="0" collapsed="false">
      <c r="A244" s="7" t="s">
        <v>1873</v>
      </c>
      <c r="B244" s="7" t="s">
        <v>142</v>
      </c>
      <c r="C244" s="7" t="s">
        <v>173</v>
      </c>
      <c r="D244" s="7" t="s">
        <v>1874</v>
      </c>
      <c r="E244" s="7" t="s">
        <v>1179</v>
      </c>
      <c r="F244" s="7" t="s">
        <v>928</v>
      </c>
      <c r="G244" s="7" t="s">
        <v>1148</v>
      </c>
      <c r="H244" s="8" t="s">
        <v>1875</v>
      </c>
      <c r="I244" s="8" t="s">
        <v>176</v>
      </c>
      <c r="J244" s="7" t="s">
        <v>133</v>
      </c>
      <c r="K244" s="7" t="s">
        <v>1876</v>
      </c>
      <c r="L244" s="7" t="n">
        <v>3</v>
      </c>
      <c r="M244" s="7" t="s">
        <v>174</v>
      </c>
      <c r="N244" s="7"/>
      <c r="O244" s="7" t="s">
        <v>1479</v>
      </c>
      <c r="P244" s="7" t="s">
        <v>1480</v>
      </c>
      <c r="Q244" s="7" t="s">
        <v>1152</v>
      </c>
      <c r="R244" s="8"/>
      <c r="S244" s="12"/>
      <c r="T244" s="12"/>
    </row>
    <row r="245" customFormat="false" ht="35.05" hidden="false" customHeight="false" outlineLevel="0" collapsed="false">
      <c r="A245" s="7" t="s">
        <v>1877</v>
      </c>
      <c r="B245" s="7" t="s">
        <v>142</v>
      </c>
      <c r="C245" s="7" t="s">
        <v>173</v>
      </c>
      <c r="D245" s="7" t="s">
        <v>1878</v>
      </c>
      <c r="E245" s="7" t="s">
        <v>1179</v>
      </c>
      <c r="F245" s="7" t="s">
        <v>928</v>
      </c>
      <c r="G245" s="7" t="s">
        <v>1148</v>
      </c>
      <c r="H245" s="8" t="s">
        <v>1875</v>
      </c>
      <c r="I245" s="8" t="s">
        <v>176</v>
      </c>
      <c r="J245" s="7" t="s">
        <v>133</v>
      </c>
      <c r="K245" s="7" t="s">
        <v>1879</v>
      </c>
      <c r="L245" s="7" t="n">
        <v>3</v>
      </c>
      <c r="M245" s="7" t="s">
        <v>174</v>
      </c>
      <c r="N245" s="7"/>
      <c r="O245" s="7" t="s">
        <v>1479</v>
      </c>
      <c r="P245" s="7" t="s">
        <v>1480</v>
      </c>
      <c r="Q245" s="7" t="s">
        <v>1152</v>
      </c>
      <c r="R245" s="8"/>
      <c r="S245" s="12"/>
      <c r="T245" s="12"/>
    </row>
    <row r="246" customFormat="false" ht="23.85" hidden="false" customHeight="false" outlineLevel="0" collapsed="false">
      <c r="A246" s="7" t="s">
        <v>1880</v>
      </c>
      <c r="B246" s="7" t="s">
        <v>142</v>
      </c>
      <c r="C246" s="7" t="s">
        <v>173</v>
      </c>
      <c r="D246" s="7" t="s">
        <v>1881</v>
      </c>
      <c r="E246" s="7" t="s">
        <v>1179</v>
      </c>
      <c r="F246" s="7" t="s">
        <v>928</v>
      </c>
      <c r="G246" s="7" t="s">
        <v>1148</v>
      </c>
      <c r="H246" s="8" t="s">
        <v>175</v>
      </c>
      <c r="I246" s="8" t="s">
        <v>176</v>
      </c>
      <c r="J246" s="7" t="s">
        <v>133</v>
      </c>
      <c r="K246" s="7" t="s">
        <v>1882</v>
      </c>
      <c r="L246" s="7" t="n">
        <v>3</v>
      </c>
      <c r="M246" s="7" t="s">
        <v>174</v>
      </c>
      <c r="N246" s="7"/>
      <c r="O246" s="7" t="s">
        <v>1479</v>
      </c>
      <c r="P246" s="7" t="s">
        <v>1480</v>
      </c>
      <c r="Q246" s="7" t="s">
        <v>1152</v>
      </c>
      <c r="R246" s="8"/>
      <c r="S246" s="12"/>
      <c r="T246" s="12"/>
    </row>
    <row r="247" customFormat="false" ht="23.85" hidden="false" customHeight="false" outlineLevel="0" collapsed="false">
      <c r="A247" s="7" t="s">
        <v>1883</v>
      </c>
      <c r="B247" s="7" t="s">
        <v>142</v>
      </c>
      <c r="C247" s="7" t="s">
        <v>173</v>
      </c>
      <c r="D247" s="7" t="s">
        <v>1884</v>
      </c>
      <c r="E247" s="7" t="s">
        <v>1179</v>
      </c>
      <c r="F247" s="7" t="s">
        <v>928</v>
      </c>
      <c r="G247" s="7" t="s">
        <v>1148</v>
      </c>
      <c r="H247" s="8" t="s">
        <v>175</v>
      </c>
      <c r="I247" s="8" t="s">
        <v>176</v>
      </c>
      <c r="J247" s="7" t="s">
        <v>133</v>
      </c>
      <c r="K247" s="7" t="s">
        <v>1885</v>
      </c>
      <c r="L247" s="7" t="n">
        <v>3</v>
      </c>
      <c r="M247" s="7" t="s">
        <v>174</v>
      </c>
      <c r="N247" s="7"/>
      <c r="O247" s="7" t="s">
        <v>1479</v>
      </c>
      <c r="P247" s="7" t="s">
        <v>1480</v>
      </c>
      <c r="Q247" s="7" t="s">
        <v>1152</v>
      </c>
      <c r="R247" s="8"/>
      <c r="S247" s="12"/>
      <c r="T247" s="12"/>
    </row>
    <row r="248" customFormat="false" ht="23.85" hidden="false" customHeight="false" outlineLevel="0" collapsed="false">
      <c r="A248" s="7" t="s">
        <v>1886</v>
      </c>
      <c r="B248" s="7" t="s">
        <v>142</v>
      </c>
      <c r="C248" s="7" t="s">
        <v>173</v>
      </c>
      <c r="D248" s="7" t="s">
        <v>1887</v>
      </c>
      <c r="E248" s="7" t="s">
        <v>1179</v>
      </c>
      <c r="F248" s="7" t="s">
        <v>928</v>
      </c>
      <c r="G248" s="7" t="s">
        <v>1148</v>
      </c>
      <c r="H248" s="8" t="s">
        <v>175</v>
      </c>
      <c r="I248" s="8" t="s">
        <v>176</v>
      </c>
      <c r="J248" s="7" t="s">
        <v>133</v>
      </c>
      <c r="K248" s="7" t="s">
        <v>1888</v>
      </c>
      <c r="L248" s="7" t="n">
        <v>3</v>
      </c>
      <c r="M248" s="7" t="s">
        <v>174</v>
      </c>
      <c r="N248" s="7"/>
      <c r="O248" s="7" t="s">
        <v>1479</v>
      </c>
      <c r="P248" s="7" t="s">
        <v>1480</v>
      </c>
      <c r="Q248" s="7" t="s">
        <v>1152</v>
      </c>
      <c r="R248" s="8"/>
      <c r="S248" s="12"/>
      <c r="T248" s="12"/>
    </row>
    <row r="249" customFormat="false" ht="35.05" hidden="false" customHeight="false" outlineLevel="0" collapsed="false">
      <c r="A249" s="7" t="s">
        <v>1889</v>
      </c>
      <c r="B249" s="7" t="s">
        <v>142</v>
      </c>
      <c r="C249" s="7" t="s">
        <v>177</v>
      </c>
      <c r="D249" s="7" t="s">
        <v>177</v>
      </c>
      <c r="E249" s="7" t="s">
        <v>1137</v>
      </c>
      <c r="F249" s="7" t="s">
        <v>928</v>
      </c>
      <c r="G249" s="7" t="s">
        <v>1148</v>
      </c>
      <c r="H249" s="8" t="s">
        <v>1890</v>
      </c>
      <c r="I249" s="8" t="s">
        <v>126</v>
      </c>
      <c r="J249" s="7" t="s">
        <v>87</v>
      </c>
      <c r="K249" s="7" t="s">
        <v>178</v>
      </c>
      <c r="L249" s="7" t="n">
        <v>2</v>
      </c>
      <c r="M249" s="7" t="s">
        <v>143</v>
      </c>
      <c r="N249" s="7"/>
      <c r="O249" s="7" t="s">
        <v>1421</v>
      </c>
      <c r="P249" s="7" t="s">
        <v>1480</v>
      </c>
      <c r="Q249" s="7" t="s">
        <v>1152</v>
      </c>
      <c r="R249" s="8"/>
      <c r="S249" s="12"/>
      <c r="T249" s="12"/>
    </row>
    <row r="250" customFormat="false" ht="23.85" hidden="false" customHeight="false" outlineLevel="0" collapsed="false">
      <c r="A250" s="7" t="s">
        <v>1891</v>
      </c>
      <c r="B250" s="7" t="s">
        <v>142</v>
      </c>
      <c r="C250" s="7" t="s">
        <v>177</v>
      </c>
      <c r="D250" s="7" t="s">
        <v>1892</v>
      </c>
      <c r="E250" s="7" t="s">
        <v>1179</v>
      </c>
      <c r="F250" s="7" t="s">
        <v>943</v>
      </c>
      <c r="G250" s="7" t="s">
        <v>1424</v>
      </c>
      <c r="H250" s="8" t="s">
        <v>179</v>
      </c>
      <c r="I250" s="8" t="s">
        <v>126</v>
      </c>
      <c r="J250" s="7" t="s">
        <v>133</v>
      </c>
      <c r="K250" s="7" t="s">
        <v>1893</v>
      </c>
      <c r="L250" s="7" t="n">
        <v>3</v>
      </c>
      <c r="M250" s="7" t="s">
        <v>178</v>
      </c>
      <c r="N250" s="7"/>
      <c r="O250" s="7" t="s">
        <v>1421</v>
      </c>
      <c r="P250" s="7" t="s">
        <v>1480</v>
      </c>
      <c r="Q250" s="7" t="s">
        <v>1152</v>
      </c>
      <c r="R250" s="8"/>
      <c r="S250" s="12"/>
      <c r="T250" s="12"/>
    </row>
    <row r="251" customFormat="false" ht="23.85" hidden="false" customHeight="false" outlineLevel="0" collapsed="false">
      <c r="A251" s="7" t="s">
        <v>1894</v>
      </c>
      <c r="B251" s="7" t="s">
        <v>142</v>
      </c>
      <c r="C251" s="7" t="s">
        <v>177</v>
      </c>
      <c r="D251" s="7" t="s">
        <v>1895</v>
      </c>
      <c r="E251" s="7" t="s">
        <v>1179</v>
      </c>
      <c r="F251" s="7" t="s">
        <v>943</v>
      </c>
      <c r="G251" s="7" t="s">
        <v>1424</v>
      </c>
      <c r="H251" s="8" t="s">
        <v>179</v>
      </c>
      <c r="I251" s="8" t="s">
        <v>126</v>
      </c>
      <c r="J251" s="7" t="s">
        <v>133</v>
      </c>
      <c r="K251" s="7" t="s">
        <v>1896</v>
      </c>
      <c r="L251" s="7" t="n">
        <v>3</v>
      </c>
      <c r="M251" s="7" t="s">
        <v>178</v>
      </c>
      <c r="N251" s="7"/>
      <c r="O251" s="7" t="s">
        <v>1421</v>
      </c>
      <c r="P251" s="7" t="s">
        <v>1480</v>
      </c>
      <c r="Q251" s="7" t="s">
        <v>1152</v>
      </c>
      <c r="R251" s="8"/>
      <c r="S251" s="12"/>
      <c r="T251" s="12"/>
    </row>
    <row r="252" customFormat="false" ht="23.85" hidden="false" customHeight="false" outlineLevel="0" collapsed="false">
      <c r="A252" s="7" t="s">
        <v>1897</v>
      </c>
      <c r="B252" s="7" t="s">
        <v>142</v>
      </c>
      <c r="C252" s="7" t="s">
        <v>177</v>
      </c>
      <c r="D252" s="7" t="s">
        <v>1898</v>
      </c>
      <c r="E252" s="7" t="s">
        <v>1179</v>
      </c>
      <c r="F252" s="7" t="s">
        <v>943</v>
      </c>
      <c r="G252" s="7" t="s">
        <v>1424</v>
      </c>
      <c r="H252" s="8" t="s">
        <v>179</v>
      </c>
      <c r="I252" s="8" t="s">
        <v>126</v>
      </c>
      <c r="J252" s="7" t="s">
        <v>133</v>
      </c>
      <c r="K252" s="7" t="s">
        <v>1899</v>
      </c>
      <c r="L252" s="7" t="n">
        <v>3</v>
      </c>
      <c r="M252" s="7" t="s">
        <v>178</v>
      </c>
      <c r="N252" s="7"/>
      <c r="O252" s="7" t="s">
        <v>1421</v>
      </c>
      <c r="P252" s="7" t="s">
        <v>1480</v>
      </c>
      <c r="Q252" s="7" t="s">
        <v>1152</v>
      </c>
      <c r="R252" s="8"/>
      <c r="S252" s="12"/>
      <c r="T252" s="12"/>
    </row>
    <row r="253" customFormat="false" ht="46.25" hidden="false" customHeight="false" outlineLevel="0" collapsed="false">
      <c r="A253" s="7" t="s">
        <v>1900</v>
      </c>
      <c r="B253" s="7" t="s">
        <v>182</v>
      </c>
      <c r="C253" s="7" t="s">
        <v>186</v>
      </c>
      <c r="D253" s="7" t="s">
        <v>186</v>
      </c>
      <c r="E253" s="7" t="s">
        <v>1137</v>
      </c>
      <c r="F253" s="7" t="s">
        <v>928</v>
      </c>
      <c r="G253" s="7" t="s">
        <v>1148</v>
      </c>
      <c r="H253" s="8" t="s">
        <v>1901</v>
      </c>
      <c r="I253" s="8" t="s">
        <v>189</v>
      </c>
      <c r="J253" s="7" t="s">
        <v>87</v>
      </c>
      <c r="K253" s="7" t="s">
        <v>187</v>
      </c>
      <c r="L253" s="7" t="n">
        <v>2</v>
      </c>
      <c r="M253" s="7" t="s">
        <v>183</v>
      </c>
      <c r="N253" s="7"/>
      <c r="O253" s="7" t="s">
        <v>1150</v>
      </c>
      <c r="P253" s="7" t="s">
        <v>1151</v>
      </c>
      <c r="Q253" s="7" t="s">
        <v>1152</v>
      </c>
      <c r="R253" s="8"/>
      <c r="S253" s="12"/>
      <c r="T253" s="12"/>
    </row>
    <row r="254" customFormat="false" ht="35.05" hidden="false" customHeight="false" outlineLevel="0" collapsed="false">
      <c r="A254" s="7" t="s">
        <v>1902</v>
      </c>
      <c r="B254" s="7" t="s">
        <v>182</v>
      </c>
      <c r="C254" s="7" t="s">
        <v>186</v>
      </c>
      <c r="D254" s="7" t="s">
        <v>1903</v>
      </c>
      <c r="E254" s="7" t="s">
        <v>1179</v>
      </c>
      <c r="F254" s="7" t="s">
        <v>943</v>
      </c>
      <c r="G254" s="7" t="s">
        <v>1424</v>
      </c>
      <c r="H254" s="8" t="s">
        <v>188</v>
      </c>
      <c r="I254" s="8" t="s">
        <v>189</v>
      </c>
      <c r="J254" s="7" t="s">
        <v>133</v>
      </c>
      <c r="K254" s="7" t="s">
        <v>1904</v>
      </c>
      <c r="L254" s="7" t="n">
        <v>3</v>
      </c>
      <c r="M254" s="7" t="s">
        <v>187</v>
      </c>
      <c r="N254" s="7"/>
      <c r="O254" s="7" t="s">
        <v>1150</v>
      </c>
      <c r="P254" s="7" t="s">
        <v>1151</v>
      </c>
      <c r="Q254" s="7" t="s">
        <v>1184</v>
      </c>
      <c r="R254" s="8"/>
      <c r="S254" s="12"/>
      <c r="T254" s="12"/>
    </row>
    <row r="255" customFormat="false" ht="35.05" hidden="false" customHeight="false" outlineLevel="0" collapsed="false">
      <c r="A255" s="7" t="s">
        <v>1905</v>
      </c>
      <c r="B255" s="7" t="s">
        <v>182</v>
      </c>
      <c r="C255" s="7" t="s">
        <v>186</v>
      </c>
      <c r="D255" s="7" t="s">
        <v>1906</v>
      </c>
      <c r="E255" s="7" t="s">
        <v>1179</v>
      </c>
      <c r="F255" s="7" t="s">
        <v>943</v>
      </c>
      <c r="G255" s="7" t="s">
        <v>1424</v>
      </c>
      <c r="H255" s="8" t="s">
        <v>188</v>
      </c>
      <c r="I255" s="8" t="s">
        <v>189</v>
      </c>
      <c r="J255" s="7" t="s">
        <v>133</v>
      </c>
      <c r="K255" s="7" t="s">
        <v>1907</v>
      </c>
      <c r="L255" s="7" t="n">
        <v>3</v>
      </c>
      <c r="M255" s="7" t="s">
        <v>187</v>
      </c>
      <c r="N255" s="7"/>
      <c r="O255" s="7" t="s">
        <v>1150</v>
      </c>
      <c r="P255" s="7" t="s">
        <v>1183</v>
      </c>
      <c r="Q255" s="7" t="s">
        <v>1152</v>
      </c>
      <c r="R255" s="8"/>
      <c r="S255" s="12"/>
      <c r="T255" s="12"/>
    </row>
    <row r="256" customFormat="false" ht="35.05" hidden="false" customHeight="false" outlineLevel="0" collapsed="false">
      <c r="A256" s="7" t="s">
        <v>1908</v>
      </c>
      <c r="B256" s="7" t="s">
        <v>182</v>
      </c>
      <c r="C256" s="7" t="s">
        <v>186</v>
      </c>
      <c r="D256" s="7" t="s">
        <v>1909</v>
      </c>
      <c r="E256" s="7" t="s">
        <v>1179</v>
      </c>
      <c r="F256" s="7" t="s">
        <v>943</v>
      </c>
      <c r="G256" s="7" t="s">
        <v>1424</v>
      </c>
      <c r="H256" s="8" t="s">
        <v>188</v>
      </c>
      <c r="I256" s="8" t="s">
        <v>189</v>
      </c>
      <c r="J256" s="7" t="s">
        <v>133</v>
      </c>
      <c r="K256" s="7" t="s">
        <v>1910</v>
      </c>
      <c r="L256" s="7" t="n">
        <v>3</v>
      </c>
      <c r="M256" s="7" t="s">
        <v>187</v>
      </c>
      <c r="N256" s="7"/>
      <c r="O256" s="7" t="s">
        <v>1150</v>
      </c>
      <c r="P256" s="7" t="s">
        <v>1183</v>
      </c>
      <c r="Q256" s="7" t="s">
        <v>1152</v>
      </c>
      <c r="R256" s="8"/>
      <c r="S256" s="12"/>
      <c r="T256" s="12"/>
    </row>
    <row r="257" customFormat="false" ht="35.05" hidden="false" customHeight="false" outlineLevel="0" collapsed="false">
      <c r="A257" s="7" t="s">
        <v>1911</v>
      </c>
      <c r="B257" s="7" t="s">
        <v>182</v>
      </c>
      <c r="C257" s="7" t="s">
        <v>186</v>
      </c>
      <c r="D257" s="7" t="s">
        <v>1912</v>
      </c>
      <c r="E257" s="7" t="s">
        <v>1179</v>
      </c>
      <c r="F257" s="7" t="s">
        <v>943</v>
      </c>
      <c r="G257" s="7" t="s">
        <v>1424</v>
      </c>
      <c r="H257" s="8" t="s">
        <v>188</v>
      </c>
      <c r="I257" s="8" t="s">
        <v>189</v>
      </c>
      <c r="J257" s="7" t="s">
        <v>133</v>
      </c>
      <c r="K257" s="7" t="s">
        <v>1913</v>
      </c>
      <c r="L257" s="7" t="n">
        <v>3</v>
      </c>
      <c r="M257" s="7" t="s">
        <v>187</v>
      </c>
      <c r="N257" s="7"/>
      <c r="O257" s="7" t="s">
        <v>1150</v>
      </c>
      <c r="P257" s="7" t="s">
        <v>1183</v>
      </c>
      <c r="Q257" s="7" t="s">
        <v>1152</v>
      </c>
      <c r="R257" s="8"/>
      <c r="S257" s="12"/>
      <c r="T257" s="12"/>
    </row>
    <row r="258" customFormat="false" ht="35.05" hidden="false" customHeight="false" outlineLevel="0" collapsed="false">
      <c r="A258" s="7" t="s">
        <v>1914</v>
      </c>
      <c r="B258" s="7" t="s">
        <v>182</v>
      </c>
      <c r="C258" s="7" t="s">
        <v>186</v>
      </c>
      <c r="D258" s="7" t="s">
        <v>1915</v>
      </c>
      <c r="E258" s="7" t="s">
        <v>1179</v>
      </c>
      <c r="F258" s="7" t="s">
        <v>943</v>
      </c>
      <c r="G258" s="7" t="s">
        <v>1424</v>
      </c>
      <c r="H258" s="8" t="s">
        <v>188</v>
      </c>
      <c r="I258" s="8" t="s">
        <v>189</v>
      </c>
      <c r="J258" s="7" t="s">
        <v>133</v>
      </c>
      <c r="K258" s="7" t="s">
        <v>1916</v>
      </c>
      <c r="L258" s="7" t="n">
        <v>3</v>
      </c>
      <c r="M258" s="7" t="s">
        <v>187</v>
      </c>
      <c r="N258" s="7"/>
      <c r="O258" s="7" t="s">
        <v>1150</v>
      </c>
      <c r="P258" s="7" t="s">
        <v>1183</v>
      </c>
      <c r="Q258" s="7" t="s">
        <v>1152</v>
      </c>
      <c r="R258" s="8"/>
      <c r="S258" s="12"/>
      <c r="T258" s="12"/>
    </row>
    <row r="259" customFormat="false" ht="35.05" hidden="false" customHeight="false" outlineLevel="0" collapsed="false">
      <c r="A259" s="7" t="s">
        <v>1917</v>
      </c>
      <c r="B259" s="7" t="s">
        <v>182</v>
      </c>
      <c r="C259" s="7" t="s">
        <v>186</v>
      </c>
      <c r="D259" s="7" t="s">
        <v>1918</v>
      </c>
      <c r="E259" s="7" t="s">
        <v>1179</v>
      </c>
      <c r="F259" s="7" t="s">
        <v>943</v>
      </c>
      <c r="G259" s="7" t="s">
        <v>1424</v>
      </c>
      <c r="H259" s="8" t="s">
        <v>188</v>
      </c>
      <c r="I259" s="8" t="s">
        <v>189</v>
      </c>
      <c r="J259" s="7" t="s">
        <v>133</v>
      </c>
      <c r="K259" s="7" t="s">
        <v>1919</v>
      </c>
      <c r="L259" s="7" t="n">
        <v>3</v>
      </c>
      <c r="M259" s="7" t="s">
        <v>187</v>
      </c>
      <c r="N259" s="7"/>
      <c r="O259" s="7" t="s">
        <v>1150</v>
      </c>
      <c r="P259" s="7" t="s">
        <v>1183</v>
      </c>
      <c r="Q259" s="7" t="s">
        <v>1152</v>
      </c>
      <c r="R259" s="8"/>
      <c r="S259" s="12"/>
      <c r="T259" s="12"/>
    </row>
    <row r="260" customFormat="false" ht="35.05" hidden="false" customHeight="false" outlineLevel="0" collapsed="false">
      <c r="A260" s="7" t="s">
        <v>1920</v>
      </c>
      <c r="B260" s="7" t="s">
        <v>182</v>
      </c>
      <c r="C260" s="7" t="s">
        <v>186</v>
      </c>
      <c r="D260" s="7" t="s">
        <v>1921</v>
      </c>
      <c r="E260" s="7" t="s">
        <v>1179</v>
      </c>
      <c r="F260" s="7" t="s">
        <v>943</v>
      </c>
      <c r="G260" s="7" t="s">
        <v>1424</v>
      </c>
      <c r="H260" s="8" t="s">
        <v>188</v>
      </c>
      <c r="I260" s="8" t="s">
        <v>189</v>
      </c>
      <c r="J260" s="7" t="s">
        <v>133</v>
      </c>
      <c r="K260" s="7" t="s">
        <v>1922</v>
      </c>
      <c r="L260" s="7" t="n">
        <v>3</v>
      </c>
      <c r="M260" s="7" t="s">
        <v>187</v>
      </c>
      <c r="N260" s="7"/>
      <c r="O260" s="7" t="s">
        <v>1150</v>
      </c>
      <c r="P260" s="7" t="s">
        <v>1183</v>
      </c>
      <c r="Q260" s="7" t="s">
        <v>1152</v>
      </c>
      <c r="R260" s="8"/>
      <c r="S260" s="12"/>
      <c r="T260" s="12"/>
    </row>
    <row r="261" customFormat="false" ht="35.05" hidden="false" customHeight="false" outlineLevel="0" collapsed="false">
      <c r="A261" s="7" t="s">
        <v>1923</v>
      </c>
      <c r="B261" s="7" t="s">
        <v>182</v>
      </c>
      <c r="C261" s="7" t="s">
        <v>186</v>
      </c>
      <c r="D261" s="7" t="s">
        <v>1924</v>
      </c>
      <c r="E261" s="7" t="s">
        <v>1179</v>
      </c>
      <c r="F261" s="7" t="s">
        <v>943</v>
      </c>
      <c r="G261" s="7" t="s">
        <v>1424</v>
      </c>
      <c r="H261" s="8" t="s">
        <v>188</v>
      </c>
      <c r="I261" s="8" t="s">
        <v>189</v>
      </c>
      <c r="J261" s="7" t="s">
        <v>133</v>
      </c>
      <c r="K261" s="7" t="s">
        <v>1925</v>
      </c>
      <c r="L261" s="7" t="n">
        <v>3</v>
      </c>
      <c r="M261" s="7" t="s">
        <v>187</v>
      </c>
      <c r="N261" s="7"/>
      <c r="O261" s="7" t="s">
        <v>1150</v>
      </c>
      <c r="P261" s="7" t="s">
        <v>1183</v>
      </c>
      <c r="Q261" s="7" t="s">
        <v>1152</v>
      </c>
      <c r="R261" s="8"/>
      <c r="S261" s="12"/>
      <c r="T261" s="12"/>
    </row>
    <row r="262" customFormat="false" ht="35.05" hidden="false" customHeight="false" outlineLevel="0" collapsed="false">
      <c r="A262" s="7" t="s">
        <v>1926</v>
      </c>
      <c r="B262" s="7" t="s">
        <v>182</v>
      </c>
      <c r="C262" s="7" t="s">
        <v>186</v>
      </c>
      <c r="D262" s="7" t="s">
        <v>1927</v>
      </c>
      <c r="E262" s="7" t="s">
        <v>1179</v>
      </c>
      <c r="F262" s="7" t="s">
        <v>943</v>
      </c>
      <c r="G262" s="7" t="s">
        <v>1424</v>
      </c>
      <c r="H262" s="8" t="s">
        <v>188</v>
      </c>
      <c r="I262" s="8" t="s">
        <v>189</v>
      </c>
      <c r="J262" s="7" t="s">
        <v>133</v>
      </c>
      <c r="K262" s="7" t="s">
        <v>1928</v>
      </c>
      <c r="L262" s="7" t="n">
        <v>3</v>
      </c>
      <c r="M262" s="7" t="s">
        <v>187</v>
      </c>
      <c r="N262" s="7"/>
      <c r="O262" s="7" t="s">
        <v>1150</v>
      </c>
      <c r="P262" s="7" t="s">
        <v>1183</v>
      </c>
      <c r="Q262" s="7" t="s">
        <v>1152</v>
      </c>
      <c r="R262" s="8"/>
      <c r="S262" s="12"/>
      <c r="T262" s="12"/>
    </row>
    <row r="263" customFormat="false" ht="35.05" hidden="false" customHeight="false" outlineLevel="0" collapsed="false">
      <c r="A263" s="7" t="s">
        <v>1929</v>
      </c>
      <c r="B263" s="7" t="s">
        <v>182</v>
      </c>
      <c r="C263" s="7" t="s">
        <v>186</v>
      </c>
      <c r="D263" s="7" t="s">
        <v>1930</v>
      </c>
      <c r="E263" s="7" t="s">
        <v>1179</v>
      </c>
      <c r="F263" s="7" t="s">
        <v>943</v>
      </c>
      <c r="G263" s="7" t="s">
        <v>1424</v>
      </c>
      <c r="H263" s="8" t="s">
        <v>188</v>
      </c>
      <c r="I263" s="8" t="s">
        <v>189</v>
      </c>
      <c r="J263" s="7" t="s">
        <v>133</v>
      </c>
      <c r="K263" s="7" t="s">
        <v>1931</v>
      </c>
      <c r="L263" s="7" t="n">
        <v>3</v>
      </c>
      <c r="M263" s="7" t="s">
        <v>187</v>
      </c>
      <c r="N263" s="7"/>
      <c r="O263" s="7" t="s">
        <v>1150</v>
      </c>
      <c r="P263" s="7" t="s">
        <v>1183</v>
      </c>
      <c r="Q263" s="7" t="s">
        <v>1152</v>
      </c>
      <c r="R263" s="8"/>
      <c r="S263" s="12"/>
      <c r="T263" s="12"/>
    </row>
    <row r="264" customFormat="false" ht="35.05" hidden="false" customHeight="false" outlineLevel="0" collapsed="false">
      <c r="A264" s="7" t="s">
        <v>1932</v>
      </c>
      <c r="B264" s="7" t="s">
        <v>182</v>
      </c>
      <c r="C264" s="7" t="s">
        <v>186</v>
      </c>
      <c r="D264" s="7" t="s">
        <v>1933</v>
      </c>
      <c r="E264" s="7" t="s">
        <v>1179</v>
      </c>
      <c r="F264" s="7" t="s">
        <v>943</v>
      </c>
      <c r="G264" s="7" t="s">
        <v>1424</v>
      </c>
      <c r="H264" s="8" t="s">
        <v>188</v>
      </c>
      <c r="I264" s="8" t="s">
        <v>189</v>
      </c>
      <c r="J264" s="7" t="s">
        <v>133</v>
      </c>
      <c r="K264" s="7" t="s">
        <v>1934</v>
      </c>
      <c r="L264" s="7" t="n">
        <v>3</v>
      </c>
      <c r="M264" s="7" t="s">
        <v>187</v>
      </c>
      <c r="N264" s="7"/>
      <c r="O264" s="7" t="s">
        <v>1150</v>
      </c>
      <c r="P264" s="7" t="s">
        <v>1183</v>
      </c>
      <c r="Q264" s="7" t="s">
        <v>1152</v>
      </c>
      <c r="R264" s="8"/>
      <c r="S264" s="12"/>
      <c r="T264" s="12"/>
    </row>
    <row r="265" customFormat="false" ht="35.05" hidden="false" customHeight="false" outlineLevel="0" collapsed="false">
      <c r="A265" s="7" t="s">
        <v>1935</v>
      </c>
      <c r="B265" s="7" t="s">
        <v>182</v>
      </c>
      <c r="C265" s="7" t="s">
        <v>186</v>
      </c>
      <c r="D265" s="7" t="s">
        <v>1936</v>
      </c>
      <c r="E265" s="7" t="s">
        <v>1179</v>
      </c>
      <c r="F265" s="7" t="s">
        <v>943</v>
      </c>
      <c r="G265" s="7" t="s">
        <v>1424</v>
      </c>
      <c r="H265" s="8" t="s">
        <v>188</v>
      </c>
      <c r="I265" s="8" t="s">
        <v>189</v>
      </c>
      <c r="J265" s="7" t="s">
        <v>133</v>
      </c>
      <c r="K265" s="7" t="s">
        <v>1937</v>
      </c>
      <c r="L265" s="7" t="n">
        <v>3</v>
      </c>
      <c r="M265" s="7" t="s">
        <v>187</v>
      </c>
      <c r="N265" s="7"/>
      <c r="O265" s="7" t="s">
        <v>1150</v>
      </c>
      <c r="P265" s="7" t="s">
        <v>1183</v>
      </c>
      <c r="Q265" s="7" t="s">
        <v>1152</v>
      </c>
      <c r="R265" s="8"/>
      <c r="S265" s="12"/>
      <c r="T265" s="12"/>
    </row>
    <row r="266" customFormat="false" ht="35.05" hidden="false" customHeight="false" outlineLevel="0" collapsed="false">
      <c r="A266" s="7" t="s">
        <v>1938</v>
      </c>
      <c r="B266" s="7" t="s">
        <v>182</v>
      </c>
      <c r="C266" s="7" t="s">
        <v>186</v>
      </c>
      <c r="D266" s="7" t="s">
        <v>1939</v>
      </c>
      <c r="E266" s="7" t="s">
        <v>1179</v>
      </c>
      <c r="F266" s="7" t="s">
        <v>943</v>
      </c>
      <c r="G266" s="7" t="s">
        <v>1424</v>
      </c>
      <c r="H266" s="8" t="s">
        <v>188</v>
      </c>
      <c r="I266" s="8" t="s">
        <v>189</v>
      </c>
      <c r="J266" s="7" t="s">
        <v>133</v>
      </c>
      <c r="K266" s="7" t="s">
        <v>1940</v>
      </c>
      <c r="L266" s="7" t="n">
        <v>3</v>
      </c>
      <c r="M266" s="7" t="s">
        <v>187</v>
      </c>
      <c r="N266" s="7"/>
      <c r="O266" s="7" t="s">
        <v>1150</v>
      </c>
      <c r="P266" s="7" t="s">
        <v>1183</v>
      </c>
      <c r="Q266" s="7" t="s">
        <v>1152</v>
      </c>
      <c r="R266" s="8"/>
      <c r="S266" s="12"/>
      <c r="T266" s="12"/>
    </row>
    <row r="267" customFormat="false" ht="35.05" hidden="false" customHeight="false" outlineLevel="0" collapsed="false">
      <c r="A267" s="7" t="s">
        <v>1941</v>
      </c>
      <c r="B267" s="7" t="s">
        <v>182</v>
      </c>
      <c r="C267" s="7" t="s">
        <v>186</v>
      </c>
      <c r="D267" s="7" t="s">
        <v>1942</v>
      </c>
      <c r="E267" s="7" t="s">
        <v>1179</v>
      </c>
      <c r="F267" s="7" t="s">
        <v>943</v>
      </c>
      <c r="G267" s="7" t="s">
        <v>1424</v>
      </c>
      <c r="H267" s="8" t="s">
        <v>188</v>
      </c>
      <c r="I267" s="8" t="s">
        <v>189</v>
      </c>
      <c r="J267" s="7" t="s">
        <v>133</v>
      </c>
      <c r="K267" s="7" t="s">
        <v>1943</v>
      </c>
      <c r="L267" s="7" t="n">
        <v>3</v>
      </c>
      <c r="M267" s="7" t="s">
        <v>187</v>
      </c>
      <c r="N267" s="7"/>
      <c r="O267" s="7" t="s">
        <v>1150</v>
      </c>
      <c r="P267" s="7" t="s">
        <v>1183</v>
      </c>
      <c r="Q267" s="7" t="s">
        <v>1152</v>
      </c>
      <c r="R267" s="8"/>
      <c r="S267" s="12"/>
      <c r="T267" s="12"/>
    </row>
    <row r="268" customFormat="false" ht="35.05" hidden="false" customHeight="false" outlineLevel="0" collapsed="false">
      <c r="A268" s="7" t="s">
        <v>1944</v>
      </c>
      <c r="B268" s="7" t="s">
        <v>182</v>
      </c>
      <c r="C268" s="7" t="s">
        <v>190</v>
      </c>
      <c r="D268" s="7" t="s">
        <v>190</v>
      </c>
      <c r="E268" s="7" t="s">
        <v>1137</v>
      </c>
      <c r="F268" s="7" t="s">
        <v>928</v>
      </c>
      <c r="G268" s="7" t="s">
        <v>1148</v>
      </c>
      <c r="H268" s="8" t="s">
        <v>1945</v>
      </c>
      <c r="I268" s="8" t="s">
        <v>193</v>
      </c>
      <c r="J268" s="7" t="s">
        <v>87</v>
      </c>
      <c r="K268" s="7" t="s">
        <v>191</v>
      </c>
      <c r="L268" s="7" t="n">
        <v>2</v>
      </c>
      <c r="M268" s="7" t="s">
        <v>183</v>
      </c>
      <c r="N268" s="7"/>
      <c r="O268" s="7" t="s">
        <v>1150</v>
      </c>
      <c r="P268" s="7" t="s">
        <v>1151</v>
      </c>
      <c r="Q268" s="7" t="s">
        <v>1152</v>
      </c>
      <c r="R268" s="8"/>
      <c r="S268" s="12"/>
      <c r="T268" s="12"/>
    </row>
    <row r="269" customFormat="false" ht="23.85" hidden="false" customHeight="false" outlineLevel="0" collapsed="false">
      <c r="A269" s="7" t="s">
        <v>1946</v>
      </c>
      <c r="B269" s="7" t="s">
        <v>182</v>
      </c>
      <c r="C269" s="7" t="s">
        <v>190</v>
      </c>
      <c r="D269" s="7" t="s">
        <v>1947</v>
      </c>
      <c r="E269" s="7" t="s">
        <v>1179</v>
      </c>
      <c r="F269" s="7" t="s">
        <v>943</v>
      </c>
      <c r="G269" s="7" t="s">
        <v>1424</v>
      </c>
      <c r="H269" s="8" t="s">
        <v>192</v>
      </c>
      <c r="I269" s="8" t="s">
        <v>193</v>
      </c>
      <c r="J269" s="7" t="s">
        <v>133</v>
      </c>
      <c r="K269" s="7" t="s">
        <v>1948</v>
      </c>
      <c r="L269" s="7" t="n">
        <v>3</v>
      </c>
      <c r="M269" s="7" t="s">
        <v>191</v>
      </c>
      <c r="N269" s="7"/>
      <c r="O269" s="7" t="s">
        <v>1150</v>
      </c>
      <c r="P269" s="7" t="s">
        <v>1151</v>
      </c>
      <c r="Q269" s="7" t="s">
        <v>1184</v>
      </c>
      <c r="R269" s="8"/>
      <c r="S269" s="12"/>
      <c r="T269" s="12"/>
    </row>
    <row r="270" customFormat="false" ht="23.85" hidden="false" customHeight="false" outlineLevel="0" collapsed="false">
      <c r="A270" s="7" t="s">
        <v>1949</v>
      </c>
      <c r="B270" s="7" t="s">
        <v>182</v>
      </c>
      <c r="C270" s="7" t="s">
        <v>190</v>
      </c>
      <c r="D270" s="7" t="s">
        <v>1950</v>
      </c>
      <c r="E270" s="7" t="s">
        <v>1179</v>
      </c>
      <c r="F270" s="7" t="s">
        <v>943</v>
      </c>
      <c r="G270" s="7" t="s">
        <v>1424</v>
      </c>
      <c r="H270" s="8" t="s">
        <v>192</v>
      </c>
      <c r="I270" s="8" t="s">
        <v>193</v>
      </c>
      <c r="J270" s="7" t="s">
        <v>133</v>
      </c>
      <c r="K270" s="7" t="s">
        <v>1951</v>
      </c>
      <c r="L270" s="7" t="n">
        <v>3</v>
      </c>
      <c r="M270" s="7" t="s">
        <v>191</v>
      </c>
      <c r="N270" s="7"/>
      <c r="O270" s="7" t="s">
        <v>1150</v>
      </c>
      <c r="P270" s="7" t="s">
        <v>1183</v>
      </c>
      <c r="Q270" s="7" t="s">
        <v>1152</v>
      </c>
      <c r="R270" s="8"/>
      <c r="S270" s="12"/>
      <c r="T270" s="12"/>
    </row>
    <row r="271" customFormat="false" ht="23.85" hidden="false" customHeight="false" outlineLevel="0" collapsed="false">
      <c r="A271" s="7" t="s">
        <v>1952</v>
      </c>
      <c r="B271" s="7" t="s">
        <v>182</v>
      </c>
      <c r="C271" s="7" t="s">
        <v>190</v>
      </c>
      <c r="D271" s="7" t="s">
        <v>1953</v>
      </c>
      <c r="E271" s="7" t="s">
        <v>1179</v>
      </c>
      <c r="F271" s="7" t="s">
        <v>943</v>
      </c>
      <c r="G271" s="7" t="s">
        <v>1424</v>
      </c>
      <c r="H271" s="8" t="s">
        <v>192</v>
      </c>
      <c r="I271" s="8" t="s">
        <v>193</v>
      </c>
      <c r="J271" s="7" t="s">
        <v>133</v>
      </c>
      <c r="K271" s="7" t="s">
        <v>1954</v>
      </c>
      <c r="L271" s="7" t="n">
        <v>3</v>
      </c>
      <c r="M271" s="7" t="s">
        <v>191</v>
      </c>
      <c r="N271" s="7"/>
      <c r="O271" s="7" t="s">
        <v>1150</v>
      </c>
      <c r="P271" s="7" t="s">
        <v>1183</v>
      </c>
      <c r="Q271" s="7" t="s">
        <v>1152</v>
      </c>
      <c r="R271" s="8"/>
      <c r="S271" s="12"/>
      <c r="T271" s="12"/>
    </row>
    <row r="272" customFormat="false" ht="23.85" hidden="false" customHeight="false" outlineLevel="0" collapsed="false">
      <c r="A272" s="7" t="s">
        <v>1955</v>
      </c>
      <c r="B272" s="7" t="s">
        <v>182</v>
      </c>
      <c r="C272" s="7" t="s">
        <v>190</v>
      </c>
      <c r="D272" s="7" t="s">
        <v>1956</v>
      </c>
      <c r="E272" s="7" t="s">
        <v>1179</v>
      </c>
      <c r="F272" s="7" t="s">
        <v>943</v>
      </c>
      <c r="G272" s="7" t="s">
        <v>1424</v>
      </c>
      <c r="H272" s="8" t="s">
        <v>192</v>
      </c>
      <c r="I272" s="8" t="s">
        <v>193</v>
      </c>
      <c r="J272" s="7" t="s">
        <v>133</v>
      </c>
      <c r="K272" s="7" t="s">
        <v>1957</v>
      </c>
      <c r="L272" s="7" t="n">
        <v>3</v>
      </c>
      <c r="M272" s="7" t="s">
        <v>191</v>
      </c>
      <c r="N272" s="7"/>
      <c r="O272" s="7" t="s">
        <v>1150</v>
      </c>
      <c r="P272" s="7" t="s">
        <v>1183</v>
      </c>
      <c r="Q272" s="7" t="s">
        <v>1152</v>
      </c>
      <c r="R272" s="8"/>
      <c r="S272" s="12"/>
      <c r="T272" s="12"/>
    </row>
    <row r="273" customFormat="false" ht="23.85" hidden="false" customHeight="false" outlineLevel="0" collapsed="false">
      <c r="A273" s="7" t="s">
        <v>1958</v>
      </c>
      <c r="B273" s="7" t="s">
        <v>182</v>
      </c>
      <c r="C273" s="7" t="s">
        <v>190</v>
      </c>
      <c r="D273" s="7" t="s">
        <v>1959</v>
      </c>
      <c r="E273" s="7" t="s">
        <v>1179</v>
      </c>
      <c r="F273" s="7" t="s">
        <v>943</v>
      </c>
      <c r="G273" s="7" t="s">
        <v>1424</v>
      </c>
      <c r="H273" s="8" t="s">
        <v>192</v>
      </c>
      <c r="I273" s="8" t="s">
        <v>193</v>
      </c>
      <c r="J273" s="7" t="s">
        <v>133</v>
      </c>
      <c r="K273" s="7" t="s">
        <v>1960</v>
      </c>
      <c r="L273" s="7" t="n">
        <v>3</v>
      </c>
      <c r="M273" s="7" t="s">
        <v>191</v>
      </c>
      <c r="N273" s="7"/>
      <c r="O273" s="7" t="s">
        <v>1150</v>
      </c>
      <c r="P273" s="7" t="s">
        <v>1183</v>
      </c>
      <c r="Q273" s="7" t="s">
        <v>1152</v>
      </c>
      <c r="R273" s="8"/>
      <c r="S273" s="12"/>
      <c r="T273" s="12"/>
    </row>
    <row r="274" customFormat="false" ht="23.85" hidden="false" customHeight="false" outlineLevel="0" collapsed="false">
      <c r="A274" s="7" t="s">
        <v>1961</v>
      </c>
      <c r="B274" s="7" t="s">
        <v>182</v>
      </c>
      <c r="C274" s="7" t="s">
        <v>190</v>
      </c>
      <c r="D274" s="7" t="s">
        <v>1962</v>
      </c>
      <c r="E274" s="7" t="s">
        <v>1179</v>
      </c>
      <c r="F274" s="7" t="s">
        <v>943</v>
      </c>
      <c r="G274" s="7" t="s">
        <v>1424</v>
      </c>
      <c r="H274" s="8" t="s">
        <v>192</v>
      </c>
      <c r="I274" s="8" t="s">
        <v>193</v>
      </c>
      <c r="J274" s="7" t="s">
        <v>133</v>
      </c>
      <c r="K274" s="7" t="s">
        <v>1963</v>
      </c>
      <c r="L274" s="7" t="n">
        <v>3</v>
      </c>
      <c r="M274" s="7" t="s">
        <v>191</v>
      </c>
      <c r="N274" s="7"/>
      <c r="O274" s="7" t="s">
        <v>1150</v>
      </c>
      <c r="P274" s="7" t="s">
        <v>1183</v>
      </c>
      <c r="Q274" s="7" t="s">
        <v>1152</v>
      </c>
      <c r="R274" s="8"/>
      <c r="S274" s="12"/>
      <c r="T274" s="12"/>
    </row>
    <row r="275" customFormat="false" ht="23.85" hidden="false" customHeight="false" outlineLevel="0" collapsed="false">
      <c r="A275" s="7" t="s">
        <v>1964</v>
      </c>
      <c r="B275" s="7" t="s">
        <v>182</v>
      </c>
      <c r="C275" s="7" t="s">
        <v>190</v>
      </c>
      <c r="D275" s="7" t="s">
        <v>1965</v>
      </c>
      <c r="E275" s="7" t="s">
        <v>1179</v>
      </c>
      <c r="F275" s="7" t="s">
        <v>943</v>
      </c>
      <c r="G275" s="7" t="s">
        <v>1424</v>
      </c>
      <c r="H275" s="8" t="s">
        <v>192</v>
      </c>
      <c r="I275" s="8" t="s">
        <v>193</v>
      </c>
      <c r="J275" s="7" t="s">
        <v>133</v>
      </c>
      <c r="K275" s="7" t="s">
        <v>1966</v>
      </c>
      <c r="L275" s="7" t="n">
        <v>3</v>
      </c>
      <c r="M275" s="7" t="s">
        <v>191</v>
      </c>
      <c r="N275" s="7"/>
      <c r="O275" s="7" t="s">
        <v>1150</v>
      </c>
      <c r="P275" s="7" t="s">
        <v>1151</v>
      </c>
      <c r="Q275" s="7" t="s">
        <v>1152</v>
      </c>
      <c r="R275" s="8"/>
      <c r="S275" s="12"/>
      <c r="T275" s="12"/>
    </row>
    <row r="276" customFormat="false" ht="23.85" hidden="false" customHeight="false" outlineLevel="0" collapsed="false">
      <c r="A276" s="7" t="s">
        <v>1967</v>
      </c>
      <c r="B276" s="7" t="s">
        <v>182</v>
      </c>
      <c r="C276" s="7" t="s">
        <v>190</v>
      </c>
      <c r="D276" s="7" t="s">
        <v>1968</v>
      </c>
      <c r="E276" s="7" t="s">
        <v>1179</v>
      </c>
      <c r="F276" s="7" t="s">
        <v>943</v>
      </c>
      <c r="G276" s="7" t="s">
        <v>1424</v>
      </c>
      <c r="H276" s="8" t="s">
        <v>192</v>
      </c>
      <c r="I276" s="8" t="s">
        <v>193</v>
      </c>
      <c r="J276" s="7" t="s">
        <v>133</v>
      </c>
      <c r="K276" s="7" t="s">
        <v>1969</v>
      </c>
      <c r="L276" s="7" t="n">
        <v>3</v>
      </c>
      <c r="M276" s="7" t="s">
        <v>191</v>
      </c>
      <c r="N276" s="7"/>
      <c r="O276" s="7" t="s">
        <v>1150</v>
      </c>
      <c r="P276" s="7" t="s">
        <v>1183</v>
      </c>
      <c r="Q276" s="7" t="s">
        <v>1152</v>
      </c>
      <c r="R276" s="8"/>
      <c r="S276" s="12"/>
      <c r="T276" s="12"/>
    </row>
    <row r="277" customFormat="false" ht="23.85" hidden="false" customHeight="false" outlineLevel="0" collapsed="false">
      <c r="A277" s="7" t="s">
        <v>1970</v>
      </c>
      <c r="B277" s="7" t="s">
        <v>182</v>
      </c>
      <c r="C277" s="7" t="s">
        <v>190</v>
      </c>
      <c r="D277" s="7" t="s">
        <v>1971</v>
      </c>
      <c r="E277" s="7" t="s">
        <v>1179</v>
      </c>
      <c r="F277" s="7" t="s">
        <v>943</v>
      </c>
      <c r="G277" s="7" t="s">
        <v>1424</v>
      </c>
      <c r="H277" s="8" t="s">
        <v>192</v>
      </c>
      <c r="I277" s="8" t="s">
        <v>193</v>
      </c>
      <c r="J277" s="7" t="s">
        <v>133</v>
      </c>
      <c r="K277" s="7" t="s">
        <v>1972</v>
      </c>
      <c r="L277" s="7" t="n">
        <v>3</v>
      </c>
      <c r="M277" s="7" t="s">
        <v>191</v>
      </c>
      <c r="N277" s="7"/>
      <c r="O277" s="7" t="s">
        <v>1150</v>
      </c>
      <c r="P277" s="7" t="s">
        <v>1183</v>
      </c>
      <c r="Q277" s="7" t="s">
        <v>1152</v>
      </c>
      <c r="R277" s="8"/>
      <c r="S277" s="12"/>
      <c r="T277" s="12"/>
    </row>
    <row r="278" customFormat="false" ht="35.05" hidden="false" customHeight="false" outlineLevel="0" collapsed="false">
      <c r="A278" s="7" t="s">
        <v>1973</v>
      </c>
      <c r="B278" s="7" t="s">
        <v>182</v>
      </c>
      <c r="C278" s="7" t="s">
        <v>190</v>
      </c>
      <c r="D278" s="7" t="s">
        <v>1974</v>
      </c>
      <c r="E278" s="7" t="s">
        <v>1179</v>
      </c>
      <c r="F278" s="7" t="s">
        <v>943</v>
      </c>
      <c r="G278" s="7" t="s">
        <v>1424</v>
      </c>
      <c r="H278" s="8" t="s">
        <v>192</v>
      </c>
      <c r="I278" s="8" t="s">
        <v>193</v>
      </c>
      <c r="J278" s="7" t="s">
        <v>949</v>
      </c>
      <c r="K278" s="7" t="s">
        <v>1975</v>
      </c>
      <c r="L278" s="7" t="s">
        <v>952</v>
      </c>
      <c r="M278" s="7" t="s">
        <v>1976</v>
      </c>
      <c r="N278" s="7" t="s">
        <v>1977</v>
      </c>
      <c r="O278" s="7" t="s">
        <v>1150</v>
      </c>
      <c r="P278" s="7" t="s">
        <v>1183</v>
      </c>
      <c r="Q278" s="7" t="s">
        <v>1152</v>
      </c>
      <c r="R278" s="8" t="s">
        <v>1185</v>
      </c>
      <c r="S278" s="12"/>
      <c r="T278" s="12"/>
    </row>
    <row r="279" customFormat="false" ht="23.85" hidden="false" customHeight="false" outlineLevel="0" collapsed="false">
      <c r="A279" s="7" t="s">
        <v>1978</v>
      </c>
      <c r="B279" s="7" t="s">
        <v>182</v>
      </c>
      <c r="C279" s="7" t="s">
        <v>190</v>
      </c>
      <c r="D279" s="7" t="s">
        <v>1977</v>
      </c>
      <c r="E279" s="7" t="s">
        <v>1179</v>
      </c>
      <c r="F279" s="7" t="s">
        <v>943</v>
      </c>
      <c r="G279" s="7" t="s">
        <v>1424</v>
      </c>
      <c r="H279" s="8" t="s">
        <v>192</v>
      </c>
      <c r="I279" s="8" t="s">
        <v>193</v>
      </c>
      <c r="J279" s="7" t="s">
        <v>133</v>
      </c>
      <c r="K279" s="7" t="s">
        <v>1976</v>
      </c>
      <c r="L279" s="7" t="n">
        <v>3</v>
      </c>
      <c r="M279" s="7" t="s">
        <v>191</v>
      </c>
      <c r="N279" s="7"/>
      <c r="O279" s="7" t="s">
        <v>1150</v>
      </c>
      <c r="P279" s="7" t="s">
        <v>1183</v>
      </c>
      <c r="Q279" s="7" t="s">
        <v>1152</v>
      </c>
      <c r="R279" s="8"/>
      <c r="S279" s="12"/>
      <c r="T279" s="12"/>
    </row>
    <row r="280" customFormat="false" ht="23.85" hidden="false" customHeight="false" outlineLevel="0" collapsed="false">
      <c r="A280" s="7" t="s">
        <v>1979</v>
      </c>
      <c r="B280" s="7" t="s">
        <v>182</v>
      </c>
      <c r="C280" s="7" t="s">
        <v>190</v>
      </c>
      <c r="D280" s="7" t="s">
        <v>1980</v>
      </c>
      <c r="E280" s="7" t="s">
        <v>1179</v>
      </c>
      <c r="F280" s="7" t="s">
        <v>943</v>
      </c>
      <c r="G280" s="7" t="s">
        <v>1424</v>
      </c>
      <c r="H280" s="8" t="s">
        <v>192</v>
      </c>
      <c r="I280" s="8" t="s">
        <v>193</v>
      </c>
      <c r="J280" s="7" t="s">
        <v>133</v>
      </c>
      <c r="K280" s="7" t="s">
        <v>1981</v>
      </c>
      <c r="L280" s="7" t="n">
        <v>3</v>
      </c>
      <c r="M280" s="7" t="s">
        <v>191</v>
      </c>
      <c r="N280" s="7"/>
      <c r="O280" s="7" t="s">
        <v>1150</v>
      </c>
      <c r="P280" s="7" t="s">
        <v>1183</v>
      </c>
      <c r="Q280" s="7" t="s">
        <v>1152</v>
      </c>
      <c r="R280" s="8"/>
      <c r="S280" s="12"/>
      <c r="T280" s="12"/>
    </row>
    <row r="281" customFormat="false" ht="35.05" hidden="false" customHeight="false" outlineLevel="0" collapsed="false">
      <c r="A281" s="7" t="s">
        <v>1982</v>
      </c>
      <c r="B281" s="7" t="s">
        <v>182</v>
      </c>
      <c r="C281" s="7" t="s">
        <v>194</v>
      </c>
      <c r="D281" s="7" t="s">
        <v>194</v>
      </c>
      <c r="E281" s="7" t="s">
        <v>1137</v>
      </c>
      <c r="F281" s="7" t="s">
        <v>928</v>
      </c>
      <c r="G281" s="7" t="s">
        <v>1148</v>
      </c>
      <c r="H281" s="8" t="s">
        <v>1983</v>
      </c>
      <c r="I281" s="8" t="s">
        <v>197</v>
      </c>
      <c r="J281" s="7" t="s">
        <v>87</v>
      </c>
      <c r="K281" s="7" t="s">
        <v>195</v>
      </c>
      <c r="L281" s="7" t="n">
        <v>2</v>
      </c>
      <c r="M281" s="7" t="s">
        <v>183</v>
      </c>
      <c r="N281" s="7"/>
      <c r="O281" s="7" t="s">
        <v>1421</v>
      </c>
      <c r="P281" s="7" t="s">
        <v>1480</v>
      </c>
      <c r="Q281" s="7" t="s">
        <v>1152</v>
      </c>
      <c r="R281" s="8"/>
      <c r="S281" s="12"/>
      <c r="T281" s="12"/>
    </row>
    <row r="282" customFormat="false" ht="23.85" hidden="false" customHeight="false" outlineLevel="0" collapsed="false">
      <c r="A282" s="7" t="s">
        <v>1984</v>
      </c>
      <c r="B282" s="7" t="s">
        <v>182</v>
      </c>
      <c r="C282" s="7" t="s">
        <v>194</v>
      </c>
      <c r="D282" s="7" t="s">
        <v>1985</v>
      </c>
      <c r="E282" s="7" t="s">
        <v>1179</v>
      </c>
      <c r="F282" s="7" t="s">
        <v>943</v>
      </c>
      <c r="G282" s="7" t="s">
        <v>1424</v>
      </c>
      <c r="H282" s="8" t="s">
        <v>196</v>
      </c>
      <c r="I282" s="8" t="s">
        <v>197</v>
      </c>
      <c r="J282" s="7" t="s">
        <v>133</v>
      </c>
      <c r="K282" s="7" t="s">
        <v>1986</v>
      </c>
      <c r="L282" s="7" t="n">
        <v>3</v>
      </c>
      <c r="M282" s="7" t="s">
        <v>195</v>
      </c>
      <c r="N282" s="7"/>
      <c r="O282" s="7" t="s">
        <v>1421</v>
      </c>
      <c r="P282" s="7" t="s">
        <v>1480</v>
      </c>
      <c r="Q282" s="7" t="s">
        <v>1152</v>
      </c>
      <c r="R282" s="8"/>
      <c r="S282" s="12"/>
      <c r="T282" s="12"/>
    </row>
    <row r="283" customFormat="false" ht="23.85" hidden="false" customHeight="false" outlineLevel="0" collapsed="false">
      <c r="A283" s="7" t="s">
        <v>1987</v>
      </c>
      <c r="B283" s="7" t="s">
        <v>182</v>
      </c>
      <c r="C283" s="7" t="s">
        <v>194</v>
      </c>
      <c r="D283" s="7" t="s">
        <v>1988</v>
      </c>
      <c r="E283" s="7" t="s">
        <v>1179</v>
      </c>
      <c r="F283" s="7" t="s">
        <v>943</v>
      </c>
      <c r="G283" s="7" t="s">
        <v>1424</v>
      </c>
      <c r="H283" s="8" t="s">
        <v>196</v>
      </c>
      <c r="I283" s="8" t="s">
        <v>197</v>
      </c>
      <c r="J283" s="7" t="s">
        <v>133</v>
      </c>
      <c r="K283" s="7" t="s">
        <v>1989</v>
      </c>
      <c r="L283" s="7" t="n">
        <v>3</v>
      </c>
      <c r="M283" s="7" t="s">
        <v>195</v>
      </c>
      <c r="N283" s="7"/>
      <c r="O283" s="7" t="s">
        <v>1421</v>
      </c>
      <c r="P283" s="7" t="s">
        <v>1480</v>
      </c>
      <c r="Q283" s="7" t="s">
        <v>1184</v>
      </c>
      <c r="R283" s="8"/>
      <c r="S283" s="12"/>
      <c r="T283" s="12"/>
    </row>
    <row r="284" customFormat="false" ht="23.85" hidden="false" customHeight="false" outlineLevel="0" collapsed="false">
      <c r="A284" s="7" t="s">
        <v>1990</v>
      </c>
      <c r="B284" s="7" t="s">
        <v>182</v>
      </c>
      <c r="C284" s="7" t="s">
        <v>194</v>
      </c>
      <c r="D284" s="7" t="s">
        <v>1991</v>
      </c>
      <c r="E284" s="7" t="s">
        <v>1179</v>
      </c>
      <c r="F284" s="7" t="s">
        <v>943</v>
      </c>
      <c r="G284" s="7" t="s">
        <v>1424</v>
      </c>
      <c r="H284" s="8" t="s">
        <v>196</v>
      </c>
      <c r="I284" s="8" t="s">
        <v>197</v>
      </c>
      <c r="J284" s="7" t="s">
        <v>133</v>
      </c>
      <c r="K284" s="7" t="s">
        <v>1992</v>
      </c>
      <c r="L284" s="7" t="n">
        <v>3</v>
      </c>
      <c r="M284" s="7" t="s">
        <v>195</v>
      </c>
      <c r="N284" s="7"/>
      <c r="O284" s="7" t="s">
        <v>1421</v>
      </c>
      <c r="P284" s="7" t="s">
        <v>1480</v>
      </c>
      <c r="Q284" s="7" t="s">
        <v>1152</v>
      </c>
      <c r="R284" s="8"/>
      <c r="S284" s="12"/>
      <c r="T284" s="12"/>
    </row>
    <row r="285" customFormat="false" ht="23.85" hidden="false" customHeight="false" outlineLevel="0" collapsed="false">
      <c r="A285" s="7" t="s">
        <v>1993</v>
      </c>
      <c r="B285" s="7" t="s">
        <v>182</v>
      </c>
      <c r="C285" s="7" t="s">
        <v>194</v>
      </c>
      <c r="D285" s="7" t="s">
        <v>1994</v>
      </c>
      <c r="E285" s="7" t="s">
        <v>1179</v>
      </c>
      <c r="F285" s="7" t="s">
        <v>943</v>
      </c>
      <c r="G285" s="7" t="s">
        <v>1424</v>
      </c>
      <c r="H285" s="8" t="s">
        <v>196</v>
      </c>
      <c r="I285" s="8" t="s">
        <v>197</v>
      </c>
      <c r="J285" s="7" t="s">
        <v>133</v>
      </c>
      <c r="K285" s="7" t="s">
        <v>1995</v>
      </c>
      <c r="L285" s="7" t="n">
        <v>3</v>
      </c>
      <c r="M285" s="7" t="s">
        <v>195</v>
      </c>
      <c r="N285" s="7"/>
      <c r="O285" s="7" t="s">
        <v>1421</v>
      </c>
      <c r="P285" s="7" t="s">
        <v>1480</v>
      </c>
      <c r="Q285" s="7" t="s">
        <v>1152</v>
      </c>
      <c r="R285" s="8"/>
      <c r="S285" s="12"/>
      <c r="T285" s="12"/>
    </row>
    <row r="286" customFormat="false" ht="23.85" hidden="false" customHeight="false" outlineLevel="0" collapsed="false">
      <c r="A286" s="7" t="s">
        <v>1996</v>
      </c>
      <c r="B286" s="7" t="s">
        <v>182</v>
      </c>
      <c r="C286" s="7" t="s">
        <v>194</v>
      </c>
      <c r="D286" s="7" t="s">
        <v>1997</v>
      </c>
      <c r="E286" s="7" t="s">
        <v>1179</v>
      </c>
      <c r="F286" s="7" t="s">
        <v>943</v>
      </c>
      <c r="G286" s="7" t="s">
        <v>1424</v>
      </c>
      <c r="H286" s="8" t="s">
        <v>196</v>
      </c>
      <c r="I286" s="8" t="s">
        <v>197</v>
      </c>
      <c r="J286" s="7" t="s">
        <v>133</v>
      </c>
      <c r="K286" s="7" t="s">
        <v>1998</v>
      </c>
      <c r="L286" s="7" t="n">
        <v>3</v>
      </c>
      <c r="M286" s="7" t="s">
        <v>195</v>
      </c>
      <c r="N286" s="7"/>
      <c r="O286" s="7" t="s">
        <v>1421</v>
      </c>
      <c r="P286" s="7" t="s">
        <v>1480</v>
      </c>
      <c r="Q286" s="7" t="s">
        <v>1152</v>
      </c>
      <c r="R286" s="8"/>
      <c r="S286" s="12"/>
      <c r="T286" s="12"/>
    </row>
    <row r="287" customFormat="false" ht="23.85" hidden="false" customHeight="false" outlineLevel="0" collapsed="false">
      <c r="A287" s="7" t="s">
        <v>1999</v>
      </c>
      <c r="B287" s="7" t="s">
        <v>182</v>
      </c>
      <c r="C287" s="7" t="s">
        <v>194</v>
      </c>
      <c r="D287" s="7" t="s">
        <v>2000</v>
      </c>
      <c r="E287" s="7" t="s">
        <v>1179</v>
      </c>
      <c r="F287" s="7" t="s">
        <v>943</v>
      </c>
      <c r="G287" s="7" t="s">
        <v>1424</v>
      </c>
      <c r="H287" s="8" t="s">
        <v>196</v>
      </c>
      <c r="I287" s="8" t="s">
        <v>197</v>
      </c>
      <c r="J287" s="7" t="s">
        <v>133</v>
      </c>
      <c r="K287" s="7" t="s">
        <v>2001</v>
      </c>
      <c r="L287" s="7" t="n">
        <v>3</v>
      </c>
      <c r="M287" s="7" t="s">
        <v>195</v>
      </c>
      <c r="N287" s="7"/>
      <c r="O287" s="7" t="s">
        <v>1421</v>
      </c>
      <c r="P287" s="7" t="s">
        <v>1480</v>
      </c>
      <c r="Q287" s="7" t="s">
        <v>1152</v>
      </c>
      <c r="R287" s="8"/>
      <c r="S287" s="12"/>
      <c r="T287" s="12"/>
    </row>
    <row r="288" customFormat="false" ht="23.85" hidden="false" customHeight="false" outlineLevel="0" collapsed="false">
      <c r="A288" s="7" t="s">
        <v>2002</v>
      </c>
      <c r="B288" s="7" t="s">
        <v>182</v>
      </c>
      <c r="C288" s="7" t="s">
        <v>194</v>
      </c>
      <c r="D288" s="7" t="s">
        <v>2003</v>
      </c>
      <c r="E288" s="7" t="s">
        <v>1179</v>
      </c>
      <c r="F288" s="7" t="s">
        <v>943</v>
      </c>
      <c r="G288" s="7" t="s">
        <v>1424</v>
      </c>
      <c r="H288" s="8" t="s">
        <v>196</v>
      </c>
      <c r="I288" s="8" t="s">
        <v>197</v>
      </c>
      <c r="J288" s="7" t="s">
        <v>133</v>
      </c>
      <c r="K288" s="7" t="s">
        <v>2004</v>
      </c>
      <c r="L288" s="7" t="n">
        <v>3</v>
      </c>
      <c r="M288" s="7" t="s">
        <v>195</v>
      </c>
      <c r="N288" s="7"/>
      <c r="O288" s="7" t="s">
        <v>1421</v>
      </c>
      <c r="P288" s="7" t="s">
        <v>1480</v>
      </c>
      <c r="Q288" s="7" t="s">
        <v>1152</v>
      </c>
      <c r="R288" s="8"/>
      <c r="S288" s="12"/>
      <c r="T288" s="12"/>
    </row>
    <row r="289" customFormat="false" ht="35.05" hidden="false" customHeight="false" outlineLevel="0" collapsed="false">
      <c r="A289" s="7" t="s">
        <v>2005</v>
      </c>
      <c r="B289" s="7" t="s">
        <v>182</v>
      </c>
      <c r="C289" s="7" t="s">
        <v>198</v>
      </c>
      <c r="D289" s="7" t="s">
        <v>198</v>
      </c>
      <c r="E289" s="7" t="s">
        <v>1137</v>
      </c>
      <c r="F289" s="7" t="s">
        <v>928</v>
      </c>
      <c r="G289" s="7" t="s">
        <v>1148</v>
      </c>
      <c r="H289" s="8" t="s">
        <v>2006</v>
      </c>
      <c r="I289" s="8" t="s">
        <v>201</v>
      </c>
      <c r="J289" s="7" t="s">
        <v>87</v>
      </c>
      <c r="K289" s="7" t="s">
        <v>199</v>
      </c>
      <c r="L289" s="7" t="n">
        <v>2</v>
      </c>
      <c r="M289" s="7" t="s">
        <v>183</v>
      </c>
      <c r="N289" s="7"/>
      <c r="O289" s="7" t="s">
        <v>1150</v>
      </c>
      <c r="P289" s="7" t="s">
        <v>1151</v>
      </c>
      <c r="Q289" s="7" t="s">
        <v>1152</v>
      </c>
      <c r="R289" s="8"/>
      <c r="S289" s="12"/>
      <c r="T289" s="12"/>
    </row>
    <row r="290" customFormat="false" ht="23.85" hidden="false" customHeight="false" outlineLevel="0" collapsed="false">
      <c r="A290" s="7" t="s">
        <v>2007</v>
      </c>
      <c r="B290" s="7" t="s">
        <v>182</v>
      </c>
      <c r="C290" s="7" t="s">
        <v>198</v>
      </c>
      <c r="D290" s="7" t="s">
        <v>2008</v>
      </c>
      <c r="E290" s="7" t="s">
        <v>1179</v>
      </c>
      <c r="F290" s="7" t="s">
        <v>943</v>
      </c>
      <c r="G290" s="7" t="s">
        <v>1424</v>
      </c>
      <c r="H290" s="8" t="s">
        <v>200</v>
      </c>
      <c r="I290" s="8" t="s">
        <v>201</v>
      </c>
      <c r="J290" s="7" t="s">
        <v>133</v>
      </c>
      <c r="K290" s="7" t="s">
        <v>2009</v>
      </c>
      <c r="L290" s="7" t="n">
        <v>3</v>
      </c>
      <c r="M290" s="7" t="s">
        <v>199</v>
      </c>
      <c r="N290" s="7"/>
      <c r="O290" s="7" t="s">
        <v>1150</v>
      </c>
      <c r="P290" s="7" t="s">
        <v>1151</v>
      </c>
      <c r="Q290" s="7" t="s">
        <v>1184</v>
      </c>
      <c r="R290" s="8"/>
      <c r="S290" s="12"/>
      <c r="T290" s="12"/>
    </row>
    <row r="291" customFormat="false" ht="35.05" hidden="false" customHeight="false" outlineLevel="0" collapsed="false">
      <c r="A291" s="7" t="s">
        <v>2010</v>
      </c>
      <c r="B291" s="7" t="s">
        <v>182</v>
      </c>
      <c r="C291" s="7" t="s">
        <v>198</v>
      </c>
      <c r="D291" s="7" t="s">
        <v>2011</v>
      </c>
      <c r="E291" s="7" t="s">
        <v>1179</v>
      </c>
      <c r="F291" s="7" t="s">
        <v>943</v>
      </c>
      <c r="G291" s="7" t="s">
        <v>1424</v>
      </c>
      <c r="H291" s="8" t="s">
        <v>200</v>
      </c>
      <c r="I291" s="8" t="s">
        <v>201</v>
      </c>
      <c r="J291" s="7" t="s">
        <v>949</v>
      </c>
      <c r="K291" s="7" t="s">
        <v>2012</v>
      </c>
      <c r="L291" s="7" t="s">
        <v>952</v>
      </c>
      <c r="M291" s="7" t="s">
        <v>2009</v>
      </c>
      <c r="N291" s="7" t="s">
        <v>2008</v>
      </c>
      <c r="O291" s="7" t="s">
        <v>1150</v>
      </c>
      <c r="P291" s="7" t="s">
        <v>1183</v>
      </c>
      <c r="Q291" s="7" t="s">
        <v>1152</v>
      </c>
      <c r="R291" s="8" t="s">
        <v>1185</v>
      </c>
      <c r="S291" s="12"/>
      <c r="T291" s="12"/>
    </row>
    <row r="292" customFormat="false" ht="35.05" hidden="false" customHeight="false" outlineLevel="0" collapsed="false">
      <c r="A292" s="7" t="s">
        <v>2013</v>
      </c>
      <c r="B292" s="7" t="s">
        <v>182</v>
      </c>
      <c r="C292" s="7" t="s">
        <v>198</v>
      </c>
      <c r="D292" s="7" t="s">
        <v>2014</v>
      </c>
      <c r="E292" s="7" t="s">
        <v>1179</v>
      </c>
      <c r="F292" s="7" t="s">
        <v>943</v>
      </c>
      <c r="G292" s="7" t="s">
        <v>1424</v>
      </c>
      <c r="H292" s="8" t="s">
        <v>200</v>
      </c>
      <c r="I292" s="8" t="s">
        <v>201</v>
      </c>
      <c r="J292" s="7" t="s">
        <v>949</v>
      </c>
      <c r="K292" s="7" t="s">
        <v>2015</v>
      </c>
      <c r="L292" s="7" t="s">
        <v>952</v>
      </c>
      <c r="M292" s="7" t="s">
        <v>2009</v>
      </c>
      <c r="N292" s="7" t="s">
        <v>2008</v>
      </c>
      <c r="O292" s="7" t="s">
        <v>1150</v>
      </c>
      <c r="P292" s="7" t="s">
        <v>1183</v>
      </c>
      <c r="Q292" s="7" t="s">
        <v>1152</v>
      </c>
      <c r="R292" s="8" t="s">
        <v>1185</v>
      </c>
      <c r="S292" s="12"/>
      <c r="T292" s="12"/>
    </row>
    <row r="293" customFormat="false" ht="35.05" hidden="false" customHeight="false" outlineLevel="0" collapsed="false">
      <c r="A293" s="7" t="s">
        <v>2016</v>
      </c>
      <c r="B293" s="7" t="s">
        <v>182</v>
      </c>
      <c r="C293" s="7" t="s">
        <v>198</v>
      </c>
      <c r="D293" s="7" t="s">
        <v>2017</v>
      </c>
      <c r="E293" s="7" t="s">
        <v>1179</v>
      </c>
      <c r="F293" s="7" t="s">
        <v>943</v>
      </c>
      <c r="G293" s="7" t="s">
        <v>1424</v>
      </c>
      <c r="H293" s="8" t="s">
        <v>200</v>
      </c>
      <c r="I293" s="8" t="s">
        <v>201</v>
      </c>
      <c r="J293" s="7" t="s">
        <v>949</v>
      </c>
      <c r="K293" s="7" t="s">
        <v>2018</v>
      </c>
      <c r="L293" s="7" t="s">
        <v>952</v>
      </c>
      <c r="M293" s="7" t="s">
        <v>2009</v>
      </c>
      <c r="N293" s="7" t="s">
        <v>2008</v>
      </c>
      <c r="O293" s="7" t="s">
        <v>1150</v>
      </c>
      <c r="P293" s="7" t="s">
        <v>1183</v>
      </c>
      <c r="Q293" s="7" t="s">
        <v>1152</v>
      </c>
      <c r="R293" s="8" t="s">
        <v>1185</v>
      </c>
      <c r="S293" s="12"/>
      <c r="T293" s="12"/>
    </row>
    <row r="294" customFormat="false" ht="35.05" hidden="false" customHeight="false" outlineLevel="0" collapsed="false">
      <c r="A294" s="7" t="s">
        <v>2019</v>
      </c>
      <c r="B294" s="7" t="s">
        <v>182</v>
      </c>
      <c r="C294" s="7" t="s">
        <v>198</v>
      </c>
      <c r="D294" s="7" t="s">
        <v>2020</v>
      </c>
      <c r="E294" s="7" t="s">
        <v>1179</v>
      </c>
      <c r="F294" s="7" t="s">
        <v>943</v>
      </c>
      <c r="G294" s="7" t="s">
        <v>1424</v>
      </c>
      <c r="H294" s="8" t="s">
        <v>200</v>
      </c>
      <c r="I294" s="8" t="s">
        <v>201</v>
      </c>
      <c r="J294" s="7" t="s">
        <v>949</v>
      </c>
      <c r="K294" s="7" t="s">
        <v>2021</v>
      </c>
      <c r="L294" s="7" t="s">
        <v>952</v>
      </c>
      <c r="M294" s="7" t="s">
        <v>2009</v>
      </c>
      <c r="N294" s="7" t="s">
        <v>2008</v>
      </c>
      <c r="O294" s="7" t="s">
        <v>1150</v>
      </c>
      <c r="P294" s="7" t="s">
        <v>1183</v>
      </c>
      <c r="Q294" s="7" t="s">
        <v>1152</v>
      </c>
      <c r="R294" s="8" t="s">
        <v>1185</v>
      </c>
      <c r="S294" s="12"/>
      <c r="T294" s="12"/>
    </row>
    <row r="295" customFormat="false" ht="35.05" hidden="false" customHeight="false" outlineLevel="0" collapsed="false">
      <c r="A295" s="7" t="s">
        <v>2022</v>
      </c>
      <c r="B295" s="7" t="s">
        <v>182</v>
      </c>
      <c r="C295" s="7" t="s">
        <v>198</v>
      </c>
      <c r="D295" s="7" t="s">
        <v>2023</v>
      </c>
      <c r="E295" s="7" t="s">
        <v>1179</v>
      </c>
      <c r="F295" s="7" t="s">
        <v>943</v>
      </c>
      <c r="G295" s="7" t="s">
        <v>1424</v>
      </c>
      <c r="H295" s="8" t="s">
        <v>200</v>
      </c>
      <c r="I295" s="8" t="s">
        <v>201</v>
      </c>
      <c r="J295" s="7" t="s">
        <v>949</v>
      </c>
      <c r="K295" s="7" t="s">
        <v>2024</v>
      </c>
      <c r="L295" s="7" t="s">
        <v>952</v>
      </c>
      <c r="M295" s="7" t="s">
        <v>2009</v>
      </c>
      <c r="N295" s="7" t="s">
        <v>2008</v>
      </c>
      <c r="O295" s="7" t="s">
        <v>1150</v>
      </c>
      <c r="P295" s="7" t="s">
        <v>1183</v>
      </c>
      <c r="Q295" s="7" t="s">
        <v>1152</v>
      </c>
      <c r="R295" s="8" t="s">
        <v>1185</v>
      </c>
      <c r="S295" s="12"/>
      <c r="T295" s="12"/>
    </row>
    <row r="296" customFormat="false" ht="23.85" hidden="false" customHeight="false" outlineLevel="0" collapsed="false">
      <c r="A296" s="7" t="s">
        <v>2025</v>
      </c>
      <c r="B296" s="7" t="s">
        <v>182</v>
      </c>
      <c r="C296" s="7" t="s">
        <v>198</v>
      </c>
      <c r="D296" s="7" t="s">
        <v>2026</v>
      </c>
      <c r="E296" s="7" t="s">
        <v>1179</v>
      </c>
      <c r="F296" s="7" t="s">
        <v>943</v>
      </c>
      <c r="G296" s="7" t="s">
        <v>1424</v>
      </c>
      <c r="H296" s="8" t="s">
        <v>200</v>
      </c>
      <c r="I296" s="8" t="s">
        <v>201</v>
      </c>
      <c r="J296" s="7" t="s">
        <v>133</v>
      </c>
      <c r="K296" s="7" t="s">
        <v>2027</v>
      </c>
      <c r="L296" s="7" t="n">
        <v>3</v>
      </c>
      <c r="M296" s="7" t="s">
        <v>199</v>
      </c>
      <c r="N296" s="7"/>
      <c r="O296" s="7" t="s">
        <v>1150</v>
      </c>
      <c r="P296" s="7" t="s">
        <v>1183</v>
      </c>
      <c r="Q296" s="7" t="s">
        <v>1152</v>
      </c>
      <c r="R296" s="8"/>
      <c r="S296" s="12"/>
      <c r="T296" s="12"/>
    </row>
    <row r="297" customFormat="false" ht="23.85" hidden="false" customHeight="false" outlineLevel="0" collapsed="false">
      <c r="A297" s="7" t="s">
        <v>2028</v>
      </c>
      <c r="B297" s="7" t="s">
        <v>182</v>
      </c>
      <c r="C297" s="7" t="s">
        <v>198</v>
      </c>
      <c r="D297" s="7" t="s">
        <v>2029</v>
      </c>
      <c r="E297" s="7" t="s">
        <v>1179</v>
      </c>
      <c r="F297" s="7" t="s">
        <v>943</v>
      </c>
      <c r="G297" s="7" t="s">
        <v>1424</v>
      </c>
      <c r="H297" s="8" t="s">
        <v>200</v>
      </c>
      <c r="I297" s="8" t="s">
        <v>201</v>
      </c>
      <c r="J297" s="7" t="s">
        <v>133</v>
      </c>
      <c r="K297" s="7" t="s">
        <v>2030</v>
      </c>
      <c r="L297" s="7" t="n">
        <v>3</v>
      </c>
      <c r="M297" s="7" t="s">
        <v>199</v>
      </c>
      <c r="N297" s="7"/>
      <c r="O297" s="7" t="s">
        <v>1150</v>
      </c>
      <c r="P297" s="7" t="s">
        <v>1183</v>
      </c>
      <c r="Q297" s="7" t="s">
        <v>1152</v>
      </c>
      <c r="R297" s="8"/>
      <c r="S297" s="12"/>
      <c r="T297" s="12"/>
    </row>
    <row r="298" customFormat="false" ht="23.85" hidden="false" customHeight="false" outlineLevel="0" collapsed="false">
      <c r="A298" s="7" t="s">
        <v>2031</v>
      </c>
      <c r="B298" s="7" t="s">
        <v>182</v>
      </c>
      <c r="C298" s="7" t="s">
        <v>198</v>
      </c>
      <c r="D298" s="7" t="s">
        <v>2032</v>
      </c>
      <c r="E298" s="7" t="s">
        <v>1179</v>
      </c>
      <c r="F298" s="7" t="s">
        <v>943</v>
      </c>
      <c r="G298" s="7" t="s">
        <v>1424</v>
      </c>
      <c r="H298" s="8" t="s">
        <v>200</v>
      </c>
      <c r="I298" s="8" t="s">
        <v>201</v>
      </c>
      <c r="J298" s="7" t="s">
        <v>133</v>
      </c>
      <c r="K298" s="7" t="s">
        <v>2033</v>
      </c>
      <c r="L298" s="7" t="n">
        <v>3</v>
      </c>
      <c r="M298" s="7" t="s">
        <v>199</v>
      </c>
      <c r="N298" s="7"/>
      <c r="O298" s="7" t="s">
        <v>1150</v>
      </c>
      <c r="P298" s="7" t="s">
        <v>1183</v>
      </c>
      <c r="Q298" s="7" t="s">
        <v>1152</v>
      </c>
      <c r="R298" s="8"/>
      <c r="S298" s="12"/>
      <c r="T298" s="12"/>
    </row>
    <row r="299" customFormat="false" ht="23.85" hidden="false" customHeight="false" outlineLevel="0" collapsed="false">
      <c r="A299" s="7" t="s">
        <v>2034</v>
      </c>
      <c r="B299" s="7" t="s">
        <v>182</v>
      </c>
      <c r="C299" s="7" t="s">
        <v>198</v>
      </c>
      <c r="D299" s="7" t="s">
        <v>2035</v>
      </c>
      <c r="E299" s="7" t="s">
        <v>1179</v>
      </c>
      <c r="F299" s="7" t="s">
        <v>943</v>
      </c>
      <c r="G299" s="7" t="s">
        <v>1424</v>
      </c>
      <c r="H299" s="8" t="s">
        <v>200</v>
      </c>
      <c r="I299" s="8" t="s">
        <v>201</v>
      </c>
      <c r="J299" s="7" t="s">
        <v>133</v>
      </c>
      <c r="K299" s="7" t="s">
        <v>2036</v>
      </c>
      <c r="L299" s="7" t="n">
        <v>3</v>
      </c>
      <c r="M299" s="7" t="s">
        <v>199</v>
      </c>
      <c r="N299" s="7"/>
      <c r="O299" s="7" t="s">
        <v>1150</v>
      </c>
      <c r="P299" s="7" t="s">
        <v>1183</v>
      </c>
      <c r="Q299" s="7" t="s">
        <v>1152</v>
      </c>
      <c r="R299" s="8"/>
      <c r="S299" s="12"/>
      <c r="T299" s="12"/>
    </row>
    <row r="300" customFormat="false" ht="23.85" hidden="false" customHeight="false" outlineLevel="0" collapsed="false">
      <c r="A300" s="7" t="s">
        <v>2037</v>
      </c>
      <c r="B300" s="7" t="s">
        <v>182</v>
      </c>
      <c r="C300" s="7" t="s">
        <v>198</v>
      </c>
      <c r="D300" s="7" t="s">
        <v>2038</v>
      </c>
      <c r="E300" s="7" t="s">
        <v>1179</v>
      </c>
      <c r="F300" s="7" t="s">
        <v>943</v>
      </c>
      <c r="G300" s="7" t="s">
        <v>1424</v>
      </c>
      <c r="H300" s="8" t="s">
        <v>200</v>
      </c>
      <c r="I300" s="8" t="s">
        <v>201</v>
      </c>
      <c r="J300" s="7" t="s">
        <v>133</v>
      </c>
      <c r="K300" s="7" t="s">
        <v>2039</v>
      </c>
      <c r="L300" s="7" t="n">
        <v>3</v>
      </c>
      <c r="M300" s="7" t="s">
        <v>199</v>
      </c>
      <c r="N300" s="7"/>
      <c r="O300" s="7" t="s">
        <v>1150</v>
      </c>
      <c r="P300" s="7" t="s">
        <v>1183</v>
      </c>
      <c r="Q300" s="7" t="s">
        <v>1152</v>
      </c>
      <c r="R300" s="8"/>
      <c r="S300" s="12"/>
      <c r="T300" s="12"/>
    </row>
    <row r="301" customFormat="false" ht="23.85" hidden="false" customHeight="false" outlineLevel="0" collapsed="false">
      <c r="A301" s="7" t="s">
        <v>2040</v>
      </c>
      <c r="B301" s="7" t="s">
        <v>182</v>
      </c>
      <c r="C301" s="7" t="s">
        <v>198</v>
      </c>
      <c r="D301" s="7" t="s">
        <v>2041</v>
      </c>
      <c r="E301" s="7" t="s">
        <v>1179</v>
      </c>
      <c r="F301" s="7" t="s">
        <v>943</v>
      </c>
      <c r="G301" s="7" t="s">
        <v>1424</v>
      </c>
      <c r="H301" s="8" t="s">
        <v>200</v>
      </c>
      <c r="I301" s="8" t="s">
        <v>201</v>
      </c>
      <c r="J301" s="7" t="s">
        <v>133</v>
      </c>
      <c r="K301" s="7" t="s">
        <v>2042</v>
      </c>
      <c r="L301" s="7" t="n">
        <v>3</v>
      </c>
      <c r="M301" s="7" t="s">
        <v>199</v>
      </c>
      <c r="N301" s="7"/>
      <c r="O301" s="7" t="s">
        <v>1150</v>
      </c>
      <c r="P301" s="7" t="s">
        <v>1183</v>
      </c>
      <c r="Q301" s="7" t="s">
        <v>1152</v>
      </c>
      <c r="R301" s="8"/>
      <c r="S301" s="12"/>
      <c r="T301" s="12"/>
    </row>
    <row r="302" customFormat="false" ht="35.05" hidden="false" customHeight="false" outlineLevel="0" collapsed="false">
      <c r="A302" s="7" t="s">
        <v>2043</v>
      </c>
      <c r="B302" s="7" t="s">
        <v>182</v>
      </c>
      <c r="C302" s="7" t="s">
        <v>202</v>
      </c>
      <c r="D302" s="7" t="s">
        <v>202</v>
      </c>
      <c r="E302" s="7" t="s">
        <v>1137</v>
      </c>
      <c r="F302" s="7" t="s">
        <v>928</v>
      </c>
      <c r="G302" s="7" t="s">
        <v>1148</v>
      </c>
      <c r="H302" s="8" t="s">
        <v>2044</v>
      </c>
      <c r="I302" s="8" t="s">
        <v>205</v>
      </c>
      <c r="J302" s="7" t="s">
        <v>87</v>
      </c>
      <c r="K302" s="7" t="s">
        <v>203</v>
      </c>
      <c r="L302" s="7" t="n">
        <v>2</v>
      </c>
      <c r="M302" s="7" t="s">
        <v>183</v>
      </c>
      <c r="N302" s="7"/>
      <c r="O302" s="7" t="s">
        <v>1150</v>
      </c>
      <c r="P302" s="7" t="s">
        <v>1183</v>
      </c>
      <c r="Q302" s="7" t="s">
        <v>1152</v>
      </c>
      <c r="R302" s="8"/>
      <c r="S302" s="12"/>
      <c r="T302" s="12"/>
    </row>
    <row r="303" customFormat="false" ht="23.85" hidden="false" customHeight="false" outlineLevel="0" collapsed="false">
      <c r="A303" s="7" t="s">
        <v>2045</v>
      </c>
      <c r="B303" s="7" t="s">
        <v>182</v>
      </c>
      <c r="C303" s="7" t="s">
        <v>202</v>
      </c>
      <c r="D303" s="7" t="s">
        <v>2046</v>
      </c>
      <c r="E303" s="7" t="s">
        <v>1179</v>
      </c>
      <c r="F303" s="7" t="s">
        <v>943</v>
      </c>
      <c r="G303" s="7" t="s">
        <v>1424</v>
      </c>
      <c r="H303" s="8" t="s">
        <v>204</v>
      </c>
      <c r="I303" s="8" t="s">
        <v>205</v>
      </c>
      <c r="J303" s="7" t="s">
        <v>133</v>
      </c>
      <c r="K303" s="7" t="s">
        <v>2047</v>
      </c>
      <c r="L303" s="7" t="n">
        <v>3</v>
      </c>
      <c r="M303" s="7" t="s">
        <v>203</v>
      </c>
      <c r="N303" s="7"/>
      <c r="O303" s="7" t="s">
        <v>1150</v>
      </c>
      <c r="P303" s="7" t="s">
        <v>1183</v>
      </c>
      <c r="Q303" s="7" t="s">
        <v>1152</v>
      </c>
      <c r="R303" s="8"/>
      <c r="S303" s="12"/>
      <c r="T303" s="12"/>
    </row>
    <row r="304" customFormat="false" ht="23.85" hidden="false" customHeight="false" outlineLevel="0" collapsed="false">
      <c r="A304" s="7" t="s">
        <v>2048</v>
      </c>
      <c r="B304" s="7" t="s">
        <v>182</v>
      </c>
      <c r="C304" s="7" t="s">
        <v>202</v>
      </c>
      <c r="D304" s="7" t="s">
        <v>2049</v>
      </c>
      <c r="E304" s="7" t="s">
        <v>1179</v>
      </c>
      <c r="F304" s="7" t="s">
        <v>943</v>
      </c>
      <c r="G304" s="7" t="s">
        <v>1424</v>
      </c>
      <c r="H304" s="8" t="s">
        <v>204</v>
      </c>
      <c r="I304" s="8" t="s">
        <v>205</v>
      </c>
      <c r="J304" s="7" t="s">
        <v>133</v>
      </c>
      <c r="K304" s="7" t="s">
        <v>2050</v>
      </c>
      <c r="L304" s="7" t="n">
        <v>3</v>
      </c>
      <c r="M304" s="7" t="s">
        <v>203</v>
      </c>
      <c r="N304" s="7"/>
      <c r="O304" s="7" t="s">
        <v>1150</v>
      </c>
      <c r="P304" s="7" t="s">
        <v>1183</v>
      </c>
      <c r="Q304" s="7" t="s">
        <v>1152</v>
      </c>
      <c r="R304" s="8"/>
      <c r="S304" s="12"/>
      <c r="T304" s="12"/>
    </row>
    <row r="305" customFormat="false" ht="23.85" hidden="false" customHeight="false" outlineLevel="0" collapsed="false">
      <c r="A305" s="7" t="s">
        <v>2051</v>
      </c>
      <c r="B305" s="7" t="s">
        <v>182</v>
      </c>
      <c r="C305" s="7" t="s">
        <v>202</v>
      </c>
      <c r="D305" s="7" t="s">
        <v>2052</v>
      </c>
      <c r="E305" s="7" t="s">
        <v>1179</v>
      </c>
      <c r="F305" s="7" t="s">
        <v>943</v>
      </c>
      <c r="G305" s="7" t="s">
        <v>1424</v>
      </c>
      <c r="H305" s="8" t="s">
        <v>204</v>
      </c>
      <c r="I305" s="8" t="s">
        <v>205</v>
      </c>
      <c r="J305" s="7" t="s">
        <v>133</v>
      </c>
      <c r="K305" s="7" t="s">
        <v>2053</v>
      </c>
      <c r="L305" s="7" t="n">
        <v>3</v>
      </c>
      <c r="M305" s="7" t="s">
        <v>203</v>
      </c>
      <c r="N305" s="7"/>
      <c r="O305" s="7" t="s">
        <v>1150</v>
      </c>
      <c r="P305" s="7" t="s">
        <v>1183</v>
      </c>
      <c r="Q305" s="7" t="s">
        <v>1152</v>
      </c>
      <c r="R305" s="8"/>
      <c r="S305" s="12"/>
      <c r="T305" s="12"/>
    </row>
    <row r="306" customFormat="false" ht="35.05" hidden="false" customHeight="false" outlineLevel="0" collapsed="false">
      <c r="A306" s="7" t="s">
        <v>2054</v>
      </c>
      <c r="B306" s="7" t="s">
        <v>182</v>
      </c>
      <c r="C306" s="7" t="s">
        <v>206</v>
      </c>
      <c r="D306" s="7" t="s">
        <v>206</v>
      </c>
      <c r="E306" s="7" t="s">
        <v>1137</v>
      </c>
      <c r="F306" s="7" t="s">
        <v>928</v>
      </c>
      <c r="G306" s="7" t="s">
        <v>1148</v>
      </c>
      <c r="H306" s="8" t="s">
        <v>2055</v>
      </c>
      <c r="I306" s="8" t="s">
        <v>209</v>
      </c>
      <c r="J306" s="7" t="s">
        <v>87</v>
      </c>
      <c r="K306" s="7" t="s">
        <v>207</v>
      </c>
      <c r="L306" s="7" t="n">
        <v>2</v>
      </c>
      <c r="M306" s="7" t="s">
        <v>183</v>
      </c>
      <c r="N306" s="7"/>
      <c r="O306" s="7" t="s">
        <v>1150</v>
      </c>
      <c r="P306" s="7" t="s">
        <v>1151</v>
      </c>
      <c r="Q306" s="7" t="s">
        <v>1152</v>
      </c>
      <c r="R306" s="8"/>
      <c r="S306" s="12"/>
      <c r="T306" s="12"/>
    </row>
    <row r="307" customFormat="false" ht="35.05" hidden="false" customHeight="false" outlineLevel="0" collapsed="false">
      <c r="A307" s="7" t="s">
        <v>2056</v>
      </c>
      <c r="B307" s="7" t="s">
        <v>182</v>
      </c>
      <c r="C307" s="7" t="s">
        <v>206</v>
      </c>
      <c r="D307" s="7" t="s">
        <v>2057</v>
      </c>
      <c r="E307" s="7" t="s">
        <v>1179</v>
      </c>
      <c r="F307" s="7" t="s">
        <v>943</v>
      </c>
      <c r="G307" s="7" t="s">
        <v>1424</v>
      </c>
      <c r="H307" s="8" t="s">
        <v>2058</v>
      </c>
      <c r="I307" s="8" t="s">
        <v>209</v>
      </c>
      <c r="J307" s="7" t="s">
        <v>133</v>
      </c>
      <c r="K307" s="7" t="s">
        <v>2059</v>
      </c>
      <c r="L307" s="7" t="n">
        <v>3</v>
      </c>
      <c r="M307" s="7" t="s">
        <v>207</v>
      </c>
      <c r="N307" s="7"/>
      <c r="O307" s="7" t="s">
        <v>1150</v>
      </c>
      <c r="P307" s="7" t="s">
        <v>1151</v>
      </c>
      <c r="Q307" s="7" t="s">
        <v>1184</v>
      </c>
      <c r="R307" s="8"/>
      <c r="S307" s="12"/>
      <c r="T307" s="12"/>
    </row>
    <row r="308" customFormat="false" ht="35.05" hidden="false" customHeight="false" outlineLevel="0" collapsed="false">
      <c r="A308" s="7" t="s">
        <v>2060</v>
      </c>
      <c r="B308" s="7" t="s">
        <v>182</v>
      </c>
      <c r="C308" s="7" t="s">
        <v>206</v>
      </c>
      <c r="D308" s="7" t="s">
        <v>2061</v>
      </c>
      <c r="E308" s="7" t="s">
        <v>1179</v>
      </c>
      <c r="F308" s="7" t="s">
        <v>943</v>
      </c>
      <c r="G308" s="7" t="s">
        <v>1424</v>
      </c>
      <c r="H308" s="8" t="s">
        <v>208</v>
      </c>
      <c r="I308" s="8" t="s">
        <v>209</v>
      </c>
      <c r="J308" s="7" t="s">
        <v>133</v>
      </c>
      <c r="K308" s="7" t="s">
        <v>2062</v>
      </c>
      <c r="L308" s="7" t="n">
        <v>3</v>
      </c>
      <c r="M308" s="7" t="s">
        <v>207</v>
      </c>
      <c r="N308" s="7"/>
      <c r="O308" s="7" t="s">
        <v>1150</v>
      </c>
      <c r="P308" s="7" t="s">
        <v>1183</v>
      </c>
      <c r="Q308" s="7" t="s">
        <v>1152</v>
      </c>
      <c r="R308" s="8"/>
      <c r="S308" s="12"/>
      <c r="T308" s="12"/>
    </row>
    <row r="309" customFormat="false" ht="35.05" hidden="false" customHeight="false" outlineLevel="0" collapsed="false">
      <c r="A309" s="7" t="s">
        <v>2063</v>
      </c>
      <c r="B309" s="7" t="s">
        <v>182</v>
      </c>
      <c r="C309" s="7" t="s">
        <v>206</v>
      </c>
      <c r="D309" s="7" t="s">
        <v>2064</v>
      </c>
      <c r="E309" s="7" t="s">
        <v>1179</v>
      </c>
      <c r="F309" s="7" t="s">
        <v>943</v>
      </c>
      <c r="G309" s="7" t="s">
        <v>1424</v>
      </c>
      <c r="H309" s="8" t="s">
        <v>208</v>
      </c>
      <c r="I309" s="8" t="s">
        <v>209</v>
      </c>
      <c r="J309" s="7" t="s">
        <v>133</v>
      </c>
      <c r="K309" s="7" t="s">
        <v>2065</v>
      </c>
      <c r="L309" s="7" t="n">
        <v>3</v>
      </c>
      <c r="M309" s="7" t="s">
        <v>207</v>
      </c>
      <c r="N309" s="7"/>
      <c r="O309" s="7" t="s">
        <v>1150</v>
      </c>
      <c r="P309" s="7" t="s">
        <v>1183</v>
      </c>
      <c r="Q309" s="7" t="s">
        <v>1152</v>
      </c>
      <c r="R309" s="8"/>
      <c r="S309" s="12"/>
      <c r="T309" s="12"/>
    </row>
    <row r="310" customFormat="false" ht="35.05" hidden="false" customHeight="false" outlineLevel="0" collapsed="false">
      <c r="A310" s="7" t="s">
        <v>2066</v>
      </c>
      <c r="B310" s="7" t="s">
        <v>182</v>
      </c>
      <c r="C310" s="7" t="s">
        <v>206</v>
      </c>
      <c r="D310" s="7" t="s">
        <v>2067</v>
      </c>
      <c r="E310" s="7" t="s">
        <v>1179</v>
      </c>
      <c r="F310" s="7" t="s">
        <v>943</v>
      </c>
      <c r="G310" s="7" t="s">
        <v>1424</v>
      </c>
      <c r="H310" s="8" t="s">
        <v>2058</v>
      </c>
      <c r="I310" s="8" t="s">
        <v>209</v>
      </c>
      <c r="J310" s="7" t="s">
        <v>133</v>
      </c>
      <c r="K310" s="7" t="s">
        <v>2068</v>
      </c>
      <c r="L310" s="7" t="n">
        <v>3</v>
      </c>
      <c r="M310" s="7" t="s">
        <v>207</v>
      </c>
      <c r="N310" s="7"/>
      <c r="O310" s="7" t="s">
        <v>1150</v>
      </c>
      <c r="P310" s="7" t="s">
        <v>1183</v>
      </c>
      <c r="Q310" s="7" t="s">
        <v>1152</v>
      </c>
      <c r="R310" s="8"/>
      <c r="S310" s="12"/>
      <c r="T310" s="12"/>
    </row>
    <row r="311" customFormat="false" ht="35.05" hidden="false" customHeight="false" outlineLevel="0" collapsed="false">
      <c r="A311" s="7" t="s">
        <v>2069</v>
      </c>
      <c r="B311" s="7" t="s">
        <v>182</v>
      </c>
      <c r="C311" s="7" t="s">
        <v>206</v>
      </c>
      <c r="D311" s="7" t="s">
        <v>2070</v>
      </c>
      <c r="E311" s="7" t="s">
        <v>1179</v>
      </c>
      <c r="F311" s="7" t="s">
        <v>943</v>
      </c>
      <c r="G311" s="7" t="s">
        <v>1424</v>
      </c>
      <c r="H311" s="8" t="s">
        <v>208</v>
      </c>
      <c r="I311" s="8" t="s">
        <v>209</v>
      </c>
      <c r="J311" s="7" t="s">
        <v>133</v>
      </c>
      <c r="K311" s="7" t="s">
        <v>2071</v>
      </c>
      <c r="L311" s="7" t="n">
        <v>3</v>
      </c>
      <c r="M311" s="7" t="s">
        <v>207</v>
      </c>
      <c r="N311" s="7"/>
      <c r="O311" s="7" t="s">
        <v>1150</v>
      </c>
      <c r="P311" s="7" t="s">
        <v>1183</v>
      </c>
      <c r="Q311" s="7" t="s">
        <v>1152</v>
      </c>
      <c r="R311" s="8"/>
      <c r="S311" s="12"/>
      <c r="T311" s="12"/>
    </row>
    <row r="312" customFormat="false" ht="35.05" hidden="false" customHeight="false" outlineLevel="0" collapsed="false">
      <c r="A312" s="7" t="s">
        <v>2072</v>
      </c>
      <c r="B312" s="7" t="s">
        <v>182</v>
      </c>
      <c r="C312" s="7" t="s">
        <v>206</v>
      </c>
      <c r="D312" s="7" t="s">
        <v>2073</v>
      </c>
      <c r="E312" s="7" t="s">
        <v>1179</v>
      </c>
      <c r="F312" s="7" t="s">
        <v>943</v>
      </c>
      <c r="G312" s="7" t="s">
        <v>1424</v>
      </c>
      <c r="H312" s="8" t="s">
        <v>208</v>
      </c>
      <c r="I312" s="8" t="s">
        <v>209</v>
      </c>
      <c r="J312" s="7" t="s">
        <v>133</v>
      </c>
      <c r="K312" s="7" t="s">
        <v>2074</v>
      </c>
      <c r="L312" s="7" t="n">
        <v>3</v>
      </c>
      <c r="M312" s="7" t="s">
        <v>207</v>
      </c>
      <c r="N312" s="7"/>
      <c r="O312" s="7" t="s">
        <v>1150</v>
      </c>
      <c r="P312" s="7" t="s">
        <v>1183</v>
      </c>
      <c r="Q312" s="7" t="s">
        <v>1152</v>
      </c>
      <c r="R312" s="8"/>
      <c r="S312" s="12"/>
      <c r="T312" s="12"/>
    </row>
    <row r="313" customFormat="false" ht="35.05" hidden="false" customHeight="false" outlineLevel="0" collapsed="false">
      <c r="A313" s="7" t="s">
        <v>2075</v>
      </c>
      <c r="B313" s="7" t="s">
        <v>182</v>
      </c>
      <c r="C313" s="7" t="s">
        <v>210</v>
      </c>
      <c r="D313" s="7" t="s">
        <v>210</v>
      </c>
      <c r="E313" s="7" t="s">
        <v>1137</v>
      </c>
      <c r="F313" s="7" t="s">
        <v>928</v>
      </c>
      <c r="G313" s="7" t="s">
        <v>1148</v>
      </c>
      <c r="H313" s="8" t="s">
        <v>2076</v>
      </c>
      <c r="I313" s="8" t="s">
        <v>197</v>
      </c>
      <c r="J313" s="7" t="s">
        <v>87</v>
      </c>
      <c r="K313" s="7" t="s">
        <v>211</v>
      </c>
      <c r="L313" s="7" t="n">
        <v>2</v>
      </c>
      <c r="M313" s="7" t="s">
        <v>183</v>
      </c>
      <c r="N313" s="7"/>
      <c r="O313" s="7" t="s">
        <v>1421</v>
      </c>
      <c r="P313" s="7" t="s">
        <v>1480</v>
      </c>
      <c r="Q313" s="7" t="s">
        <v>1152</v>
      </c>
      <c r="R313" s="8"/>
      <c r="S313" s="12"/>
      <c r="T313" s="12"/>
    </row>
    <row r="314" customFormat="false" ht="23.85" hidden="false" customHeight="false" outlineLevel="0" collapsed="false">
      <c r="A314" s="7" t="s">
        <v>2077</v>
      </c>
      <c r="B314" s="7" t="s">
        <v>182</v>
      </c>
      <c r="C314" s="7" t="s">
        <v>210</v>
      </c>
      <c r="D314" s="7" t="s">
        <v>2078</v>
      </c>
      <c r="E314" s="7" t="s">
        <v>1179</v>
      </c>
      <c r="F314" s="7" t="s">
        <v>943</v>
      </c>
      <c r="G314" s="7" t="s">
        <v>1424</v>
      </c>
      <c r="H314" s="8" t="s">
        <v>212</v>
      </c>
      <c r="I314" s="8" t="s">
        <v>197</v>
      </c>
      <c r="J314" s="7" t="s">
        <v>133</v>
      </c>
      <c r="K314" s="7" t="s">
        <v>2079</v>
      </c>
      <c r="L314" s="7" t="n">
        <v>3</v>
      </c>
      <c r="M314" s="7" t="s">
        <v>211</v>
      </c>
      <c r="N314" s="7"/>
      <c r="O314" s="7" t="s">
        <v>1421</v>
      </c>
      <c r="P314" s="7" t="s">
        <v>1480</v>
      </c>
      <c r="Q314" s="7" t="s">
        <v>1152</v>
      </c>
      <c r="R314" s="8"/>
      <c r="S314" s="12"/>
      <c r="T314" s="12"/>
    </row>
    <row r="315" customFormat="false" ht="35.05" hidden="false" customHeight="false" outlineLevel="0" collapsed="false">
      <c r="A315" s="7" t="s">
        <v>2080</v>
      </c>
      <c r="B315" s="7" t="s">
        <v>182</v>
      </c>
      <c r="C315" s="7" t="s">
        <v>210</v>
      </c>
      <c r="D315" s="7" t="s">
        <v>2081</v>
      </c>
      <c r="E315" s="7" t="s">
        <v>1179</v>
      </c>
      <c r="F315" s="7" t="s">
        <v>943</v>
      </c>
      <c r="G315" s="7" t="s">
        <v>1424</v>
      </c>
      <c r="H315" s="8" t="s">
        <v>212</v>
      </c>
      <c r="I315" s="8" t="s">
        <v>197</v>
      </c>
      <c r="J315" s="7" t="s">
        <v>949</v>
      </c>
      <c r="K315" s="7" t="s">
        <v>2082</v>
      </c>
      <c r="L315" s="7" t="s">
        <v>952</v>
      </c>
      <c r="M315" s="7" t="s">
        <v>2079</v>
      </c>
      <c r="N315" s="7" t="s">
        <v>2078</v>
      </c>
      <c r="O315" s="7" t="s">
        <v>1421</v>
      </c>
      <c r="P315" s="7" t="s">
        <v>1480</v>
      </c>
      <c r="Q315" s="7" t="s">
        <v>1152</v>
      </c>
      <c r="R315" s="8" t="s">
        <v>1185</v>
      </c>
      <c r="S315" s="12"/>
      <c r="T315" s="12"/>
    </row>
    <row r="316" customFormat="false" ht="23.85" hidden="false" customHeight="false" outlineLevel="0" collapsed="false">
      <c r="A316" s="7" t="s">
        <v>2083</v>
      </c>
      <c r="B316" s="7" t="s">
        <v>182</v>
      </c>
      <c r="C316" s="7" t="s">
        <v>210</v>
      </c>
      <c r="D316" s="7" t="s">
        <v>2084</v>
      </c>
      <c r="E316" s="7" t="s">
        <v>1179</v>
      </c>
      <c r="F316" s="7" t="s">
        <v>943</v>
      </c>
      <c r="G316" s="7" t="s">
        <v>1424</v>
      </c>
      <c r="H316" s="8" t="s">
        <v>212</v>
      </c>
      <c r="I316" s="8" t="s">
        <v>197</v>
      </c>
      <c r="J316" s="7" t="s">
        <v>133</v>
      </c>
      <c r="K316" s="7" t="s">
        <v>2085</v>
      </c>
      <c r="L316" s="7" t="n">
        <v>3</v>
      </c>
      <c r="M316" s="7" t="s">
        <v>211</v>
      </c>
      <c r="N316" s="7"/>
      <c r="O316" s="7" t="s">
        <v>1421</v>
      </c>
      <c r="P316" s="7" t="s">
        <v>1480</v>
      </c>
      <c r="Q316" s="7" t="s">
        <v>1152</v>
      </c>
      <c r="R316" s="8"/>
      <c r="S316" s="12"/>
      <c r="T316" s="12"/>
    </row>
    <row r="317" customFormat="false" ht="23.85" hidden="false" customHeight="false" outlineLevel="0" collapsed="false">
      <c r="A317" s="7" t="s">
        <v>2086</v>
      </c>
      <c r="B317" s="7" t="s">
        <v>182</v>
      </c>
      <c r="C317" s="7" t="s">
        <v>210</v>
      </c>
      <c r="D317" s="7" t="s">
        <v>2087</v>
      </c>
      <c r="E317" s="7" t="s">
        <v>1179</v>
      </c>
      <c r="F317" s="7" t="s">
        <v>943</v>
      </c>
      <c r="G317" s="7" t="s">
        <v>1424</v>
      </c>
      <c r="H317" s="8" t="s">
        <v>212</v>
      </c>
      <c r="I317" s="8" t="s">
        <v>197</v>
      </c>
      <c r="J317" s="7" t="s">
        <v>133</v>
      </c>
      <c r="K317" s="7" t="s">
        <v>2088</v>
      </c>
      <c r="L317" s="7" t="n">
        <v>3</v>
      </c>
      <c r="M317" s="7" t="s">
        <v>211</v>
      </c>
      <c r="N317" s="7"/>
      <c r="O317" s="7" t="s">
        <v>1421</v>
      </c>
      <c r="P317" s="7" t="s">
        <v>1480</v>
      </c>
      <c r="Q317" s="7" t="s">
        <v>1152</v>
      </c>
      <c r="R317" s="8"/>
      <c r="S317" s="12"/>
      <c r="T317" s="12"/>
    </row>
    <row r="318" customFormat="false" ht="23.85" hidden="false" customHeight="false" outlineLevel="0" collapsed="false">
      <c r="A318" s="7" t="s">
        <v>2089</v>
      </c>
      <c r="B318" s="7" t="s">
        <v>182</v>
      </c>
      <c r="C318" s="7" t="s">
        <v>210</v>
      </c>
      <c r="D318" s="7" t="s">
        <v>2090</v>
      </c>
      <c r="E318" s="7" t="s">
        <v>1179</v>
      </c>
      <c r="F318" s="7" t="s">
        <v>943</v>
      </c>
      <c r="G318" s="7" t="s">
        <v>1424</v>
      </c>
      <c r="H318" s="8" t="s">
        <v>212</v>
      </c>
      <c r="I318" s="8" t="s">
        <v>197</v>
      </c>
      <c r="J318" s="7" t="s">
        <v>133</v>
      </c>
      <c r="K318" s="7" t="s">
        <v>2091</v>
      </c>
      <c r="L318" s="7" t="n">
        <v>3</v>
      </c>
      <c r="M318" s="7" t="s">
        <v>211</v>
      </c>
      <c r="N318" s="7"/>
      <c r="O318" s="7" t="s">
        <v>1421</v>
      </c>
      <c r="P318" s="7" t="s">
        <v>1480</v>
      </c>
      <c r="Q318" s="7" t="s">
        <v>1152</v>
      </c>
      <c r="R318" s="8"/>
      <c r="S318" s="12"/>
      <c r="T318" s="12"/>
    </row>
    <row r="319" customFormat="false" ht="23.85" hidden="false" customHeight="false" outlineLevel="0" collapsed="false">
      <c r="A319" s="7" t="s">
        <v>2092</v>
      </c>
      <c r="B319" s="7" t="s">
        <v>182</v>
      </c>
      <c r="C319" s="7" t="s">
        <v>210</v>
      </c>
      <c r="D319" s="7" t="s">
        <v>2093</v>
      </c>
      <c r="E319" s="7" t="s">
        <v>1179</v>
      </c>
      <c r="F319" s="7" t="s">
        <v>943</v>
      </c>
      <c r="G319" s="7" t="s">
        <v>1424</v>
      </c>
      <c r="H319" s="8" t="s">
        <v>212</v>
      </c>
      <c r="I319" s="8" t="s">
        <v>197</v>
      </c>
      <c r="J319" s="7" t="s">
        <v>133</v>
      </c>
      <c r="K319" s="7" t="s">
        <v>2094</v>
      </c>
      <c r="L319" s="7" t="n">
        <v>3</v>
      </c>
      <c r="M319" s="7" t="s">
        <v>211</v>
      </c>
      <c r="N319" s="7"/>
      <c r="O319" s="7" t="s">
        <v>1421</v>
      </c>
      <c r="P319" s="7" t="s">
        <v>1480</v>
      </c>
      <c r="Q319" s="7" t="s">
        <v>1152</v>
      </c>
      <c r="R319" s="8"/>
      <c r="S319" s="12"/>
      <c r="T319" s="12"/>
    </row>
    <row r="320" customFormat="false" ht="23.85" hidden="false" customHeight="false" outlineLevel="0" collapsed="false">
      <c r="A320" s="7" t="s">
        <v>2095</v>
      </c>
      <c r="B320" s="7" t="s">
        <v>182</v>
      </c>
      <c r="C320" s="7" t="s">
        <v>210</v>
      </c>
      <c r="D320" s="7" t="s">
        <v>2096</v>
      </c>
      <c r="E320" s="7" t="s">
        <v>1179</v>
      </c>
      <c r="F320" s="7" t="s">
        <v>943</v>
      </c>
      <c r="G320" s="7" t="s">
        <v>1424</v>
      </c>
      <c r="H320" s="8" t="s">
        <v>212</v>
      </c>
      <c r="I320" s="8" t="s">
        <v>197</v>
      </c>
      <c r="J320" s="7" t="s">
        <v>133</v>
      </c>
      <c r="K320" s="7" t="s">
        <v>2097</v>
      </c>
      <c r="L320" s="7" t="n">
        <v>3</v>
      </c>
      <c r="M320" s="7" t="s">
        <v>211</v>
      </c>
      <c r="N320" s="7"/>
      <c r="O320" s="7" t="s">
        <v>1421</v>
      </c>
      <c r="P320" s="7" t="s">
        <v>1480</v>
      </c>
      <c r="Q320" s="7" t="s">
        <v>1152</v>
      </c>
      <c r="R320" s="8"/>
      <c r="S320" s="12"/>
      <c r="T320" s="12"/>
    </row>
    <row r="321" customFormat="false" ht="23.85" hidden="false" customHeight="false" outlineLevel="0" collapsed="false">
      <c r="A321" s="7" t="s">
        <v>2098</v>
      </c>
      <c r="B321" s="7" t="s">
        <v>182</v>
      </c>
      <c r="C321" s="7" t="s">
        <v>210</v>
      </c>
      <c r="D321" s="7" t="s">
        <v>2099</v>
      </c>
      <c r="E321" s="7" t="s">
        <v>1179</v>
      </c>
      <c r="F321" s="7" t="s">
        <v>943</v>
      </c>
      <c r="G321" s="7" t="s">
        <v>1424</v>
      </c>
      <c r="H321" s="8" t="s">
        <v>212</v>
      </c>
      <c r="I321" s="8" t="s">
        <v>197</v>
      </c>
      <c r="J321" s="7" t="s">
        <v>133</v>
      </c>
      <c r="K321" s="7" t="s">
        <v>2100</v>
      </c>
      <c r="L321" s="7" t="n">
        <v>3</v>
      </c>
      <c r="M321" s="7" t="s">
        <v>211</v>
      </c>
      <c r="N321" s="7"/>
      <c r="O321" s="7" t="s">
        <v>1421</v>
      </c>
      <c r="P321" s="7" t="s">
        <v>1480</v>
      </c>
      <c r="Q321" s="7" t="s">
        <v>1152</v>
      </c>
      <c r="R321" s="8"/>
      <c r="S321" s="12"/>
      <c r="T321" s="12"/>
    </row>
    <row r="322" customFormat="false" ht="35.05" hidden="false" customHeight="false" outlineLevel="0" collapsed="false">
      <c r="A322" s="7" t="s">
        <v>2101</v>
      </c>
      <c r="B322" s="7" t="s">
        <v>182</v>
      </c>
      <c r="C322" s="7" t="s">
        <v>213</v>
      </c>
      <c r="D322" s="7" t="s">
        <v>213</v>
      </c>
      <c r="E322" s="7" t="s">
        <v>1137</v>
      </c>
      <c r="F322" s="7" t="s">
        <v>928</v>
      </c>
      <c r="G322" s="7" t="s">
        <v>1148</v>
      </c>
      <c r="H322" s="8" t="s">
        <v>2102</v>
      </c>
      <c r="I322" s="8" t="s">
        <v>216</v>
      </c>
      <c r="J322" s="7" t="s">
        <v>87</v>
      </c>
      <c r="K322" s="7" t="s">
        <v>214</v>
      </c>
      <c r="L322" s="7" t="n">
        <v>2</v>
      </c>
      <c r="M322" s="7" t="s">
        <v>183</v>
      </c>
      <c r="N322" s="7"/>
      <c r="O322" s="7" t="s">
        <v>1150</v>
      </c>
      <c r="P322" s="7" t="s">
        <v>1183</v>
      </c>
      <c r="Q322" s="7" t="s">
        <v>1152</v>
      </c>
      <c r="R322" s="8"/>
      <c r="S322" s="12"/>
      <c r="T322" s="12"/>
    </row>
    <row r="323" customFormat="false" ht="35.05" hidden="false" customHeight="false" outlineLevel="0" collapsed="false">
      <c r="A323" s="7" t="s">
        <v>2103</v>
      </c>
      <c r="B323" s="7" t="s">
        <v>182</v>
      </c>
      <c r="C323" s="7" t="s">
        <v>213</v>
      </c>
      <c r="D323" s="7" t="s">
        <v>2104</v>
      </c>
      <c r="E323" s="7" t="s">
        <v>1179</v>
      </c>
      <c r="F323" s="7" t="s">
        <v>943</v>
      </c>
      <c r="G323" s="7" t="s">
        <v>1424</v>
      </c>
      <c r="H323" s="8" t="s">
        <v>215</v>
      </c>
      <c r="I323" s="8" t="s">
        <v>216</v>
      </c>
      <c r="J323" s="7" t="s">
        <v>133</v>
      </c>
      <c r="K323" s="7" t="s">
        <v>2105</v>
      </c>
      <c r="L323" s="7" t="n">
        <v>3</v>
      </c>
      <c r="M323" s="7" t="s">
        <v>214</v>
      </c>
      <c r="N323" s="7"/>
      <c r="O323" s="7" t="s">
        <v>1150</v>
      </c>
      <c r="P323" s="7" t="s">
        <v>1183</v>
      </c>
      <c r="Q323" s="7" t="s">
        <v>1152</v>
      </c>
      <c r="R323" s="8"/>
      <c r="S323" s="12"/>
      <c r="T323" s="12"/>
    </row>
    <row r="324" customFormat="false" ht="35.05" hidden="false" customHeight="false" outlineLevel="0" collapsed="false">
      <c r="A324" s="7" t="s">
        <v>2106</v>
      </c>
      <c r="B324" s="7" t="s">
        <v>182</v>
      </c>
      <c r="C324" s="7" t="s">
        <v>213</v>
      </c>
      <c r="D324" s="7" t="s">
        <v>2107</v>
      </c>
      <c r="E324" s="7" t="s">
        <v>1179</v>
      </c>
      <c r="F324" s="7" t="s">
        <v>943</v>
      </c>
      <c r="G324" s="7" t="s">
        <v>1424</v>
      </c>
      <c r="H324" s="8" t="s">
        <v>215</v>
      </c>
      <c r="I324" s="8" t="s">
        <v>216</v>
      </c>
      <c r="J324" s="7" t="s">
        <v>133</v>
      </c>
      <c r="K324" s="7" t="s">
        <v>2108</v>
      </c>
      <c r="L324" s="7" t="n">
        <v>3</v>
      </c>
      <c r="M324" s="7" t="s">
        <v>214</v>
      </c>
      <c r="N324" s="7"/>
      <c r="O324" s="7" t="s">
        <v>1150</v>
      </c>
      <c r="P324" s="7" t="s">
        <v>1183</v>
      </c>
      <c r="Q324" s="7" t="s">
        <v>1152</v>
      </c>
      <c r="R324" s="8"/>
      <c r="S324" s="12"/>
      <c r="T324" s="12"/>
    </row>
    <row r="325" customFormat="false" ht="35.05" hidden="false" customHeight="false" outlineLevel="0" collapsed="false">
      <c r="A325" s="7" t="s">
        <v>2109</v>
      </c>
      <c r="B325" s="7" t="s">
        <v>182</v>
      </c>
      <c r="C325" s="7" t="s">
        <v>213</v>
      </c>
      <c r="D325" s="7" t="s">
        <v>2110</v>
      </c>
      <c r="E325" s="7" t="s">
        <v>1179</v>
      </c>
      <c r="F325" s="7" t="s">
        <v>943</v>
      </c>
      <c r="G325" s="7" t="s">
        <v>1424</v>
      </c>
      <c r="H325" s="8" t="s">
        <v>215</v>
      </c>
      <c r="I325" s="8" t="s">
        <v>216</v>
      </c>
      <c r="J325" s="7" t="s">
        <v>133</v>
      </c>
      <c r="K325" s="7" t="s">
        <v>2111</v>
      </c>
      <c r="L325" s="7" t="n">
        <v>3</v>
      </c>
      <c r="M325" s="7" t="s">
        <v>214</v>
      </c>
      <c r="N325" s="7"/>
      <c r="O325" s="7" t="s">
        <v>1150</v>
      </c>
      <c r="P325" s="7" t="s">
        <v>1183</v>
      </c>
      <c r="Q325" s="7" t="s">
        <v>1152</v>
      </c>
      <c r="R325" s="8"/>
      <c r="S325" s="12"/>
      <c r="T325" s="12"/>
    </row>
    <row r="326" customFormat="false" ht="35.05" hidden="false" customHeight="false" outlineLevel="0" collapsed="false">
      <c r="A326" s="7" t="s">
        <v>2112</v>
      </c>
      <c r="B326" s="7" t="s">
        <v>182</v>
      </c>
      <c r="C326" s="7" t="s">
        <v>213</v>
      </c>
      <c r="D326" s="7" t="s">
        <v>2113</v>
      </c>
      <c r="E326" s="7" t="s">
        <v>1179</v>
      </c>
      <c r="F326" s="7" t="s">
        <v>943</v>
      </c>
      <c r="G326" s="7" t="s">
        <v>1424</v>
      </c>
      <c r="H326" s="8" t="s">
        <v>215</v>
      </c>
      <c r="I326" s="8" t="s">
        <v>216</v>
      </c>
      <c r="J326" s="7" t="s">
        <v>133</v>
      </c>
      <c r="K326" s="7" t="s">
        <v>2114</v>
      </c>
      <c r="L326" s="7" t="n">
        <v>3</v>
      </c>
      <c r="M326" s="7" t="s">
        <v>214</v>
      </c>
      <c r="N326" s="7"/>
      <c r="O326" s="7" t="s">
        <v>1150</v>
      </c>
      <c r="P326" s="7" t="s">
        <v>1183</v>
      </c>
      <c r="Q326" s="7" t="s">
        <v>1152</v>
      </c>
      <c r="R326" s="8"/>
      <c r="S326" s="12"/>
      <c r="T326" s="12"/>
    </row>
    <row r="327" customFormat="false" ht="35.05" hidden="false" customHeight="false" outlineLevel="0" collapsed="false">
      <c r="A327" s="7" t="s">
        <v>2115</v>
      </c>
      <c r="B327" s="7" t="s">
        <v>182</v>
      </c>
      <c r="C327" s="7" t="s">
        <v>213</v>
      </c>
      <c r="D327" s="7" t="s">
        <v>2116</v>
      </c>
      <c r="E327" s="7" t="s">
        <v>1179</v>
      </c>
      <c r="F327" s="7" t="s">
        <v>943</v>
      </c>
      <c r="G327" s="7" t="s">
        <v>1424</v>
      </c>
      <c r="H327" s="8" t="s">
        <v>215</v>
      </c>
      <c r="I327" s="8" t="s">
        <v>216</v>
      </c>
      <c r="J327" s="7" t="s">
        <v>133</v>
      </c>
      <c r="K327" s="7" t="s">
        <v>2117</v>
      </c>
      <c r="L327" s="7" t="n">
        <v>3</v>
      </c>
      <c r="M327" s="7" t="s">
        <v>214</v>
      </c>
      <c r="N327" s="7"/>
      <c r="O327" s="7" t="s">
        <v>1150</v>
      </c>
      <c r="P327" s="7" t="s">
        <v>1183</v>
      </c>
      <c r="Q327" s="7" t="s">
        <v>1152</v>
      </c>
      <c r="R327" s="8"/>
      <c r="S327" s="12"/>
      <c r="T327" s="12"/>
    </row>
    <row r="328" customFormat="false" ht="35.05" hidden="false" customHeight="false" outlineLevel="0" collapsed="false">
      <c r="A328" s="7" t="s">
        <v>2118</v>
      </c>
      <c r="B328" s="7" t="s">
        <v>182</v>
      </c>
      <c r="C328" s="7" t="s">
        <v>213</v>
      </c>
      <c r="D328" s="7" t="s">
        <v>2119</v>
      </c>
      <c r="E328" s="7" t="s">
        <v>1179</v>
      </c>
      <c r="F328" s="7" t="s">
        <v>943</v>
      </c>
      <c r="G328" s="7" t="s">
        <v>1424</v>
      </c>
      <c r="H328" s="8" t="s">
        <v>2120</v>
      </c>
      <c r="I328" s="8" t="s">
        <v>216</v>
      </c>
      <c r="J328" s="7" t="s">
        <v>133</v>
      </c>
      <c r="K328" s="7" t="s">
        <v>2121</v>
      </c>
      <c r="L328" s="7" t="n">
        <v>3</v>
      </c>
      <c r="M328" s="7" t="s">
        <v>214</v>
      </c>
      <c r="N328" s="7"/>
      <c r="O328" s="7" t="s">
        <v>1150</v>
      </c>
      <c r="P328" s="7" t="s">
        <v>1183</v>
      </c>
      <c r="Q328" s="7" t="s">
        <v>1152</v>
      </c>
      <c r="R328" s="8"/>
      <c r="S328" s="12"/>
      <c r="T328" s="12"/>
    </row>
    <row r="329" customFormat="false" ht="35.05" hidden="false" customHeight="false" outlineLevel="0" collapsed="false">
      <c r="A329" s="7" t="s">
        <v>2122</v>
      </c>
      <c r="B329" s="7" t="s">
        <v>182</v>
      </c>
      <c r="C329" s="7" t="s">
        <v>213</v>
      </c>
      <c r="D329" s="7" t="s">
        <v>2123</v>
      </c>
      <c r="E329" s="7" t="s">
        <v>1179</v>
      </c>
      <c r="F329" s="7" t="s">
        <v>943</v>
      </c>
      <c r="G329" s="7" t="s">
        <v>1424</v>
      </c>
      <c r="H329" s="8" t="s">
        <v>215</v>
      </c>
      <c r="I329" s="8" t="s">
        <v>216</v>
      </c>
      <c r="J329" s="7" t="s">
        <v>133</v>
      </c>
      <c r="K329" s="7" t="s">
        <v>2124</v>
      </c>
      <c r="L329" s="7" t="n">
        <v>3</v>
      </c>
      <c r="M329" s="7" t="s">
        <v>214</v>
      </c>
      <c r="N329" s="7"/>
      <c r="O329" s="7" t="s">
        <v>1150</v>
      </c>
      <c r="P329" s="7" t="s">
        <v>1183</v>
      </c>
      <c r="Q329" s="7" t="s">
        <v>1152</v>
      </c>
      <c r="R329" s="8"/>
      <c r="S329" s="12"/>
      <c r="T329" s="12"/>
    </row>
    <row r="330" customFormat="false" ht="35.05" hidden="false" customHeight="false" outlineLevel="0" collapsed="false">
      <c r="A330" s="7" t="s">
        <v>2125</v>
      </c>
      <c r="B330" s="7" t="s">
        <v>182</v>
      </c>
      <c r="C330" s="7" t="s">
        <v>213</v>
      </c>
      <c r="D330" s="7" t="s">
        <v>2126</v>
      </c>
      <c r="E330" s="7" t="s">
        <v>1179</v>
      </c>
      <c r="F330" s="7" t="s">
        <v>943</v>
      </c>
      <c r="G330" s="7" t="s">
        <v>1424</v>
      </c>
      <c r="H330" s="8" t="s">
        <v>215</v>
      </c>
      <c r="I330" s="8" t="s">
        <v>216</v>
      </c>
      <c r="J330" s="7" t="s">
        <v>133</v>
      </c>
      <c r="K330" s="7" t="s">
        <v>2127</v>
      </c>
      <c r="L330" s="7" t="n">
        <v>3</v>
      </c>
      <c r="M330" s="7" t="s">
        <v>214</v>
      </c>
      <c r="N330" s="7"/>
      <c r="O330" s="7" t="s">
        <v>1150</v>
      </c>
      <c r="P330" s="7" t="s">
        <v>1183</v>
      </c>
      <c r="Q330" s="7" t="s">
        <v>1152</v>
      </c>
      <c r="R330" s="8"/>
      <c r="S330" s="12"/>
      <c r="T330" s="12"/>
    </row>
    <row r="331" customFormat="false" ht="35.05" hidden="false" customHeight="false" outlineLevel="0" collapsed="false">
      <c r="A331" s="7" t="s">
        <v>2128</v>
      </c>
      <c r="B331" s="7" t="s">
        <v>182</v>
      </c>
      <c r="C331" s="7" t="s">
        <v>213</v>
      </c>
      <c r="D331" s="7" t="s">
        <v>2129</v>
      </c>
      <c r="E331" s="7" t="s">
        <v>1179</v>
      </c>
      <c r="F331" s="7" t="s">
        <v>943</v>
      </c>
      <c r="G331" s="7" t="s">
        <v>1424</v>
      </c>
      <c r="H331" s="8" t="s">
        <v>215</v>
      </c>
      <c r="I331" s="8" t="s">
        <v>216</v>
      </c>
      <c r="J331" s="7" t="s">
        <v>133</v>
      </c>
      <c r="K331" s="7" t="s">
        <v>2130</v>
      </c>
      <c r="L331" s="7" t="n">
        <v>3</v>
      </c>
      <c r="M331" s="7" t="s">
        <v>214</v>
      </c>
      <c r="N331" s="7"/>
      <c r="O331" s="7" t="s">
        <v>1150</v>
      </c>
      <c r="P331" s="7" t="s">
        <v>1183</v>
      </c>
      <c r="Q331" s="7" t="s">
        <v>1152</v>
      </c>
      <c r="R331" s="8"/>
      <c r="S331" s="12"/>
      <c r="T331" s="12"/>
    </row>
    <row r="332" customFormat="false" ht="35.05" hidden="false" customHeight="false" outlineLevel="0" collapsed="false">
      <c r="A332" s="7" t="s">
        <v>2131</v>
      </c>
      <c r="B332" s="7" t="s">
        <v>182</v>
      </c>
      <c r="C332" s="7" t="s">
        <v>213</v>
      </c>
      <c r="D332" s="7" t="s">
        <v>2132</v>
      </c>
      <c r="E332" s="7" t="s">
        <v>1179</v>
      </c>
      <c r="F332" s="7" t="s">
        <v>943</v>
      </c>
      <c r="G332" s="7" t="s">
        <v>1424</v>
      </c>
      <c r="H332" s="8" t="s">
        <v>215</v>
      </c>
      <c r="I332" s="8" t="s">
        <v>216</v>
      </c>
      <c r="J332" s="7" t="s">
        <v>133</v>
      </c>
      <c r="K332" s="7" t="s">
        <v>2133</v>
      </c>
      <c r="L332" s="7" t="n">
        <v>3</v>
      </c>
      <c r="M332" s="7" t="s">
        <v>214</v>
      </c>
      <c r="N332" s="7"/>
      <c r="O332" s="7" t="s">
        <v>1150</v>
      </c>
      <c r="P332" s="7" t="s">
        <v>1183</v>
      </c>
      <c r="Q332" s="7" t="s">
        <v>1152</v>
      </c>
      <c r="R332" s="8"/>
      <c r="S332" s="12"/>
      <c r="T332" s="12"/>
    </row>
    <row r="333" customFormat="false" ht="35.05" hidden="false" customHeight="false" outlineLevel="0" collapsed="false">
      <c r="A333" s="7" t="s">
        <v>2134</v>
      </c>
      <c r="B333" s="7" t="s">
        <v>182</v>
      </c>
      <c r="C333" s="7" t="s">
        <v>213</v>
      </c>
      <c r="D333" s="7" t="s">
        <v>2135</v>
      </c>
      <c r="E333" s="7" t="s">
        <v>1179</v>
      </c>
      <c r="F333" s="7" t="s">
        <v>943</v>
      </c>
      <c r="G333" s="7" t="s">
        <v>1424</v>
      </c>
      <c r="H333" s="8" t="s">
        <v>215</v>
      </c>
      <c r="I333" s="8" t="s">
        <v>216</v>
      </c>
      <c r="J333" s="7" t="s">
        <v>133</v>
      </c>
      <c r="K333" s="7" t="s">
        <v>2136</v>
      </c>
      <c r="L333" s="7" t="n">
        <v>3</v>
      </c>
      <c r="M333" s="7" t="s">
        <v>214</v>
      </c>
      <c r="N333" s="7"/>
      <c r="O333" s="7" t="s">
        <v>1150</v>
      </c>
      <c r="P333" s="7" t="s">
        <v>1183</v>
      </c>
      <c r="Q333" s="7" t="s">
        <v>1152</v>
      </c>
      <c r="R333" s="8"/>
      <c r="S333" s="12"/>
      <c r="T333" s="12"/>
    </row>
    <row r="334" customFormat="false" ht="35.05" hidden="false" customHeight="false" outlineLevel="0" collapsed="false">
      <c r="A334" s="7" t="s">
        <v>2137</v>
      </c>
      <c r="B334" s="7" t="s">
        <v>182</v>
      </c>
      <c r="C334" s="7" t="s">
        <v>217</v>
      </c>
      <c r="D334" s="7" t="s">
        <v>217</v>
      </c>
      <c r="E334" s="7" t="s">
        <v>1137</v>
      </c>
      <c r="F334" s="7" t="s">
        <v>928</v>
      </c>
      <c r="G334" s="7" t="s">
        <v>1148</v>
      </c>
      <c r="H334" s="8" t="s">
        <v>2138</v>
      </c>
      <c r="I334" s="8" t="s">
        <v>220</v>
      </c>
      <c r="J334" s="7" t="s">
        <v>87</v>
      </c>
      <c r="K334" s="7" t="s">
        <v>218</v>
      </c>
      <c r="L334" s="7" t="n">
        <v>2</v>
      </c>
      <c r="M334" s="7" t="s">
        <v>183</v>
      </c>
      <c r="N334" s="7"/>
      <c r="O334" s="7" t="s">
        <v>1150</v>
      </c>
      <c r="P334" s="7" t="s">
        <v>1151</v>
      </c>
      <c r="Q334" s="7" t="s">
        <v>1152</v>
      </c>
      <c r="R334" s="8"/>
      <c r="S334" s="12"/>
      <c r="T334" s="12"/>
    </row>
    <row r="335" customFormat="false" ht="35.05" hidden="false" customHeight="false" outlineLevel="0" collapsed="false">
      <c r="A335" s="7" t="s">
        <v>2139</v>
      </c>
      <c r="B335" s="7" t="s">
        <v>182</v>
      </c>
      <c r="C335" s="7" t="s">
        <v>217</v>
      </c>
      <c r="D335" s="7" t="s">
        <v>2140</v>
      </c>
      <c r="E335" s="7" t="s">
        <v>1179</v>
      </c>
      <c r="F335" s="7" t="s">
        <v>943</v>
      </c>
      <c r="G335" s="7" t="s">
        <v>1424</v>
      </c>
      <c r="H335" s="8" t="s">
        <v>219</v>
      </c>
      <c r="I335" s="8" t="s">
        <v>220</v>
      </c>
      <c r="J335" s="7" t="s">
        <v>133</v>
      </c>
      <c r="K335" s="7" t="s">
        <v>2141</v>
      </c>
      <c r="L335" s="7" t="n">
        <v>3</v>
      </c>
      <c r="M335" s="7" t="s">
        <v>218</v>
      </c>
      <c r="N335" s="7"/>
      <c r="O335" s="7" t="s">
        <v>1150</v>
      </c>
      <c r="P335" s="7" t="s">
        <v>1183</v>
      </c>
      <c r="Q335" s="7" t="s">
        <v>1152</v>
      </c>
      <c r="R335" s="8"/>
      <c r="S335" s="12"/>
      <c r="T335" s="12"/>
    </row>
    <row r="336" customFormat="false" ht="35.05" hidden="false" customHeight="false" outlineLevel="0" collapsed="false">
      <c r="A336" s="7" t="s">
        <v>2142</v>
      </c>
      <c r="B336" s="7" t="s">
        <v>182</v>
      </c>
      <c r="C336" s="7" t="s">
        <v>217</v>
      </c>
      <c r="D336" s="7" t="s">
        <v>2143</v>
      </c>
      <c r="E336" s="7" t="s">
        <v>1179</v>
      </c>
      <c r="F336" s="7" t="s">
        <v>943</v>
      </c>
      <c r="G336" s="7" t="s">
        <v>1424</v>
      </c>
      <c r="H336" s="8" t="s">
        <v>219</v>
      </c>
      <c r="I336" s="8" t="s">
        <v>220</v>
      </c>
      <c r="J336" s="7" t="s">
        <v>133</v>
      </c>
      <c r="K336" s="7" t="s">
        <v>2144</v>
      </c>
      <c r="L336" s="7" t="n">
        <v>3</v>
      </c>
      <c r="M336" s="7" t="s">
        <v>218</v>
      </c>
      <c r="N336" s="7"/>
      <c r="O336" s="7" t="s">
        <v>1150</v>
      </c>
      <c r="P336" s="7" t="s">
        <v>1183</v>
      </c>
      <c r="Q336" s="7" t="s">
        <v>1152</v>
      </c>
      <c r="R336" s="8"/>
      <c r="S336" s="12"/>
      <c r="T336" s="12"/>
    </row>
    <row r="337" customFormat="false" ht="35.05" hidden="false" customHeight="false" outlineLevel="0" collapsed="false">
      <c r="A337" s="7" t="s">
        <v>2145</v>
      </c>
      <c r="B337" s="7" t="s">
        <v>182</v>
      </c>
      <c r="C337" s="7" t="s">
        <v>217</v>
      </c>
      <c r="D337" s="7" t="s">
        <v>2146</v>
      </c>
      <c r="E337" s="7" t="s">
        <v>1179</v>
      </c>
      <c r="F337" s="7" t="s">
        <v>943</v>
      </c>
      <c r="G337" s="7" t="s">
        <v>1424</v>
      </c>
      <c r="H337" s="8" t="s">
        <v>219</v>
      </c>
      <c r="I337" s="8" t="s">
        <v>220</v>
      </c>
      <c r="J337" s="7" t="s">
        <v>133</v>
      </c>
      <c r="K337" s="7" t="s">
        <v>2147</v>
      </c>
      <c r="L337" s="7" t="n">
        <v>3</v>
      </c>
      <c r="M337" s="7" t="s">
        <v>218</v>
      </c>
      <c r="N337" s="7"/>
      <c r="O337" s="7" t="s">
        <v>1150</v>
      </c>
      <c r="P337" s="7" t="s">
        <v>1183</v>
      </c>
      <c r="Q337" s="7" t="s">
        <v>1152</v>
      </c>
      <c r="R337" s="8"/>
      <c r="S337" s="12"/>
      <c r="T337" s="12"/>
    </row>
    <row r="338" customFormat="false" ht="35.05" hidden="false" customHeight="false" outlineLevel="0" collapsed="false">
      <c r="A338" s="7" t="s">
        <v>2148</v>
      </c>
      <c r="B338" s="7" t="s">
        <v>182</v>
      </c>
      <c r="C338" s="7" t="s">
        <v>217</v>
      </c>
      <c r="D338" s="7" t="s">
        <v>2149</v>
      </c>
      <c r="E338" s="7" t="s">
        <v>1179</v>
      </c>
      <c r="F338" s="7" t="s">
        <v>943</v>
      </c>
      <c r="G338" s="7" t="s">
        <v>1424</v>
      </c>
      <c r="H338" s="8" t="s">
        <v>219</v>
      </c>
      <c r="I338" s="8" t="s">
        <v>220</v>
      </c>
      <c r="J338" s="7" t="s">
        <v>133</v>
      </c>
      <c r="K338" s="7" t="s">
        <v>2150</v>
      </c>
      <c r="L338" s="7" t="n">
        <v>3</v>
      </c>
      <c r="M338" s="7" t="s">
        <v>218</v>
      </c>
      <c r="N338" s="7"/>
      <c r="O338" s="7" t="s">
        <v>1150</v>
      </c>
      <c r="P338" s="7" t="s">
        <v>1183</v>
      </c>
      <c r="Q338" s="7" t="s">
        <v>1152</v>
      </c>
      <c r="R338" s="8"/>
      <c r="S338" s="12"/>
      <c r="T338" s="12"/>
    </row>
    <row r="339" customFormat="false" ht="35.05" hidden="false" customHeight="false" outlineLevel="0" collapsed="false">
      <c r="A339" s="7" t="s">
        <v>2151</v>
      </c>
      <c r="B339" s="7" t="s">
        <v>182</v>
      </c>
      <c r="C339" s="7" t="s">
        <v>217</v>
      </c>
      <c r="D339" s="7" t="s">
        <v>2152</v>
      </c>
      <c r="E339" s="7" t="s">
        <v>1179</v>
      </c>
      <c r="F339" s="7" t="s">
        <v>943</v>
      </c>
      <c r="G339" s="7" t="s">
        <v>1424</v>
      </c>
      <c r="H339" s="8" t="s">
        <v>219</v>
      </c>
      <c r="I339" s="8" t="s">
        <v>220</v>
      </c>
      <c r="J339" s="7" t="s">
        <v>133</v>
      </c>
      <c r="K339" s="7" t="s">
        <v>2153</v>
      </c>
      <c r="L339" s="7" t="n">
        <v>3</v>
      </c>
      <c r="M339" s="7" t="s">
        <v>218</v>
      </c>
      <c r="N339" s="7"/>
      <c r="O339" s="7" t="s">
        <v>1150</v>
      </c>
      <c r="P339" s="7" t="s">
        <v>1183</v>
      </c>
      <c r="Q339" s="7" t="s">
        <v>1152</v>
      </c>
      <c r="R339" s="8"/>
      <c r="S339" s="12"/>
      <c r="T339" s="12"/>
    </row>
    <row r="340" customFormat="false" ht="35.05" hidden="false" customHeight="false" outlineLevel="0" collapsed="false">
      <c r="A340" s="7" t="s">
        <v>2154</v>
      </c>
      <c r="B340" s="7" t="s">
        <v>182</v>
      </c>
      <c r="C340" s="7" t="s">
        <v>217</v>
      </c>
      <c r="D340" s="7" t="s">
        <v>2155</v>
      </c>
      <c r="E340" s="7" t="s">
        <v>1179</v>
      </c>
      <c r="F340" s="7" t="s">
        <v>943</v>
      </c>
      <c r="G340" s="7" t="s">
        <v>1424</v>
      </c>
      <c r="H340" s="8" t="s">
        <v>219</v>
      </c>
      <c r="I340" s="8" t="s">
        <v>220</v>
      </c>
      <c r="J340" s="7" t="s">
        <v>133</v>
      </c>
      <c r="K340" s="7" t="s">
        <v>2156</v>
      </c>
      <c r="L340" s="7" t="n">
        <v>3</v>
      </c>
      <c r="M340" s="7" t="s">
        <v>218</v>
      </c>
      <c r="N340" s="7"/>
      <c r="O340" s="7" t="s">
        <v>1150</v>
      </c>
      <c r="P340" s="7" t="s">
        <v>1183</v>
      </c>
      <c r="Q340" s="7" t="s">
        <v>1152</v>
      </c>
      <c r="R340" s="8"/>
      <c r="S340" s="12"/>
      <c r="T340" s="12"/>
    </row>
    <row r="341" customFormat="false" ht="35.05" hidden="false" customHeight="false" outlineLevel="0" collapsed="false">
      <c r="A341" s="7" t="s">
        <v>2157</v>
      </c>
      <c r="B341" s="7" t="s">
        <v>182</v>
      </c>
      <c r="C341" s="7" t="s">
        <v>221</v>
      </c>
      <c r="D341" s="7" t="s">
        <v>221</v>
      </c>
      <c r="E341" s="7" t="s">
        <v>1137</v>
      </c>
      <c r="F341" s="7" t="s">
        <v>928</v>
      </c>
      <c r="G341" s="7" t="s">
        <v>1148</v>
      </c>
      <c r="H341" s="8" t="s">
        <v>2158</v>
      </c>
      <c r="I341" s="8" t="s">
        <v>224</v>
      </c>
      <c r="J341" s="7" t="s">
        <v>87</v>
      </c>
      <c r="K341" s="7" t="s">
        <v>222</v>
      </c>
      <c r="L341" s="7" t="n">
        <v>2</v>
      </c>
      <c r="M341" s="7" t="s">
        <v>183</v>
      </c>
      <c r="N341" s="7"/>
      <c r="O341" s="7" t="s">
        <v>1150</v>
      </c>
      <c r="P341" s="7" t="s">
        <v>1183</v>
      </c>
      <c r="Q341" s="7" t="s">
        <v>1152</v>
      </c>
      <c r="R341" s="8"/>
      <c r="S341" s="12"/>
      <c r="T341" s="12"/>
    </row>
    <row r="342" customFormat="false" ht="35.05" hidden="false" customHeight="false" outlineLevel="0" collapsed="false">
      <c r="A342" s="7" t="s">
        <v>2159</v>
      </c>
      <c r="B342" s="7" t="s">
        <v>182</v>
      </c>
      <c r="C342" s="7" t="s">
        <v>221</v>
      </c>
      <c r="D342" s="7" t="s">
        <v>2160</v>
      </c>
      <c r="E342" s="7" t="s">
        <v>1179</v>
      </c>
      <c r="F342" s="7" t="s">
        <v>928</v>
      </c>
      <c r="G342" s="7" t="s">
        <v>1148</v>
      </c>
      <c r="H342" s="8" t="s">
        <v>223</v>
      </c>
      <c r="I342" s="8" t="s">
        <v>224</v>
      </c>
      <c r="J342" s="7" t="s">
        <v>133</v>
      </c>
      <c r="K342" s="7" t="s">
        <v>2161</v>
      </c>
      <c r="L342" s="7" t="n">
        <v>3</v>
      </c>
      <c r="M342" s="7" t="s">
        <v>222</v>
      </c>
      <c r="N342" s="7"/>
      <c r="O342" s="7" t="s">
        <v>1150</v>
      </c>
      <c r="P342" s="7" t="s">
        <v>1183</v>
      </c>
      <c r="Q342" s="7" t="s">
        <v>1152</v>
      </c>
      <c r="R342" s="8"/>
      <c r="S342" s="12"/>
      <c r="T342" s="12"/>
    </row>
    <row r="343" customFormat="false" ht="35.05" hidden="false" customHeight="false" outlineLevel="0" collapsed="false">
      <c r="A343" s="7" t="s">
        <v>2162</v>
      </c>
      <c r="B343" s="7" t="s">
        <v>182</v>
      </c>
      <c r="C343" s="7" t="s">
        <v>221</v>
      </c>
      <c r="D343" s="7" t="s">
        <v>2163</v>
      </c>
      <c r="E343" s="7" t="s">
        <v>1179</v>
      </c>
      <c r="F343" s="7" t="s">
        <v>928</v>
      </c>
      <c r="G343" s="7" t="s">
        <v>1148</v>
      </c>
      <c r="H343" s="8" t="s">
        <v>223</v>
      </c>
      <c r="I343" s="8" t="s">
        <v>224</v>
      </c>
      <c r="J343" s="7" t="s">
        <v>133</v>
      </c>
      <c r="K343" s="7" t="s">
        <v>2164</v>
      </c>
      <c r="L343" s="7" t="n">
        <v>3</v>
      </c>
      <c r="M343" s="7" t="s">
        <v>222</v>
      </c>
      <c r="N343" s="7"/>
      <c r="O343" s="7" t="s">
        <v>1150</v>
      </c>
      <c r="P343" s="7" t="s">
        <v>1183</v>
      </c>
      <c r="Q343" s="7" t="s">
        <v>1152</v>
      </c>
      <c r="R343" s="8"/>
      <c r="S343" s="12"/>
      <c r="T343" s="12"/>
    </row>
    <row r="344" customFormat="false" ht="35.05" hidden="false" customHeight="false" outlineLevel="0" collapsed="false">
      <c r="A344" s="7" t="s">
        <v>2165</v>
      </c>
      <c r="B344" s="7" t="s">
        <v>182</v>
      </c>
      <c r="C344" s="7" t="s">
        <v>221</v>
      </c>
      <c r="D344" s="7" t="s">
        <v>2166</v>
      </c>
      <c r="E344" s="7" t="s">
        <v>1179</v>
      </c>
      <c r="F344" s="7" t="s">
        <v>928</v>
      </c>
      <c r="G344" s="7" t="s">
        <v>1148</v>
      </c>
      <c r="H344" s="8" t="s">
        <v>223</v>
      </c>
      <c r="I344" s="8" t="s">
        <v>224</v>
      </c>
      <c r="J344" s="7" t="s">
        <v>133</v>
      </c>
      <c r="K344" s="7" t="s">
        <v>2167</v>
      </c>
      <c r="L344" s="7" t="n">
        <v>3</v>
      </c>
      <c r="M344" s="7" t="s">
        <v>222</v>
      </c>
      <c r="N344" s="7"/>
      <c r="O344" s="7" t="s">
        <v>1150</v>
      </c>
      <c r="P344" s="7" t="s">
        <v>1183</v>
      </c>
      <c r="Q344" s="7" t="s">
        <v>1152</v>
      </c>
      <c r="R344" s="8"/>
      <c r="S344" s="12"/>
      <c r="T344" s="12"/>
    </row>
    <row r="345" customFormat="false" ht="35.05" hidden="false" customHeight="false" outlineLevel="0" collapsed="false">
      <c r="A345" s="7" t="s">
        <v>2168</v>
      </c>
      <c r="B345" s="7" t="s">
        <v>182</v>
      </c>
      <c r="C345" s="7" t="s">
        <v>221</v>
      </c>
      <c r="D345" s="7" t="s">
        <v>2169</v>
      </c>
      <c r="E345" s="7" t="s">
        <v>1179</v>
      </c>
      <c r="F345" s="7" t="s">
        <v>928</v>
      </c>
      <c r="G345" s="7" t="s">
        <v>1148</v>
      </c>
      <c r="H345" s="8" t="s">
        <v>223</v>
      </c>
      <c r="I345" s="8" t="s">
        <v>224</v>
      </c>
      <c r="J345" s="7" t="s">
        <v>133</v>
      </c>
      <c r="K345" s="7" t="s">
        <v>2170</v>
      </c>
      <c r="L345" s="7" t="n">
        <v>3</v>
      </c>
      <c r="M345" s="7" t="s">
        <v>222</v>
      </c>
      <c r="N345" s="7"/>
      <c r="O345" s="7" t="s">
        <v>1150</v>
      </c>
      <c r="P345" s="7" t="s">
        <v>1183</v>
      </c>
      <c r="Q345" s="7" t="s">
        <v>1152</v>
      </c>
      <c r="R345" s="8"/>
      <c r="S345" s="12"/>
      <c r="T345" s="12"/>
    </row>
    <row r="346" customFormat="false" ht="35.05" hidden="false" customHeight="false" outlineLevel="0" collapsed="false">
      <c r="A346" s="7" t="s">
        <v>2171</v>
      </c>
      <c r="B346" s="7" t="s">
        <v>182</v>
      </c>
      <c r="C346" s="7" t="s">
        <v>221</v>
      </c>
      <c r="D346" s="7" t="s">
        <v>2172</v>
      </c>
      <c r="E346" s="7" t="s">
        <v>1179</v>
      </c>
      <c r="F346" s="7" t="s">
        <v>928</v>
      </c>
      <c r="G346" s="7" t="s">
        <v>1148</v>
      </c>
      <c r="H346" s="8" t="s">
        <v>223</v>
      </c>
      <c r="I346" s="8" t="s">
        <v>224</v>
      </c>
      <c r="J346" s="7" t="s">
        <v>133</v>
      </c>
      <c r="K346" s="7" t="s">
        <v>2173</v>
      </c>
      <c r="L346" s="7" t="n">
        <v>3</v>
      </c>
      <c r="M346" s="7" t="s">
        <v>222</v>
      </c>
      <c r="N346" s="7"/>
      <c r="O346" s="7" t="s">
        <v>1150</v>
      </c>
      <c r="P346" s="7" t="s">
        <v>1183</v>
      </c>
      <c r="Q346" s="7" t="s">
        <v>1152</v>
      </c>
      <c r="R346" s="8"/>
      <c r="S346" s="12"/>
      <c r="T346" s="12"/>
    </row>
    <row r="347" customFormat="false" ht="35.05" hidden="false" customHeight="false" outlineLevel="0" collapsed="false">
      <c r="A347" s="7" t="s">
        <v>2174</v>
      </c>
      <c r="B347" s="7" t="s">
        <v>182</v>
      </c>
      <c r="C347" s="7" t="s">
        <v>221</v>
      </c>
      <c r="D347" s="7" t="s">
        <v>2175</v>
      </c>
      <c r="E347" s="7" t="s">
        <v>1179</v>
      </c>
      <c r="F347" s="7" t="s">
        <v>928</v>
      </c>
      <c r="G347" s="7" t="s">
        <v>1148</v>
      </c>
      <c r="H347" s="8" t="s">
        <v>223</v>
      </c>
      <c r="I347" s="8" t="s">
        <v>224</v>
      </c>
      <c r="J347" s="7" t="s">
        <v>133</v>
      </c>
      <c r="K347" s="7" t="s">
        <v>2176</v>
      </c>
      <c r="L347" s="7" t="n">
        <v>3</v>
      </c>
      <c r="M347" s="7" t="s">
        <v>222</v>
      </c>
      <c r="N347" s="7"/>
      <c r="O347" s="7" t="s">
        <v>1150</v>
      </c>
      <c r="P347" s="7" t="s">
        <v>1183</v>
      </c>
      <c r="Q347" s="7" t="s">
        <v>1152</v>
      </c>
      <c r="R347" s="8"/>
      <c r="S347" s="12"/>
      <c r="T347" s="12"/>
    </row>
    <row r="348" customFormat="false" ht="35.05" hidden="false" customHeight="false" outlineLevel="0" collapsed="false">
      <c r="A348" s="7" t="s">
        <v>2177</v>
      </c>
      <c r="B348" s="7" t="s">
        <v>182</v>
      </c>
      <c r="C348" s="7" t="s">
        <v>221</v>
      </c>
      <c r="D348" s="7" t="s">
        <v>2178</v>
      </c>
      <c r="E348" s="7" t="s">
        <v>1179</v>
      </c>
      <c r="F348" s="7" t="s">
        <v>928</v>
      </c>
      <c r="G348" s="7" t="s">
        <v>1148</v>
      </c>
      <c r="H348" s="8" t="s">
        <v>223</v>
      </c>
      <c r="I348" s="8" t="s">
        <v>224</v>
      </c>
      <c r="J348" s="7" t="s">
        <v>133</v>
      </c>
      <c r="K348" s="7" t="s">
        <v>2179</v>
      </c>
      <c r="L348" s="7" t="n">
        <v>3</v>
      </c>
      <c r="M348" s="7" t="s">
        <v>222</v>
      </c>
      <c r="N348" s="7"/>
      <c r="O348" s="7" t="s">
        <v>1150</v>
      </c>
      <c r="P348" s="7" t="s">
        <v>1183</v>
      </c>
      <c r="Q348" s="7" t="s">
        <v>1152</v>
      </c>
      <c r="R348" s="8"/>
      <c r="S348" s="12"/>
      <c r="T348" s="12"/>
    </row>
    <row r="349" customFormat="false" ht="35.05" hidden="false" customHeight="false" outlineLevel="0" collapsed="false">
      <c r="A349" s="7" t="s">
        <v>2180</v>
      </c>
      <c r="B349" s="7" t="s">
        <v>182</v>
      </c>
      <c r="C349" s="7" t="s">
        <v>225</v>
      </c>
      <c r="D349" s="7" t="s">
        <v>225</v>
      </c>
      <c r="E349" s="7" t="s">
        <v>1137</v>
      </c>
      <c r="F349" s="7" t="s">
        <v>928</v>
      </c>
      <c r="G349" s="7" t="s">
        <v>1148</v>
      </c>
      <c r="H349" s="8" t="s">
        <v>2181</v>
      </c>
      <c r="I349" s="8" t="s">
        <v>228</v>
      </c>
      <c r="J349" s="7" t="s">
        <v>87</v>
      </c>
      <c r="K349" s="7" t="s">
        <v>226</v>
      </c>
      <c r="L349" s="7" t="n">
        <v>2</v>
      </c>
      <c r="M349" s="7" t="s">
        <v>183</v>
      </c>
      <c r="N349" s="7"/>
      <c r="O349" s="7" t="s">
        <v>1150</v>
      </c>
      <c r="P349" s="7" t="s">
        <v>1151</v>
      </c>
      <c r="Q349" s="7" t="s">
        <v>1152</v>
      </c>
      <c r="R349" s="8"/>
      <c r="S349" s="12"/>
      <c r="T349" s="12"/>
    </row>
    <row r="350" customFormat="false" ht="35.05" hidden="false" customHeight="false" outlineLevel="0" collapsed="false">
      <c r="A350" s="7" t="s">
        <v>2182</v>
      </c>
      <c r="B350" s="7" t="s">
        <v>182</v>
      </c>
      <c r="C350" s="7" t="s">
        <v>225</v>
      </c>
      <c r="D350" s="7" t="s">
        <v>2183</v>
      </c>
      <c r="E350" s="7" t="s">
        <v>1179</v>
      </c>
      <c r="F350" s="7" t="s">
        <v>928</v>
      </c>
      <c r="G350" s="7" t="s">
        <v>1148</v>
      </c>
      <c r="H350" s="8" t="s">
        <v>227</v>
      </c>
      <c r="I350" s="8" t="s">
        <v>228</v>
      </c>
      <c r="J350" s="7" t="s">
        <v>133</v>
      </c>
      <c r="K350" s="7" t="s">
        <v>2184</v>
      </c>
      <c r="L350" s="7" t="n">
        <v>3</v>
      </c>
      <c r="M350" s="7" t="s">
        <v>226</v>
      </c>
      <c r="N350" s="7"/>
      <c r="O350" s="7" t="s">
        <v>1150</v>
      </c>
      <c r="P350" s="7" t="s">
        <v>1183</v>
      </c>
      <c r="Q350" s="7" t="s">
        <v>1152</v>
      </c>
      <c r="R350" s="8"/>
      <c r="S350" s="12"/>
      <c r="T350" s="12"/>
    </row>
    <row r="351" customFormat="false" ht="35.05" hidden="false" customHeight="false" outlineLevel="0" collapsed="false">
      <c r="A351" s="7" t="s">
        <v>2185</v>
      </c>
      <c r="B351" s="7" t="s">
        <v>182</v>
      </c>
      <c r="C351" s="7" t="s">
        <v>225</v>
      </c>
      <c r="D351" s="7" t="s">
        <v>2186</v>
      </c>
      <c r="E351" s="7" t="s">
        <v>1179</v>
      </c>
      <c r="F351" s="7" t="s">
        <v>928</v>
      </c>
      <c r="G351" s="7" t="s">
        <v>1148</v>
      </c>
      <c r="H351" s="8" t="s">
        <v>227</v>
      </c>
      <c r="I351" s="8" t="s">
        <v>228</v>
      </c>
      <c r="J351" s="7" t="s">
        <v>133</v>
      </c>
      <c r="K351" s="7" t="s">
        <v>2187</v>
      </c>
      <c r="L351" s="7" t="n">
        <v>3</v>
      </c>
      <c r="M351" s="7" t="s">
        <v>226</v>
      </c>
      <c r="N351" s="7"/>
      <c r="O351" s="7" t="s">
        <v>1150</v>
      </c>
      <c r="P351" s="7" t="s">
        <v>1183</v>
      </c>
      <c r="Q351" s="7" t="s">
        <v>1152</v>
      </c>
      <c r="R351" s="8"/>
      <c r="S351" s="12"/>
      <c r="T351" s="12"/>
    </row>
    <row r="352" customFormat="false" ht="35.05" hidden="false" customHeight="false" outlineLevel="0" collapsed="false">
      <c r="A352" s="7" t="s">
        <v>2188</v>
      </c>
      <c r="B352" s="7" t="s">
        <v>182</v>
      </c>
      <c r="C352" s="7" t="s">
        <v>225</v>
      </c>
      <c r="D352" s="7" t="s">
        <v>2189</v>
      </c>
      <c r="E352" s="7" t="s">
        <v>1179</v>
      </c>
      <c r="F352" s="7" t="s">
        <v>928</v>
      </c>
      <c r="G352" s="7" t="s">
        <v>1148</v>
      </c>
      <c r="H352" s="8" t="s">
        <v>227</v>
      </c>
      <c r="I352" s="8" t="s">
        <v>228</v>
      </c>
      <c r="J352" s="7" t="s">
        <v>133</v>
      </c>
      <c r="K352" s="7" t="s">
        <v>2190</v>
      </c>
      <c r="L352" s="7" t="n">
        <v>3</v>
      </c>
      <c r="M352" s="7" t="s">
        <v>226</v>
      </c>
      <c r="N352" s="7"/>
      <c r="O352" s="7" t="s">
        <v>1150</v>
      </c>
      <c r="P352" s="7" t="s">
        <v>1183</v>
      </c>
      <c r="Q352" s="7" t="s">
        <v>1152</v>
      </c>
      <c r="R352" s="8"/>
      <c r="S352" s="12"/>
      <c r="T352" s="12"/>
    </row>
    <row r="353" customFormat="false" ht="35.05" hidden="false" customHeight="false" outlineLevel="0" collapsed="false">
      <c r="A353" s="7" t="s">
        <v>2191</v>
      </c>
      <c r="B353" s="7" t="s">
        <v>182</v>
      </c>
      <c r="C353" s="7" t="s">
        <v>225</v>
      </c>
      <c r="D353" s="7" t="s">
        <v>2192</v>
      </c>
      <c r="E353" s="7" t="s">
        <v>1179</v>
      </c>
      <c r="F353" s="7" t="s">
        <v>928</v>
      </c>
      <c r="G353" s="7" t="s">
        <v>1148</v>
      </c>
      <c r="H353" s="8" t="s">
        <v>227</v>
      </c>
      <c r="I353" s="8" t="s">
        <v>228</v>
      </c>
      <c r="J353" s="7" t="s">
        <v>133</v>
      </c>
      <c r="K353" s="7" t="s">
        <v>2193</v>
      </c>
      <c r="L353" s="7" t="n">
        <v>3</v>
      </c>
      <c r="M353" s="7" t="s">
        <v>226</v>
      </c>
      <c r="N353" s="7"/>
      <c r="O353" s="7" t="s">
        <v>1150</v>
      </c>
      <c r="P353" s="7" t="s">
        <v>1183</v>
      </c>
      <c r="Q353" s="7" t="s">
        <v>1152</v>
      </c>
      <c r="R353" s="8"/>
      <c r="S353" s="12"/>
      <c r="T353" s="12"/>
    </row>
    <row r="354" customFormat="false" ht="35.05" hidden="false" customHeight="false" outlineLevel="0" collapsed="false">
      <c r="A354" s="7" t="s">
        <v>2194</v>
      </c>
      <c r="B354" s="7" t="s">
        <v>182</v>
      </c>
      <c r="C354" s="7" t="s">
        <v>225</v>
      </c>
      <c r="D354" s="7" t="s">
        <v>2195</v>
      </c>
      <c r="E354" s="7" t="s">
        <v>1179</v>
      </c>
      <c r="F354" s="7" t="s">
        <v>928</v>
      </c>
      <c r="G354" s="7" t="s">
        <v>1148</v>
      </c>
      <c r="H354" s="8" t="s">
        <v>227</v>
      </c>
      <c r="I354" s="8" t="s">
        <v>228</v>
      </c>
      <c r="J354" s="7" t="s">
        <v>133</v>
      </c>
      <c r="K354" s="7" t="s">
        <v>2196</v>
      </c>
      <c r="L354" s="7" t="n">
        <v>3</v>
      </c>
      <c r="M354" s="7" t="s">
        <v>226</v>
      </c>
      <c r="N354" s="7"/>
      <c r="O354" s="7" t="s">
        <v>1150</v>
      </c>
      <c r="P354" s="7" t="s">
        <v>1151</v>
      </c>
      <c r="Q354" s="7" t="s">
        <v>1152</v>
      </c>
      <c r="R354" s="8"/>
      <c r="S354" s="12"/>
      <c r="T354" s="12"/>
    </row>
    <row r="355" customFormat="false" ht="35.05" hidden="false" customHeight="false" outlineLevel="0" collapsed="false">
      <c r="A355" s="7" t="s">
        <v>2197</v>
      </c>
      <c r="B355" s="7" t="s">
        <v>182</v>
      </c>
      <c r="C355" s="7" t="s">
        <v>225</v>
      </c>
      <c r="D355" s="7" t="s">
        <v>2198</v>
      </c>
      <c r="E355" s="7" t="s">
        <v>1179</v>
      </c>
      <c r="F355" s="7" t="s">
        <v>928</v>
      </c>
      <c r="G355" s="7" t="s">
        <v>1148</v>
      </c>
      <c r="H355" s="8" t="s">
        <v>227</v>
      </c>
      <c r="I355" s="8" t="s">
        <v>228</v>
      </c>
      <c r="J355" s="7" t="s">
        <v>133</v>
      </c>
      <c r="K355" s="7" t="s">
        <v>2199</v>
      </c>
      <c r="L355" s="7" t="n">
        <v>3</v>
      </c>
      <c r="M355" s="7" t="s">
        <v>226</v>
      </c>
      <c r="N355" s="7"/>
      <c r="O355" s="7" t="s">
        <v>1150</v>
      </c>
      <c r="P355" s="7" t="s">
        <v>1183</v>
      </c>
      <c r="Q355" s="7" t="s">
        <v>1152</v>
      </c>
      <c r="R355" s="8"/>
      <c r="S355" s="12"/>
      <c r="T355" s="12"/>
    </row>
    <row r="356" customFormat="false" ht="35.05" hidden="false" customHeight="false" outlineLevel="0" collapsed="false">
      <c r="A356" s="7" t="s">
        <v>2200</v>
      </c>
      <c r="B356" s="7" t="s">
        <v>182</v>
      </c>
      <c r="C356" s="7" t="s">
        <v>225</v>
      </c>
      <c r="D356" s="7" t="s">
        <v>2201</v>
      </c>
      <c r="E356" s="7" t="s">
        <v>1179</v>
      </c>
      <c r="F356" s="7" t="s">
        <v>928</v>
      </c>
      <c r="G356" s="7" t="s">
        <v>1148</v>
      </c>
      <c r="H356" s="8" t="s">
        <v>227</v>
      </c>
      <c r="I356" s="8" t="s">
        <v>228</v>
      </c>
      <c r="J356" s="7" t="s">
        <v>133</v>
      </c>
      <c r="K356" s="7" t="s">
        <v>2202</v>
      </c>
      <c r="L356" s="7" t="n">
        <v>3</v>
      </c>
      <c r="M356" s="7" t="s">
        <v>226</v>
      </c>
      <c r="N356" s="7"/>
      <c r="O356" s="7" t="s">
        <v>1150</v>
      </c>
      <c r="P356" s="7" t="s">
        <v>1183</v>
      </c>
      <c r="Q356" s="7" t="s">
        <v>1152</v>
      </c>
      <c r="R356" s="8"/>
      <c r="S356" s="12"/>
      <c r="T356" s="12"/>
    </row>
    <row r="357" customFormat="false" ht="35.05" hidden="false" customHeight="false" outlineLevel="0" collapsed="false">
      <c r="A357" s="7" t="s">
        <v>2203</v>
      </c>
      <c r="B357" s="7" t="s">
        <v>182</v>
      </c>
      <c r="C357" s="7" t="s">
        <v>225</v>
      </c>
      <c r="D357" s="7" t="s">
        <v>2204</v>
      </c>
      <c r="E357" s="7" t="s">
        <v>1179</v>
      </c>
      <c r="F357" s="7" t="s">
        <v>928</v>
      </c>
      <c r="G357" s="7" t="s">
        <v>1148</v>
      </c>
      <c r="H357" s="8" t="s">
        <v>227</v>
      </c>
      <c r="I357" s="8" t="s">
        <v>228</v>
      </c>
      <c r="J357" s="7" t="s">
        <v>133</v>
      </c>
      <c r="K357" s="7" t="s">
        <v>2205</v>
      </c>
      <c r="L357" s="7" t="n">
        <v>3</v>
      </c>
      <c r="M357" s="7" t="s">
        <v>226</v>
      </c>
      <c r="N357" s="7"/>
      <c r="O357" s="7" t="s">
        <v>1150</v>
      </c>
      <c r="P357" s="7" t="s">
        <v>1183</v>
      </c>
      <c r="Q357" s="7" t="s">
        <v>1152</v>
      </c>
      <c r="R357" s="8"/>
      <c r="S357" s="12"/>
      <c r="T357" s="12"/>
    </row>
    <row r="358" customFormat="false" ht="35.05" hidden="false" customHeight="false" outlineLevel="0" collapsed="false">
      <c r="A358" s="7" t="s">
        <v>2206</v>
      </c>
      <c r="B358" s="7" t="s">
        <v>182</v>
      </c>
      <c r="C358" s="7" t="s">
        <v>225</v>
      </c>
      <c r="D358" s="7" t="s">
        <v>2207</v>
      </c>
      <c r="E358" s="7" t="s">
        <v>1179</v>
      </c>
      <c r="F358" s="7" t="s">
        <v>928</v>
      </c>
      <c r="G358" s="7" t="s">
        <v>1148</v>
      </c>
      <c r="H358" s="8" t="s">
        <v>227</v>
      </c>
      <c r="I358" s="8" t="s">
        <v>228</v>
      </c>
      <c r="J358" s="7" t="s">
        <v>133</v>
      </c>
      <c r="K358" s="7" t="s">
        <v>2208</v>
      </c>
      <c r="L358" s="7" t="n">
        <v>3</v>
      </c>
      <c r="M358" s="7" t="s">
        <v>226</v>
      </c>
      <c r="N358" s="7"/>
      <c r="O358" s="7" t="s">
        <v>1150</v>
      </c>
      <c r="P358" s="7" t="s">
        <v>1183</v>
      </c>
      <c r="Q358" s="7" t="s">
        <v>1152</v>
      </c>
      <c r="R358" s="8"/>
      <c r="S358" s="12"/>
      <c r="T358" s="12"/>
    </row>
    <row r="359" customFormat="false" ht="35.05" hidden="false" customHeight="false" outlineLevel="0" collapsed="false">
      <c r="A359" s="7" t="s">
        <v>2209</v>
      </c>
      <c r="B359" s="7" t="s">
        <v>182</v>
      </c>
      <c r="C359" s="7" t="s">
        <v>225</v>
      </c>
      <c r="D359" s="7" t="s">
        <v>2210</v>
      </c>
      <c r="E359" s="7" t="s">
        <v>1179</v>
      </c>
      <c r="F359" s="7" t="s">
        <v>928</v>
      </c>
      <c r="G359" s="7" t="s">
        <v>1148</v>
      </c>
      <c r="H359" s="8" t="s">
        <v>227</v>
      </c>
      <c r="I359" s="8" t="s">
        <v>228</v>
      </c>
      <c r="J359" s="7" t="s">
        <v>133</v>
      </c>
      <c r="K359" s="7" t="s">
        <v>2211</v>
      </c>
      <c r="L359" s="7" t="n">
        <v>3</v>
      </c>
      <c r="M359" s="7" t="s">
        <v>226</v>
      </c>
      <c r="N359" s="7"/>
      <c r="O359" s="7" t="s">
        <v>1150</v>
      </c>
      <c r="P359" s="7" t="s">
        <v>1183</v>
      </c>
      <c r="Q359" s="7" t="s">
        <v>1152</v>
      </c>
      <c r="R359" s="8"/>
      <c r="S359" s="12"/>
      <c r="T359" s="12"/>
    </row>
    <row r="360" customFormat="false" ht="35.05" hidden="false" customHeight="false" outlineLevel="0" collapsed="false">
      <c r="A360" s="7" t="s">
        <v>2212</v>
      </c>
      <c r="B360" s="7" t="s">
        <v>182</v>
      </c>
      <c r="C360" s="7" t="s">
        <v>225</v>
      </c>
      <c r="D360" s="7" t="s">
        <v>2213</v>
      </c>
      <c r="E360" s="7" t="s">
        <v>1179</v>
      </c>
      <c r="F360" s="7" t="s">
        <v>928</v>
      </c>
      <c r="G360" s="7" t="s">
        <v>1148</v>
      </c>
      <c r="H360" s="8" t="s">
        <v>227</v>
      </c>
      <c r="I360" s="8" t="s">
        <v>228</v>
      </c>
      <c r="J360" s="7" t="s">
        <v>133</v>
      </c>
      <c r="K360" s="7" t="s">
        <v>2214</v>
      </c>
      <c r="L360" s="7" t="n">
        <v>3</v>
      </c>
      <c r="M360" s="7" t="s">
        <v>226</v>
      </c>
      <c r="N360" s="7"/>
      <c r="O360" s="7" t="s">
        <v>1150</v>
      </c>
      <c r="P360" s="7" t="s">
        <v>1183</v>
      </c>
      <c r="Q360" s="7" t="s">
        <v>1152</v>
      </c>
      <c r="R360" s="8"/>
      <c r="S360" s="12"/>
      <c r="T360" s="12"/>
    </row>
    <row r="361" customFormat="false" ht="35.05" hidden="false" customHeight="false" outlineLevel="0" collapsed="false">
      <c r="A361" s="7" t="s">
        <v>2215</v>
      </c>
      <c r="B361" s="7" t="s">
        <v>182</v>
      </c>
      <c r="C361" s="7" t="s">
        <v>225</v>
      </c>
      <c r="D361" s="7" t="s">
        <v>2216</v>
      </c>
      <c r="E361" s="7" t="s">
        <v>1179</v>
      </c>
      <c r="F361" s="7" t="s">
        <v>928</v>
      </c>
      <c r="G361" s="7" t="s">
        <v>1148</v>
      </c>
      <c r="H361" s="8" t="s">
        <v>227</v>
      </c>
      <c r="I361" s="8" t="s">
        <v>228</v>
      </c>
      <c r="J361" s="7" t="s">
        <v>133</v>
      </c>
      <c r="K361" s="7" t="s">
        <v>2217</v>
      </c>
      <c r="L361" s="7" t="n">
        <v>3</v>
      </c>
      <c r="M361" s="7" t="s">
        <v>226</v>
      </c>
      <c r="N361" s="7"/>
      <c r="O361" s="7" t="s">
        <v>1150</v>
      </c>
      <c r="P361" s="7" t="s">
        <v>1183</v>
      </c>
      <c r="Q361" s="7" t="s">
        <v>1152</v>
      </c>
      <c r="R361" s="8"/>
      <c r="S361" s="12"/>
      <c r="T361" s="12"/>
    </row>
    <row r="362" customFormat="false" ht="35.05" hidden="false" customHeight="false" outlineLevel="0" collapsed="false">
      <c r="A362" s="7" t="s">
        <v>2218</v>
      </c>
      <c r="B362" s="7" t="s">
        <v>182</v>
      </c>
      <c r="C362" s="7" t="s">
        <v>225</v>
      </c>
      <c r="D362" s="7" t="s">
        <v>2219</v>
      </c>
      <c r="E362" s="7" t="s">
        <v>1179</v>
      </c>
      <c r="F362" s="7" t="s">
        <v>928</v>
      </c>
      <c r="G362" s="7" t="s">
        <v>1148</v>
      </c>
      <c r="H362" s="8" t="s">
        <v>227</v>
      </c>
      <c r="I362" s="8" t="s">
        <v>228</v>
      </c>
      <c r="J362" s="7" t="s">
        <v>133</v>
      </c>
      <c r="K362" s="7" t="s">
        <v>2220</v>
      </c>
      <c r="L362" s="7" t="n">
        <v>3</v>
      </c>
      <c r="M362" s="7" t="s">
        <v>226</v>
      </c>
      <c r="N362" s="7"/>
      <c r="O362" s="7" t="s">
        <v>1150</v>
      </c>
      <c r="P362" s="7" t="s">
        <v>1183</v>
      </c>
      <c r="Q362" s="7" t="s">
        <v>1152</v>
      </c>
      <c r="R362" s="8"/>
      <c r="S362" s="12"/>
      <c r="T362" s="12"/>
    </row>
    <row r="363" customFormat="false" ht="35.05" hidden="false" customHeight="false" outlineLevel="0" collapsed="false">
      <c r="A363" s="7" t="s">
        <v>2221</v>
      </c>
      <c r="B363" s="7" t="s">
        <v>182</v>
      </c>
      <c r="C363" s="7" t="s">
        <v>225</v>
      </c>
      <c r="D363" s="7" t="s">
        <v>2222</v>
      </c>
      <c r="E363" s="7" t="s">
        <v>1179</v>
      </c>
      <c r="F363" s="7" t="s">
        <v>928</v>
      </c>
      <c r="G363" s="7" t="s">
        <v>1148</v>
      </c>
      <c r="H363" s="8" t="s">
        <v>227</v>
      </c>
      <c r="I363" s="8" t="s">
        <v>228</v>
      </c>
      <c r="J363" s="7" t="s">
        <v>133</v>
      </c>
      <c r="K363" s="7" t="s">
        <v>2223</v>
      </c>
      <c r="L363" s="7" t="n">
        <v>3</v>
      </c>
      <c r="M363" s="7" t="s">
        <v>226</v>
      </c>
      <c r="N363" s="7"/>
      <c r="O363" s="7" t="s">
        <v>1150</v>
      </c>
      <c r="P363" s="7" t="s">
        <v>1183</v>
      </c>
      <c r="Q363" s="7" t="s">
        <v>1152</v>
      </c>
      <c r="R363" s="8"/>
      <c r="S363" s="12"/>
      <c r="T363" s="12"/>
    </row>
    <row r="364" customFormat="false" ht="35.05" hidden="false" customHeight="false" outlineLevel="0" collapsed="false">
      <c r="A364" s="7" t="s">
        <v>2224</v>
      </c>
      <c r="B364" s="7" t="s">
        <v>182</v>
      </c>
      <c r="C364" s="7" t="s">
        <v>225</v>
      </c>
      <c r="D364" s="7" t="s">
        <v>2225</v>
      </c>
      <c r="E364" s="7" t="s">
        <v>1179</v>
      </c>
      <c r="F364" s="7" t="s">
        <v>928</v>
      </c>
      <c r="G364" s="7" t="s">
        <v>1148</v>
      </c>
      <c r="H364" s="8" t="s">
        <v>227</v>
      </c>
      <c r="I364" s="8" t="s">
        <v>228</v>
      </c>
      <c r="J364" s="7" t="s">
        <v>133</v>
      </c>
      <c r="K364" s="7" t="s">
        <v>2226</v>
      </c>
      <c r="L364" s="7" t="n">
        <v>3</v>
      </c>
      <c r="M364" s="7" t="s">
        <v>226</v>
      </c>
      <c r="N364" s="7"/>
      <c r="O364" s="7" t="s">
        <v>1150</v>
      </c>
      <c r="P364" s="7" t="s">
        <v>1183</v>
      </c>
      <c r="Q364" s="7" t="s">
        <v>1152</v>
      </c>
      <c r="R364" s="8"/>
      <c r="S364" s="12"/>
      <c r="T364" s="12"/>
    </row>
    <row r="365" customFormat="false" ht="35.05" hidden="false" customHeight="false" outlineLevel="0" collapsed="false">
      <c r="A365" s="7" t="s">
        <v>2227</v>
      </c>
      <c r="B365" s="7" t="s">
        <v>182</v>
      </c>
      <c r="C365" s="7" t="s">
        <v>225</v>
      </c>
      <c r="D365" s="7" t="s">
        <v>2228</v>
      </c>
      <c r="E365" s="7" t="s">
        <v>1179</v>
      </c>
      <c r="F365" s="7" t="s">
        <v>928</v>
      </c>
      <c r="G365" s="7" t="s">
        <v>1148</v>
      </c>
      <c r="H365" s="8" t="s">
        <v>227</v>
      </c>
      <c r="I365" s="8" t="s">
        <v>228</v>
      </c>
      <c r="J365" s="7" t="s">
        <v>133</v>
      </c>
      <c r="K365" s="7" t="s">
        <v>2229</v>
      </c>
      <c r="L365" s="7" t="n">
        <v>3</v>
      </c>
      <c r="M365" s="7" t="s">
        <v>226</v>
      </c>
      <c r="N365" s="7"/>
      <c r="O365" s="7" t="s">
        <v>1150</v>
      </c>
      <c r="P365" s="7" t="s">
        <v>1183</v>
      </c>
      <c r="Q365" s="7" t="s">
        <v>1152</v>
      </c>
      <c r="R365" s="8"/>
      <c r="S365" s="12"/>
      <c r="T365" s="12"/>
    </row>
    <row r="366" customFormat="false" ht="35.05" hidden="false" customHeight="false" outlineLevel="0" collapsed="false">
      <c r="A366" s="7" t="s">
        <v>2230</v>
      </c>
      <c r="B366" s="7" t="s">
        <v>182</v>
      </c>
      <c r="C366" s="7" t="s">
        <v>225</v>
      </c>
      <c r="D366" s="7" t="s">
        <v>2231</v>
      </c>
      <c r="E366" s="7" t="s">
        <v>1179</v>
      </c>
      <c r="F366" s="7" t="s">
        <v>928</v>
      </c>
      <c r="G366" s="7" t="s">
        <v>1148</v>
      </c>
      <c r="H366" s="8" t="s">
        <v>227</v>
      </c>
      <c r="I366" s="8" t="s">
        <v>228</v>
      </c>
      <c r="J366" s="7" t="s">
        <v>133</v>
      </c>
      <c r="K366" s="7" t="s">
        <v>2232</v>
      </c>
      <c r="L366" s="7" t="n">
        <v>3</v>
      </c>
      <c r="M366" s="7" t="s">
        <v>226</v>
      </c>
      <c r="N366" s="7"/>
      <c r="O366" s="7" t="s">
        <v>1150</v>
      </c>
      <c r="P366" s="7" t="s">
        <v>1183</v>
      </c>
      <c r="Q366" s="7" t="s">
        <v>1152</v>
      </c>
      <c r="R366" s="8"/>
      <c r="S366" s="12"/>
      <c r="T366" s="12"/>
    </row>
    <row r="367" customFormat="false" ht="35.05" hidden="false" customHeight="false" outlineLevel="0" collapsed="false">
      <c r="A367" s="7" t="s">
        <v>2233</v>
      </c>
      <c r="B367" s="7" t="s">
        <v>182</v>
      </c>
      <c r="C367" s="7" t="s">
        <v>225</v>
      </c>
      <c r="D367" s="7" t="s">
        <v>2234</v>
      </c>
      <c r="E367" s="7" t="s">
        <v>1179</v>
      </c>
      <c r="F367" s="7" t="s">
        <v>928</v>
      </c>
      <c r="G367" s="7" t="s">
        <v>1148</v>
      </c>
      <c r="H367" s="8" t="s">
        <v>227</v>
      </c>
      <c r="I367" s="8" t="s">
        <v>228</v>
      </c>
      <c r="J367" s="7" t="s">
        <v>133</v>
      </c>
      <c r="K367" s="7" t="s">
        <v>2235</v>
      </c>
      <c r="L367" s="7" t="n">
        <v>3</v>
      </c>
      <c r="M367" s="7" t="s">
        <v>226</v>
      </c>
      <c r="N367" s="7"/>
      <c r="O367" s="7" t="s">
        <v>1150</v>
      </c>
      <c r="P367" s="7" t="s">
        <v>1183</v>
      </c>
      <c r="Q367" s="7" t="s">
        <v>1152</v>
      </c>
      <c r="R367" s="8"/>
      <c r="S367" s="12"/>
      <c r="T367" s="12"/>
    </row>
    <row r="368" customFormat="false" ht="46.25" hidden="false" customHeight="false" outlineLevel="0" collapsed="false">
      <c r="A368" s="7" t="s">
        <v>2236</v>
      </c>
      <c r="B368" s="7" t="s">
        <v>231</v>
      </c>
      <c r="C368" s="7" t="s">
        <v>235</v>
      </c>
      <c r="D368" s="7" t="s">
        <v>235</v>
      </c>
      <c r="E368" s="7" t="s">
        <v>1137</v>
      </c>
      <c r="F368" s="7" t="s">
        <v>928</v>
      </c>
      <c r="G368" s="7" t="s">
        <v>1148</v>
      </c>
      <c r="H368" s="8" t="s">
        <v>2237</v>
      </c>
      <c r="I368" s="8" t="s">
        <v>238</v>
      </c>
      <c r="J368" s="7" t="s">
        <v>87</v>
      </c>
      <c r="K368" s="7" t="s">
        <v>236</v>
      </c>
      <c r="L368" s="7" t="n">
        <v>2</v>
      </c>
      <c r="M368" s="7" t="s">
        <v>232</v>
      </c>
      <c r="N368" s="7"/>
      <c r="O368" s="7" t="s">
        <v>1150</v>
      </c>
      <c r="P368" s="7" t="s">
        <v>1151</v>
      </c>
      <c r="Q368" s="7" t="s">
        <v>1152</v>
      </c>
      <c r="R368" s="8"/>
      <c r="S368" s="12"/>
      <c r="T368" s="12"/>
    </row>
    <row r="369" customFormat="false" ht="35.05" hidden="false" customHeight="false" outlineLevel="0" collapsed="false">
      <c r="A369" s="7" t="s">
        <v>2238</v>
      </c>
      <c r="B369" s="7" t="s">
        <v>231</v>
      </c>
      <c r="C369" s="7" t="s">
        <v>235</v>
      </c>
      <c r="D369" s="7" t="s">
        <v>2239</v>
      </c>
      <c r="E369" s="7" t="s">
        <v>1179</v>
      </c>
      <c r="F369" s="7" t="s">
        <v>943</v>
      </c>
      <c r="G369" s="7" t="s">
        <v>1424</v>
      </c>
      <c r="H369" s="8" t="s">
        <v>237</v>
      </c>
      <c r="I369" s="8" t="s">
        <v>238</v>
      </c>
      <c r="J369" s="7" t="s">
        <v>133</v>
      </c>
      <c r="K369" s="7" t="s">
        <v>2240</v>
      </c>
      <c r="L369" s="7" t="n">
        <v>3</v>
      </c>
      <c r="M369" s="7" t="s">
        <v>236</v>
      </c>
      <c r="N369" s="7"/>
      <c r="O369" s="7" t="s">
        <v>1150</v>
      </c>
      <c r="P369" s="7" t="s">
        <v>1151</v>
      </c>
      <c r="Q369" s="7" t="s">
        <v>1184</v>
      </c>
      <c r="R369" s="8"/>
      <c r="S369" s="12"/>
      <c r="T369" s="12"/>
    </row>
    <row r="370" customFormat="false" ht="35.05" hidden="false" customHeight="false" outlineLevel="0" collapsed="false">
      <c r="A370" s="7" t="s">
        <v>2241</v>
      </c>
      <c r="B370" s="7" t="s">
        <v>231</v>
      </c>
      <c r="C370" s="7" t="s">
        <v>235</v>
      </c>
      <c r="D370" s="7" t="s">
        <v>2242</v>
      </c>
      <c r="E370" s="7" t="s">
        <v>1179</v>
      </c>
      <c r="F370" s="7" t="s">
        <v>943</v>
      </c>
      <c r="G370" s="7" t="s">
        <v>1424</v>
      </c>
      <c r="H370" s="8" t="s">
        <v>237</v>
      </c>
      <c r="I370" s="8" t="s">
        <v>238</v>
      </c>
      <c r="J370" s="7" t="s">
        <v>949</v>
      </c>
      <c r="K370" s="7" t="s">
        <v>2243</v>
      </c>
      <c r="L370" s="7" t="s">
        <v>952</v>
      </c>
      <c r="M370" s="7" t="s">
        <v>2240</v>
      </c>
      <c r="N370" s="7" t="s">
        <v>2239</v>
      </c>
      <c r="O370" s="7" t="s">
        <v>1150</v>
      </c>
      <c r="P370" s="7" t="s">
        <v>1183</v>
      </c>
      <c r="Q370" s="7" t="s">
        <v>1152</v>
      </c>
      <c r="R370" s="8" t="s">
        <v>1185</v>
      </c>
      <c r="S370" s="12"/>
      <c r="T370" s="12"/>
    </row>
    <row r="371" customFormat="false" ht="35.05" hidden="false" customHeight="false" outlineLevel="0" collapsed="false">
      <c r="A371" s="7" t="s">
        <v>2244</v>
      </c>
      <c r="B371" s="7" t="s">
        <v>231</v>
      </c>
      <c r="C371" s="7" t="s">
        <v>235</v>
      </c>
      <c r="D371" s="7" t="s">
        <v>2245</v>
      </c>
      <c r="E371" s="7" t="s">
        <v>1179</v>
      </c>
      <c r="F371" s="7" t="s">
        <v>943</v>
      </c>
      <c r="G371" s="7" t="s">
        <v>1424</v>
      </c>
      <c r="H371" s="8" t="s">
        <v>237</v>
      </c>
      <c r="I371" s="8" t="s">
        <v>238</v>
      </c>
      <c r="J371" s="7" t="s">
        <v>949</v>
      </c>
      <c r="K371" s="7" t="s">
        <v>2246</v>
      </c>
      <c r="L371" s="7" t="s">
        <v>952</v>
      </c>
      <c r="M371" s="7" t="s">
        <v>2240</v>
      </c>
      <c r="N371" s="7" t="s">
        <v>2239</v>
      </c>
      <c r="O371" s="7" t="s">
        <v>1150</v>
      </c>
      <c r="P371" s="7" t="s">
        <v>1183</v>
      </c>
      <c r="Q371" s="7" t="s">
        <v>1152</v>
      </c>
      <c r="R371" s="8" t="s">
        <v>1185</v>
      </c>
      <c r="S371" s="12"/>
      <c r="T371" s="12"/>
    </row>
    <row r="372" customFormat="false" ht="35.05" hidden="false" customHeight="false" outlineLevel="0" collapsed="false">
      <c r="A372" s="7" t="s">
        <v>2247</v>
      </c>
      <c r="B372" s="7" t="s">
        <v>231</v>
      </c>
      <c r="C372" s="7" t="s">
        <v>235</v>
      </c>
      <c r="D372" s="7" t="s">
        <v>2248</v>
      </c>
      <c r="E372" s="7" t="s">
        <v>1179</v>
      </c>
      <c r="F372" s="7" t="s">
        <v>943</v>
      </c>
      <c r="G372" s="7" t="s">
        <v>1424</v>
      </c>
      <c r="H372" s="8" t="s">
        <v>237</v>
      </c>
      <c r="I372" s="8" t="s">
        <v>238</v>
      </c>
      <c r="J372" s="7" t="s">
        <v>133</v>
      </c>
      <c r="K372" s="7" t="s">
        <v>2249</v>
      </c>
      <c r="L372" s="7" t="n">
        <v>3</v>
      </c>
      <c r="M372" s="7" t="s">
        <v>236</v>
      </c>
      <c r="N372" s="7"/>
      <c r="O372" s="7" t="s">
        <v>1150</v>
      </c>
      <c r="P372" s="7" t="s">
        <v>1151</v>
      </c>
      <c r="Q372" s="7" t="s">
        <v>1152</v>
      </c>
      <c r="R372" s="8"/>
      <c r="S372" s="12"/>
      <c r="T372" s="12"/>
    </row>
    <row r="373" customFormat="false" ht="35.05" hidden="false" customHeight="false" outlineLevel="0" collapsed="false">
      <c r="A373" s="7" t="s">
        <v>2250</v>
      </c>
      <c r="B373" s="7" t="s">
        <v>231</v>
      </c>
      <c r="C373" s="7" t="s">
        <v>235</v>
      </c>
      <c r="D373" s="7" t="s">
        <v>2251</v>
      </c>
      <c r="E373" s="7" t="s">
        <v>1179</v>
      </c>
      <c r="F373" s="7" t="s">
        <v>943</v>
      </c>
      <c r="G373" s="7" t="s">
        <v>1424</v>
      </c>
      <c r="H373" s="8" t="s">
        <v>237</v>
      </c>
      <c r="I373" s="8" t="s">
        <v>238</v>
      </c>
      <c r="J373" s="7" t="s">
        <v>949</v>
      </c>
      <c r="K373" s="7" t="s">
        <v>2252</v>
      </c>
      <c r="L373" s="7" t="s">
        <v>952</v>
      </c>
      <c r="M373" s="7" t="s">
        <v>2249</v>
      </c>
      <c r="N373" s="7" t="s">
        <v>2248</v>
      </c>
      <c r="O373" s="7" t="s">
        <v>1150</v>
      </c>
      <c r="P373" s="7" t="s">
        <v>1183</v>
      </c>
      <c r="Q373" s="7" t="s">
        <v>1152</v>
      </c>
      <c r="R373" s="8" t="s">
        <v>1185</v>
      </c>
      <c r="S373" s="12"/>
      <c r="T373" s="12"/>
    </row>
    <row r="374" customFormat="false" ht="35.05" hidden="false" customHeight="false" outlineLevel="0" collapsed="false">
      <c r="A374" s="7" t="s">
        <v>2253</v>
      </c>
      <c r="B374" s="7" t="s">
        <v>231</v>
      </c>
      <c r="C374" s="7" t="s">
        <v>235</v>
      </c>
      <c r="D374" s="7" t="s">
        <v>2254</v>
      </c>
      <c r="E374" s="7" t="s">
        <v>1179</v>
      </c>
      <c r="F374" s="7" t="s">
        <v>943</v>
      </c>
      <c r="G374" s="7" t="s">
        <v>1424</v>
      </c>
      <c r="H374" s="8" t="s">
        <v>237</v>
      </c>
      <c r="I374" s="8" t="s">
        <v>238</v>
      </c>
      <c r="J374" s="7" t="s">
        <v>949</v>
      </c>
      <c r="K374" s="7" t="s">
        <v>2255</v>
      </c>
      <c r="L374" s="7" t="s">
        <v>952</v>
      </c>
      <c r="M374" s="7" t="s">
        <v>2249</v>
      </c>
      <c r="N374" s="7" t="s">
        <v>2248</v>
      </c>
      <c r="O374" s="7" t="s">
        <v>1150</v>
      </c>
      <c r="P374" s="7" t="s">
        <v>1183</v>
      </c>
      <c r="Q374" s="7" t="s">
        <v>1152</v>
      </c>
      <c r="R374" s="8" t="s">
        <v>1185</v>
      </c>
      <c r="S374" s="12"/>
      <c r="T374" s="12"/>
    </row>
    <row r="375" customFormat="false" ht="35.05" hidden="false" customHeight="false" outlineLevel="0" collapsed="false">
      <c r="A375" s="7" t="s">
        <v>2256</v>
      </c>
      <c r="B375" s="7" t="s">
        <v>231</v>
      </c>
      <c r="C375" s="7" t="s">
        <v>235</v>
      </c>
      <c r="D375" s="7" t="s">
        <v>2257</v>
      </c>
      <c r="E375" s="7" t="s">
        <v>1179</v>
      </c>
      <c r="F375" s="7" t="s">
        <v>943</v>
      </c>
      <c r="G375" s="7" t="s">
        <v>1424</v>
      </c>
      <c r="H375" s="8" t="s">
        <v>237</v>
      </c>
      <c r="I375" s="8" t="s">
        <v>238</v>
      </c>
      <c r="J375" s="7" t="s">
        <v>133</v>
      </c>
      <c r="K375" s="7" t="s">
        <v>2258</v>
      </c>
      <c r="L375" s="7" t="n">
        <v>3</v>
      </c>
      <c r="M375" s="7" t="s">
        <v>236</v>
      </c>
      <c r="N375" s="7"/>
      <c r="O375" s="7" t="s">
        <v>1150</v>
      </c>
      <c r="P375" s="7" t="s">
        <v>1183</v>
      </c>
      <c r="Q375" s="7" t="s">
        <v>1152</v>
      </c>
      <c r="R375" s="8"/>
      <c r="S375" s="12"/>
      <c r="T375" s="12"/>
    </row>
    <row r="376" customFormat="false" ht="35.05" hidden="false" customHeight="false" outlineLevel="0" collapsed="false">
      <c r="A376" s="7" t="s">
        <v>2259</v>
      </c>
      <c r="B376" s="7" t="s">
        <v>231</v>
      </c>
      <c r="C376" s="7" t="s">
        <v>235</v>
      </c>
      <c r="D376" s="7" t="s">
        <v>2260</v>
      </c>
      <c r="E376" s="7" t="s">
        <v>1179</v>
      </c>
      <c r="F376" s="7" t="s">
        <v>943</v>
      </c>
      <c r="G376" s="7" t="s">
        <v>1424</v>
      </c>
      <c r="H376" s="8" t="s">
        <v>237</v>
      </c>
      <c r="I376" s="8" t="s">
        <v>238</v>
      </c>
      <c r="J376" s="7" t="s">
        <v>133</v>
      </c>
      <c r="K376" s="7" t="s">
        <v>2261</v>
      </c>
      <c r="L376" s="7" t="n">
        <v>3</v>
      </c>
      <c r="M376" s="7" t="s">
        <v>236</v>
      </c>
      <c r="N376" s="7"/>
      <c r="O376" s="7" t="s">
        <v>1150</v>
      </c>
      <c r="P376" s="7" t="s">
        <v>1183</v>
      </c>
      <c r="Q376" s="7" t="s">
        <v>1152</v>
      </c>
      <c r="R376" s="8"/>
      <c r="S376" s="12"/>
      <c r="T376" s="12"/>
    </row>
    <row r="377" customFormat="false" ht="35.05" hidden="false" customHeight="false" outlineLevel="0" collapsed="false">
      <c r="A377" s="7" t="s">
        <v>2262</v>
      </c>
      <c r="B377" s="7" t="s">
        <v>231</v>
      </c>
      <c r="C377" s="7" t="s">
        <v>235</v>
      </c>
      <c r="D377" s="7" t="s">
        <v>2263</v>
      </c>
      <c r="E377" s="7" t="s">
        <v>1179</v>
      </c>
      <c r="F377" s="7" t="s">
        <v>943</v>
      </c>
      <c r="G377" s="7" t="s">
        <v>1424</v>
      </c>
      <c r="H377" s="8" t="s">
        <v>237</v>
      </c>
      <c r="I377" s="8" t="s">
        <v>238</v>
      </c>
      <c r="J377" s="7" t="s">
        <v>133</v>
      </c>
      <c r="K377" s="7" t="s">
        <v>2264</v>
      </c>
      <c r="L377" s="7" t="n">
        <v>3</v>
      </c>
      <c r="M377" s="7" t="s">
        <v>236</v>
      </c>
      <c r="N377" s="7"/>
      <c r="O377" s="7" t="s">
        <v>1150</v>
      </c>
      <c r="P377" s="7" t="s">
        <v>1183</v>
      </c>
      <c r="Q377" s="7" t="s">
        <v>1152</v>
      </c>
      <c r="R377" s="8"/>
      <c r="S377" s="12"/>
      <c r="T377" s="12"/>
    </row>
    <row r="378" customFormat="false" ht="35.05" hidden="false" customHeight="false" outlineLevel="0" collapsed="false">
      <c r="A378" s="7" t="s">
        <v>2265</v>
      </c>
      <c r="B378" s="7" t="s">
        <v>231</v>
      </c>
      <c r="C378" s="7" t="s">
        <v>235</v>
      </c>
      <c r="D378" s="7" t="s">
        <v>2266</v>
      </c>
      <c r="E378" s="7" t="s">
        <v>1179</v>
      </c>
      <c r="F378" s="7" t="s">
        <v>943</v>
      </c>
      <c r="G378" s="7" t="s">
        <v>1424</v>
      </c>
      <c r="H378" s="8" t="s">
        <v>237</v>
      </c>
      <c r="I378" s="8" t="s">
        <v>238</v>
      </c>
      <c r="J378" s="7" t="s">
        <v>133</v>
      </c>
      <c r="K378" s="7" t="s">
        <v>2267</v>
      </c>
      <c r="L378" s="7" t="n">
        <v>3</v>
      </c>
      <c r="M378" s="7" t="s">
        <v>236</v>
      </c>
      <c r="N378" s="7"/>
      <c r="O378" s="7" t="s">
        <v>1150</v>
      </c>
      <c r="P378" s="7" t="s">
        <v>1183</v>
      </c>
      <c r="Q378" s="7" t="s">
        <v>1152</v>
      </c>
      <c r="R378" s="8"/>
      <c r="S378" s="12"/>
      <c r="T378" s="12"/>
    </row>
    <row r="379" customFormat="false" ht="35.05" hidden="false" customHeight="false" outlineLevel="0" collapsed="false">
      <c r="A379" s="7" t="s">
        <v>2268</v>
      </c>
      <c r="B379" s="7" t="s">
        <v>231</v>
      </c>
      <c r="C379" s="7" t="s">
        <v>235</v>
      </c>
      <c r="D379" s="7" t="s">
        <v>2269</v>
      </c>
      <c r="E379" s="7" t="s">
        <v>1179</v>
      </c>
      <c r="F379" s="7" t="s">
        <v>943</v>
      </c>
      <c r="G379" s="7" t="s">
        <v>1424</v>
      </c>
      <c r="H379" s="8" t="s">
        <v>237</v>
      </c>
      <c r="I379" s="8" t="s">
        <v>238</v>
      </c>
      <c r="J379" s="7" t="s">
        <v>133</v>
      </c>
      <c r="K379" s="7" t="s">
        <v>2270</v>
      </c>
      <c r="L379" s="7" t="n">
        <v>3</v>
      </c>
      <c r="M379" s="7" t="s">
        <v>236</v>
      </c>
      <c r="N379" s="7"/>
      <c r="O379" s="7" t="s">
        <v>1150</v>
      </c>
      <c r="P379" s="7" t="s">
        <v>1183</v>
      </c>
      <c r="Q379" s="7" t="s">
        <v>1152</v>
      </c>
      <c r="R379" s="8"/>
      <c r="S379" s="12"/>
      <c r="T379" s="12"/>
    </row>
    <row r="380" customFormat="false" ht="35.05" hidden="false" customHeight="false" outlineLevel="0" collapsed="false">
      <c r="A380" s="7" t="s">
        <v>2271</v>
      </c>
      <c r="B380" s="7" t="s">
        <v>231</v>
      </c>
      <c r="C380" s="7" t="s">
        <v>235</v>
      </c>
      <c r="D380" s="7" t="s">
        <v>2272</v>
      </c>
      <c r="E380" s="7" t="s">
        <v>1179</v>
      </c>
      <c r="F380" s="7" t="s">
        <v>943</v>
      </c>
      <c r="G380" s="7" t="s">
        <v>1424</v>
      </c>
      <c r="H380" s="8" t="s">
        <v>237</v>
      </c>
      <c r="I380" s="8" t="s">
        <v>238</v>
      </c>
      <c r="J380" s="7" t="s">
        <v>133</v>
      </c>
      <c r="K380" s="7" t="s">
        <v>2273</v>
      </c>
      <c r="L380" s="7" t="n">
        <v>3</v>
      </c>
      <c r="M380" s="7" t="s">
        <v>236</v>
      </c>
      <c r="N380" s="7"/>
      <c r="O380" s="7" t="s">
        <v>1150</v>
      </c>
      <c r="P380" s="7" t="s">
        <v>1183</v>
      </c>
      <c r="Q380" s="7" t="s">
        <v>1152</v>
      </c>
      <c r="R380" s="8"/>
      <c r="S380" s="12"/>
      <c r="T380" s="12"/>
    </row>
    <row r="381" customFormat="false" ht="46.25" hidden="false" customHeight="false" outlineLevel="0" collapsed="false">
      <c r="A381" s="7" t="s">
        <v>2274</v>
      </c>
      <c r="B381" s="7" t="s">
        <v>231</v>
      </c>
      <c r="C381" s="7" t="s">
        <v>235</v>
      </c>
      <c r="D381" s="7" t="s">
        <v>2275</v>
      </c>
      <c r="E381" s="7" t="s">
        <v>1179</v>
      </c>
      <c r="F381" s="7" t="s">
        <v>943</v>
      </c>
      <c r="G381" s="7" t="s">
        <v>1424</v>
      </c>
      <c r="H381" s="8" t="s">
        <v>2276</v>
      </c>
      <c r="I381" s="8" t="s">
        <v>238</v>
      </c>
      <c r="J381" s="7" t="s">
        <v>133</v>
      </c>
      <c r="K381" s="7" t="s">
        <v>2277</v>
      </c>
      <c r="L381" s="7" t="n">
        <v>3</v>
      </c>
      <c r="M381" s="7" t="s">
        <v>236</v>
      </c>
      <c r="N381" s="7"/>
      <c r="O381" s="7" t="s">
        <v>1150</v>
      </c>
      <c r="P381" s="7" t="s">
        <v>1183</v>
      </c>
      <c r="Q381" s="7" t="s">
        <v>1152</v>
      </c>
      <c r="R381" s="8"/>
      <c r="S381" s="12"/>
      <c r="T381" s="12"/>
    </row>
    <row r="382" customFormat="false" ht="35.05" hidden="false" customHeight="false" outlineLevel="0" collapsed="false">
      <c r="A382" s="7" t="s">
        <v>2278</v>
      </c>
      <c r="B382" s="7" t="s">
        <v>231</v>
      </c>
      <c r="C382" s="7" t="s">
        <v>235</v>
      </c>
      <c r="D382" s="7" t="s">
        <v>2279</v>
      </c>
      <c r="E382" s="7" t="s">
        <v>1179</v>
      </c>
      <c r="F382" s="7" t="s">
        <v>943</v>
      </c>
      <c r="G382" s="7" t="s">
        <v>1424</v>
      </c>
      <c r="H382" s="8" t="s">
        <v>237</v>
      </c>
      <c r="I382" s="8" t="s">
        <v>238</v>
      </c>
      <c r="J382" s="7" t="s">
        <v>133</v>
      </c>
      <c r="K382" s="7" t="s">
        <v>2280</v>
      </c>
      <c r="L382" s="7" t="n">
        <v>3</v>
      </c>
      <c r="M382" s="7" t="s">
        <v>236</v>
      </c>
      <c r="N382" s="7"/>
      <c r="O382" s="7" t="s">
        <v>1150</v>
      </c>
      <c r="P382" s="7" t="s">
        <v>1183</v>
      </c>
      <c r="Q382" s="7" t="s">
        <v>1152</v>
      </c>
      <c r="R382" s="8"/>
      <c r="S382" s="12"/>
      <c r="T382" s="12"/>
    </row>
    <row r="383" customFormat="false" ht="35.05" hidden="false" customHeight="false" outlineLevel="0" collapsed="false">
      <c r="A383" s="7" t="s">
        <v>2281</v>
      </c>
      <c r="B383" s="7" t="s">
        <v>231</v>
      </c>
      <c r="C383" s="7" t="s">
        <v>235</v>
      </c>
      <c r="D383" s="7" t="s">
        <v>2282</v>
      </c>
      <c r="E383" s="7" t="s">
        <v>1179</v>
      </c>
      <c r="F383" s="7" t="s">
        <v>943</v>
      </c>
      <c r="G383" s="7" t="s">
        <v>1424</v>
      </c>
      <c r="H383" s="8" t="s">
        <v>237</v>
      </c>
      <c r="I383" s="8" t="s">
        <v>238</v>
      </c>
      <c r="J383" s="7" t="s">
        <v>133</v>
      </c>
      <c r="K383" s="7" t="s">
        <v>2283</v>
      </c>
      <c r="L383" s="7" t="n">
        <v>3</v>
      </c>
      <c r="M383" s="7" t="s">
        <v>236</v>
      </c>
      <c r="N383" s="7"/>
      <c r="O383" s="7" t="s">
        <v>1150</v>
      </c>
      <c r="P383" s="7" t="s">
        <v>1183</v>
      </c>
      <c r="Q383" s="7" t="s">
        <v>1152</v>
      </c>
      <c r="R383" s="8"/>
      <c r="S383" s="12"/>
      <c r="T383" s="12"/>
    </row>
    <row r="384" customFormat="false" ht="35.05" hidden="false" customHeight="false" outlineLevel="0" collapsed="false">
      <c r="A384" s="7" t="s">
        <v>2284</v>
      </c>
      <c r="B384" s="7" t="s">
        <v>231</v>
      </c>
      <c r="C384" s="7" t="s">
        <v>235</v>
      </c>
      <c r="D384" s="7" t="s">
        <v>2285</v>
      </c>
      <c r="E384" s="7" t="s">
        <v>1179</v>
      </c>
      <c r="F384" s="7" t="s">
        <v>943</v>
      </c>
      <c r="G384" s="7" t="s">
        <v>1424</v>
      </c>
      <c r="H384" s="8" t="s">
        <v>237</v>
      </c>
      <c r="I384" s="8" t="s">
        <v>238</v>
      </c>
      <c r="J384" s="7" t="s">
        <v>133</v>
      </c>
      <c r="K384" s="7" t="s">
        <v>2286</v>
      </c>
      <c r="L384" s="7" t="n">
        <v>3</v>
      </c>
      <c r="M384" s="7" t="s">
        <v>236</v>
      </c>
      <c r="N384" s="7"/>
      <c r="O384" s="7" t="s">
        <v>1150</v>
      </c>
      <c r="P384" s="7" t="s">
        <v>1183</v>
      </c>
      <c r="Q384" s="7" t="s">
        <v>1152</v>
      </c>
      <c r="R384" s="8"/>
      <c r="S384" s="12"/>
      <c r="T384" s="12"/>
    </row>
    <row r="385" customFormat="false" ht="35.05" hidden="false" customHeight="false" outlineLevel="0" collapsed="false">
      <c r="A385" s="7" t="s">
        <v>2287</v>
      </c>
      <c r="B385" s="7" t="s">
        <v>231</v>
      </c>
      <c r="C385" s="7" t="s">
        <v>235</v>
      </c>
      <c r="D385" s="7" t="s">
        <v>2288</v>
      </c>
      <c r="E385" s="7" t="s">
        <v>1179</v>
      </c>
      <c r="F385" s="7" t="s">
        <v>943</v>
      </c>
      <c r="G385" s="7" t="s">
        <v>1424</v>
      </c>
      <c r="H385" s="8" t="s">
        <v>237</v>
      </c>
      <c r="I385" s="8" t="s">
        <v>238</v>
      </c>
      <c r="J385" s="7" t="s">
        <v>133</v>
      </c>
      <c r="K385" s="7" t="s">
        <v>2289</v>
      </c>
      <c r="L385" s="7" t="n">
        <v>3</v>
      </c>
      <c r="M385" s="7" t="s">
        <v>236</v>
      </c>
      <c r="N385" s="7"/>
      <c r="O385" s="7" t="s">
        <v>1150</v>
      </c>
      <c r="P385" s="7" t="s">
        <v>1183</v>
      </c>
      <c r="Q385" s="7" t="s">
        <v>1152</v>
      </c>
      <c r="R385" s="8"/>
      <c r="S385" s="12"/>
      <c r="T385" s="12"/>
    </row>
    <row r="386" customFormat="false" ht="35.05" hidden="false" customHeight="false" outlineLevel="0" collapsed="false">
      <c r="A386" s="7" t="s">
        <v>2290</v>
      </c>
      <c r="B386" s="7" t="s">
        <v>231</v>
      </c>
      <c r="C386" s="7" t="s">
        <v>235</v>
      </c>
      <c r="D386" s="7" t="s">
        <v>2291</v>
      </c>
      <c r="E386" s="7" t="s">
        <v>1179</v>
      </c>
      <c r="F386" s="7" t="s">
        <v>943</v>
      </c>
      <c r="G386" s="7" t="s">
        <v>1424</v>
      </c>
      <c r="H386" s="8" t="s">
        <v>237</v>
      </c>
      <c r="I386" s="8" t="s">
        <v>238</v>
      </c>
      <c r="J386" s="7" t="s">
        <v>133</v>
      </c>
      <c r="K386" s="7" t="s">
        <v>2292</v>
      </c>
      <c r="L386" s="7" t="n">
        <v>3</v>
      </c>
      <c r="M386" s="7" t="s">
        <v>236</v>
      </c>
      <c r="N386" s="7"/>
      <c r="O386" s="7" t="s">
        <v>1150</v>
      </c>
      <c r="P386" s="7" t="s">
        <v>1183</v>
      </c>
      <c r="Q386" s="7" t="s">
        <v>1152</v>
      </c>
      <c r="R386" s="8"/>
      <c r="S386" s="12"/>
      <c r="T386" s="12"/>
    </row>
    <row r="387" customFormat="false" ht="35.05" hidden="false" customHeight="false" outlineLevel="0" collapsed="false">
      <c r="A387" s="7" t="s">
        <v>2293</v>
      </c>
      <c r="B387" s="7" t="s">
        <v>231</v>
      </c>
      <c r="C387" s="7" t="s">
        <v>235</v>
      </c>
      <c r="D387" s="7" t="s">
        <v>2294</v>
      </c>
      <c r="E387" s="7" t="s">
        <v>1179</v>
      </c>
      <c r="F387" s="7" t="s">
        <v>943</v>
      </c>
      <c r="G387" s="7" t="s">
        <v>1424</v>
      </c>
      <c r="H387" s="8" t="s">
        <v>237</v>
      </c>
      <c r="I387" s="8" t="s">
        <v>238</v>
      </c>
      <c r="J387" s="7" t="s">
        <v>133</v>
      </c>
      <c r="K387" s="7" t="s">
        <v>2295</v>
      </c>
      <c r="L387" s="7" t="n">
        <v>3</v>
      </c>
      <c r="M387" s="7" t="s">
        <v>236</v>
      </c>
      <c r="N387" s="7"/>
      <c r="O387" s="7" t="s">
        <v>1150</v>
      </c>
      <c r="P387" s="7" t="s">
        <v>1183</v>
      </c>
      <c r="Q387" s="7" t="s">
        <v>1152</v>
      </c>
      <c r="R387" s="8"/>
      <c r="S387" s="12"/>
      <c r="T387" s="12"/>
    </row>
    <row r="388" customFormat="false" ht="35.05" hidden="false" customHeight="false" outlineLevel="0" collapsed="false">
      <c r="A388" s="7" t="s">
        <v>2296</v>
      </c>
      <c r="B388" s="7" t="s">
        <v>231</v>
      </c>
      <c r="C388" s="7" t="s">
        <v>239</v>
      </c>
      <c r="D388" s="7" t="s">
        <v>239</v>
      </c>
      <c r="E388" s="7" t="s">
        <v>1137</v>
      </c>
      <c r="F388" s="7" t="s">
        <v>928</v>
      </c>
      <c r="G388" s="7" t="s">
        <v>1148</v>
      </c>
      <c r="H388" s="8" t="s">
        <v>2297</v>
      </c>
      <c r="I388" s="8" t="s">
        <v>242</v>
      </c>
      <c r="J388" s="7" t="s">
        <v>87</v>
      </c>
      <c r="K388" s="7" t="s">
        <v>240</v>
      </c>
      <c r="L388" s="7" t="n">
        <v>2</v>
      </c>
      <c r="M388" s="7" t="s">
        <v>232</v>
      </c>
      <c r="N388" s="7"/>
      <c r="O388" s="7" t="s">
        <v>1150</v>
      </c>
      <c r="P388" s="7" t="s">
        <v>1151</v>
      </c>
      <c r="Q388" s="7" t="s">
        <v>1152</v>
      </c>
      <c r="R388" s="8"/>
      <c r="S388" s="12"/>
      <c r="T388" s="12"/>
    </row>
    <row r="389" customFormat="false" ht="35.05" hidden="false" customHeight="false" outlineLevel="0" collapsed="false">
      <c r="A389" s="7" t="s">
        <v>2298</v>
      </c>
      <c r="B389" s="7" t="s">
        <v>231</v>
      </c>
      <c r="C389" s="7" t="s">
        <v>239</v>
      </c>
      <c r="D389" s="7" t="s">
        <v>2299</v>
      </c>
      <c r="E389" s="7" t="s">
        <v>1179</v>
      </c>
      <c r="F389" s="7" t="s">
        <v>943</v>
      </c>
      <c r="G389" s="7" t="s">
        <v>1424</v>
      </c>
      <c r="H389" s="8" t="s">
        <v>241</v>
      </c>
      <c r="I389" s="8" t="s">
        <v>242</v>
      </c>
      <c r="J389" s="7" t="s">
        <v>133</v>
      </c>
      <c r="K389" s="7" t="s">
        <v>2300</v>
      </c>
      <c r="L389" s="7" t="n">
        <v>3</v>
      </c>
      <c r="M389" s="7" t="s">
        <v>240</v>
      </c>
      <c r="N389" s="7"/>
      <c r="O389" s="7" t="s">
        <v>1150</v>
      </c>
      <c r="P389" s="7" t="s">
        <v>1151</v>
      </c>
      <c r="Q389" s="7" t="s">
        <v>1152</v>
      </c>
      <c r="R389" s="8"/>
      <c r="S389" s="12"/>
      <c r="T389" s="12"/>
    </row>
    <row r="390" customFormat="false" ht="35.05" hidden="false" customHeight="false" outlineLevel="0" collapsed="false">
      <c r="A390" s="7" t="s">
        <v>2301</v>
      </c>
      <c r="B390" s="7" t="s">
        <v>231</v>
      </c>
      <c r="C390" s="7" t="s">
        <v>239</v>
      </c>
      <c r="D390" s="7" t="s">
        <v>2302</v>
      </c>
      <c r="E390" s="7" t="s">
        <v>1179</v>
      </c>
      <c r="F390" s="7" t="s">
        <v>943</v>
      </c>
      <c r="G390" s="7" t="s">
        <v>1424</v>
      </c>
      <c r="H390" s="8" t="s">
        <v>241</v>
      </c>
      <c r="I390" s="8" t="s">
        <v>242</v>
      </c>
      <c r="J390" s="7" t="s">
        <v>949</v>
      </c>
      <c r="K390" s="7" t="s">
        <v>2303</v>
      </c>
      <c r="L390" s="7" t="s">
        <v>952</v>
      </c>
      <c r="M390" s="7" t="s">
        <v>2300</v>
      </c>
      <c r="N390" s="7" t="s">
        <v>2299</v>
      </c>
      <c r="O390" s="7" t="s">
        <v>1150</v>
      </c>
      <c r="P390" s="7" t="s">
        <v>1183</v>
      </c>
      <c r="Q390" s="7" t="s">
        <v>1152</v>
      </c>
      <c r="R390" s="8" t="s">
        <v>1185</v>
      </c>
      <c r="S390" s="12"/>
      <c r="T390" s="12"/>
    </row>
    <row r="391" customFormat="false" ht="35.05" hidden="false" customHeight="false" outlineLevel="0" collapsed="false">
      <c r="A391" s="7" t="s">
        <v>2304</v>
      </c>
      <c r="B391" s="7" t="s">
        <v>231</v>
      </c>
      <c r="C391" s="7" t="s">
        <v>239</v>
      </c>
      <c r="D391" s="7" t="s">
        <v>2305</v>
      </c>
      <c r="E391" s="7" t="s">
        <v>1179</v>
      </c>
      <c r="F391" s="7" t="s">
        <v>943</v>
      </c>
      <c r="G391" s="7" t="s">
        <v>1424</v>
      </c>
      <c r="H391" s="8" t="s">
        <v>241</v>
      </c>
      <c r="I391" s="8" t="s">
        <v>242</v>
      </c>
      <c r="J391" s="7" t="s">
        <v>949</v>
      </c>
      <c r="K391" s="7" t="s">
        <v>2306</v>
      </c>
      <c r="L391" s="7" t="s">
        <v>952</v>
      </c>
      <c r="M391" s="7" t="s">
        <v>2300</v>
      </c>
      <c r="N391" s="7" t="s">
        <v>2299</v>
      </c>
      <c r="O391" s="7" t="s">
        <v>1150</v>
      </c>
      <c r="P391" s="7" t="s">
        <v>1183</v>
      </c>
      <c r="Q391" s="7" t="s">
        <v>1152</v>
      </c>
      <c r="R391" s="8" t="s">
        <v>1185</v>
      </c>
      <c r="S391" s="12"/>
      <c r="T391" s="12"/>
    </row>
    <row r="392" customFormat="false" ht="35.05" hidden="false" customHeight="false" outlineLevel="0" collapsed="false">
      <c r="A392" s="7" t="s">
        <v>2307</v>
      </c>
      <c r="B392" s="7" t="s">
        <v>231</v>
      </c>
      <c r="C392" s="7" t="s">
        <v>239</v>
      </c>
      <c r="D392" s="7" t="s">
        <v>2308</v>
      </c>
      <c r="E392" s="7" t="s">
        <v>1179</v>
      </c>
      <c r="F392" s="7" t="s">
        <v>943</v>
      </c>
      <c r="G392" s="7" t="s">
        <v>1424</v>
      </c>
      <c r="H392" s="8" t="s">
        <v>241</v>
      </c>
      <c r="I392" s="8" t="s">
        <v>242</v>
      </c>
      <c r="J392" s="7" t="s">
        <v>133</v>
      </c>
      <c r="K392" s="7" t="s">
        <v>2309</v>
      </c>
      <c r="L392" s="7" t="n">
        <v>3</v>
      </c>
      <c r="M392" s="7" t="s">
        <v>240</v>
      </c>
      <c r="N392" s="7"/>
      <c r="O392" s="7" t="s">
        <v>1150</v>
      </c>
      <c r="P392" s="7" t="s">
        <v>1183</v>
      </c>
      <c r="Q392" s="7" t="s">
        <v>1152</v>
      </c>
      <c r="R392" s="8"/>
      <c r="S392" s="12"/>
      <c r="T392" s="12"/>
    </row>
    <row r="393" customFormat="false" ht="35.05" hidden="false" customHeight="false" outlineLevel="0" collapsed="false">
      <c r="A393" s="7" t="s">
        <v>2310</v>
      </c>
      <c r="B393" s="7" t="s">
        <v>231</v>
      </c>
      <c r="C393" s="7" t="s">
        <v>239</v>
      </c>
      <c r="D393" s="7" t="s">
        <v>2311</v>
      </c>
      <c r="E393" s="7" t="s">
        <v>1179</v>
      </c>
      <c r="F393" s="7" t="s">
        <v>943</v>
      </c>
      <c r="G393" s="7" t="s">
        <v>1424</v>
      </c>
      <c r="H393" s="8" t="s">
        <v>241</v>
      </c>
      <c r="I393" s="8" t="s">
        <v>242</v>
      </c>
      <c r="J393" s="7" t="s">
        <v>133</v>
      </c>
      <c r="K393" s="7" t="s">
        <v>2312</v>
      </c>
      <c r="L393" s="7" t="n">
        <v>3</v>
      </c>
      <c r="M393" s="7" t="s">
        <v>240</v>
      </c>
      <c r="N393" s="7"/>
      <c r="O393" s="7" t="s">
        <v>1150</v>
      </c>
      <c r="P393" s="7" t="s">
        <v>1183</v>
      </c>
      <c r="Q393" s="7" t="s">
        <v>1184</v>
      </c>
      <c r="R393" s="8"/>
      <c r="S393" s="12"/>
      <c r="T393" s="12"/>
    </row>
    <row r="394" customFormat="false" ht="35.05" hidden="false" customHeight="false" outlineLevel="0" collapsed="false">
      <c r="A394" s="7" t="s">
        <v>2313</v>
      </c>
      <c r="B394" s="7" t="s">
        <v>231</v>
      </c>
      <c r="C394" s="7" t="s">
        <v>239</v>
      </c>
      <c r="D394" s="7" t="s">
        <v>2314</v>
      </c>
      <c r="E394" s="7" t="s">
        <v>1179</v>
      </c>
      <c r="F394" s="7" t="s">
        <v>943</v>
      </c>
      <c r="G394" s="7" t="s">
        <v>1424</v>
      </c>
      <c r="H394" s="8" t="s">
        <v>241</v>
      </c>
      <c r="I394" s="8" t="s">
        <v>242</v>
      </c>
      <c r="J394" s="7" t="s">
        <v>133</v>
      </c>
      <c r="K394" s="7" t="s">
        <v>2315</v>
      </c>
      <c r="L394" s="7" t="n">
        <v>3</v>
      </c>
      <c r="M394" s="7" t="s">
        <v>240</v>
      </c>
      <c r="N394" s="7"/>
      <c r="O394" s="7" t="s">
        <v>1150</v>
      </c>
      <c r="P394" s="7" t="s">
        <v>1151</v>
      </c>
      <c r="Q394" s="7" t="s">
        <v>1184</v>
      </c>
      <c r="R394" s="8"/>
      <c r="S394" s="12"/>
      <c r="T394" s="12"/>
    </row>
    <row r="395" customFormat="false" ht="35.05" hidden="false" customHeight="false" outlineLevel="0" collapsed="false">
      <c r="A395" s="7" t="s">
        <v>2316</v>
      </c>
      <c r="B395" s="7" t="s">
        <v>231</v>
      </c>
      <c r="C395" s="7" t="s">
        <v>239</v>
      </c>
      <c r="D395" s="7" t="s">
        <v>2317</v>
      </c>
      <c r="E395" s="7" t="s">
        <v>1179</v>
      </c>
      <c r="F395" s="7" t="s">
        <v>943</v>
      </c>
      <c r="G395" s="7" t="s">
        <v>1424</v>
      </c>
      <c r="H395" s="8" t="s">
        <v>241</v>
      </c>
      <c r="I395" s="8" t="s">
        <v>242</v>
      </c>
      <c r="J395" s="7" t="s">
        <v>949</v>
      </c>
      <c r="K395" s="7" t="s">
        <v>2318</v>
      </c>
      <c r="L395" s="7" t="s">
        <v>952</v>
      </c>
      <c r="M395" s="7" t="s">
        <v>2315</v>
      </c>
      <c r="N395" s="7" t="s">
        <v>2314</v>
      </c>
      <c r="O395" s="7" t="s">
        <v>1150</v>
      </c>
      <c r="P395" s="7" t="s">
        <v>1183</v>
      </c>
      <c r="Q395" s="7" t="s">
        <v>1152</v>
      </c>
      <c r="R395" s="8" t="s">
        <v>1185</v>
      </c>
      <c r="S395" s="12"/>
      <c r="T395" s="12"/>
    </row>
    <row r="396" customFormat="false" ht="35.05" hidden="false" customHeight="false" outlineLevel="0" collapsed="false">
      <c r="A396" s="7" t="s">
        <v>2319</v>
      </c>
      <c r="B396" s="7" t="s">
        <v>231</v>
      </c>
      <c r="C396" s="7" t="s">
        <v>239</v>
      </c>
      <c r="D396" s="7" t="s">
        <v>2320</v>
      </c>
      <c r="E396" s="7" t="s">
        <v>1179</v>
      </c>
      <c r="F396" s="7" t="s">
        <v>943</v>
      </c>
      <c r="G396" s="7" t="s">
        <v>1424</v>
      </c>
      <c r="H396" s="8" t="s">
        <v>241</v>
      </c>
      <c r="I396" s="8" t="s">
        <v>242</v>
      </c>
      <c r="J396" s="7" t="s">
        <v>133</v>
      </c>
      <c r="K396" s="7" t="s">
        <v>2321</v>
      </c>
      <c r="L396" s="7" t="n">
        <v>3</v>
      </c>
      <c r="M396" s="7" t="s">
        <v>240</v>
      </c>
      <c r="N396" s="7"/>
      <c r="O396" s="7" t="s">
        <v>1150</v>
      </c>
      <c r="P396" s="7" t="s">
        <v>1183</v>
      </c>
      <c r="Q396" s="7" t="s">
        <v>1152</v>
      </c>
      <c r="R396" s="8"/>
      <c r="S396" s="12"/>
      <c r="T396" s="12"/>
    </row>
    <row r="397" customFormat="false" ht="35.05" hidden="false" customHeight="false" outlineLevel="0" collapsed="false">
      <c r="A397" s="7" t="s">
        <v>2322</v>
      </c>
      <c r="B397" s="7" t="s">
        <v>231</v>
      </c>
      <c r="C397" s="7" t="s">
        <v>239</v>
      </c>
      <c r="D397" s="7" t="s">
        <v>2323</v>
      </c>
      <c r="E397" s="7" t="s">
        <v>1179</v>
      </c>
      <c r="F397" s="7" t="s">
        <v>943</v>
      </c>
      <c r="G397" s="7" t="s">
        <v>1424</v>
      </c>
      <c r="H397" s="8" t="s">
        <v>241</v>
      </c>
      <c r="I397" s="8" t="s">
        <v>242</v>
      </c>
      <c r="J397" s="7" t="s">
        <v>133</v>
      </c>
      <c r="K397" s="7" t="s">
        <v>2324</v>
      </c>
      <c r="L397" s="7" t="n">
        <v>3</v>
      </c>
      <c r="M397" s="7" t="s">
        <v>240</v>
      </c>
      <c r="N397" s="7"/>
      <c r="O397" s="7" t="s">
        <v>1150</v>
      </c>
      <c r="P397" s="7" t="s">
        <v>1183</v>
      </c>
      <c r="Q397" s="7" t="s">
        <v>1152</v>
      </c>
      <c r="R397" s="8"/>
      <c r="S397" s="12"/>
      <c r="T397" s="12"/>
    </row>
    <row r="398" customFormat="false" ht="35.05" hidden="false" customHeight="false" outlineLevel="0" collapsed="false">
      <c r="A398" s="7" t="s">
        <v>2325</v>
      </c>
      <c r="B398" s="7" t="s">
        <v>231</v>
      </c>
      <c r="C398" s="7" t="s">
        <v>239</v>
      </c>
      <c r="D398" s="7" t="s">
        <v>2326</v>
      </c>
      <c r="E398" s="7" t="s">
        <v>1179</v>
      </c>
      <c r="F398" s="7" t="s">
        <v>943</v>
      </c>
      <c r="G398" s="7" t="s">
        <v>1424</v>
      </c>
      <c r="H398" s="8" t="s">
        <v>241</v>
      </c>
      <c r="I398" s="8" t="s">
        <v>242</v>
      </c>
      <c r="J398" s="7" t="s">
        <v>133</v>
      </c>
      <c r="K398" s="7" t="s">
        <v>2327</v>
      </c>
      <c r="L398" s="7" t="n">
        <v>3</v>
      </c>
      <c r="M398" s="7" t="s">
        <v>240</v>
      </c>
      <c r="N398" s="7"/>
      <c r="O398" s="7" t="s">
        <v>1150</v>
      </c>
      <c r="P398" s="7" t="s">
        <v>1183</v>
      </c>
      <c r="Q398" s="7" t="s">
        <v>1152</v>
      </c>
      <c r="R398" s="8"/>
      <c r="S398" s="12"/>
      <c r="T398" s="12"/>
    </row>
    <row r="399" customFormat="false" ht="35.05" hidden="false" customHeight="false" outlineLevel="0" collapsed="false">
      <c r="A399" s="7" t="s">
        <v>2328</v>
      </c>
      <c r="B399" s="7" t="s">
        <v>231</v>
      </c>
      <c r="C399" s="7" t="s">
        <v>239</v>
      </c>
      <c r="D399" s="7" t="s">
        <v>2329</v>
      </c>
      <c r="E399" s="7" t="s">
        <v>1179</v>
      </c>
      <c r="F399" s="7" t="s">
        <v>943</v>
      </c>
      <c r="G399" s="7" t="s">
        <v>1424</v>
      </c>
      <c r="H399" s="8" t="s">
        <v>241</v>
      </c>
      <c r="I399" s="8" t="s">
        <v>242</v>
      </c>
      <c r="J399" s="7" t="s">
        <v>949</v>
      </c>
      <c r="K399" s="7" t="s">
        <v>2330</v>
      </c>
      <c r="L399" s="7" t="s">
        <v>952</v>
      </c>
      <c r="M399" s="7" t="s">
        <v>2327</v>
      </c>
      <c r="N399" s="7" t="s">
        <v>2326</v>
      </c>
      <c r="O399" s="7" t="s">
        <v>1150</v>
      </c>
      <c r="P399" s="7" t="s">
        <v>1183</v>
      </c>
      <c r="Q399" s="7" t="s">
        <v>1152</v>
      </c>
      <c r="R399" s="8" t="s">
        <v>1185</v>
      </c>
      <c r="S399" s="12"/>
      <c r="T399" s="12"/>
    </row>
    <row r="400" customFormat="false" ht="35.05" hidden="false" customHeight="false" outlineLevel="0" collapsed="false">
      <c r="A400" s="7" t="s">
        <v>2331</v>
      </c>
      <c r="B400" s="7" t="s">
        <v>231</v>
      </c>
      <c r="C400" s="7" t="s">
        <v>239</v>
      </c>
      <c r="D400" s="7" t="s">
        <v>2332</v>
      </c>
      <c r="E400" s="7" t="s">
        <v>1179</v>
      </c>
      <c r="F400" s="7" t="s">
        <v>943</v>
      </c>
      <c r="G400" s="7" t="s">
        <v>1424</v>
      </c>
      <c r="H400" s="8" t="s">
        <v>241</v>
      </c>
      <c r="I400" s="8" t="s">
        <v>242</v>
      </c>
      <c r="J400" s="7" t="s">
        <v>133</v>
      </c>
      <c r="K400" s="7" t="s">
        <v>2333</v>
      </c>
      <c r="L400" s="7" t="n">
        <v>3</v>
      </c>
      <c r="M400" s="7" t="s">
        <v>240</v>
      </c>
      <c r="N400" s="7"/>
      <c r="O400" s="7" t="s">
        <v>1150</v>
      </c>
      <c r="P400" s="7" t="s">
        <v>1183</v>
      </c>
      <c r="Q400" s="7" t="s">
        <v>1152</v>
      </c>
      <c r="R400" s="8"/>
      <c r="S400" s="12"/>
      <c r="T400" s="12"/>
    </row>
    <row r="401" customFormat="false" ht="35.05" hidden="false" customHeight="false" outlineLevel="0" collapsed="false">
      <c r="A401" s="7" t="s">
        <v>2334</v>
      </c>
      <c r="B401" s="7" t="s">
        <v>231</v>
      </c>
      <c r="C401" s="7" t="s">
        <v>239</v>
      </c>
      <c r="D401" s="7" t="s">
        <v>2335</v>
      </c>
      <c r="E401" s="7" t="s">
        <v>1179</v>
      </c>
      <c r="F401" s="7" t="s">
        <v>943</v>
      </c>
      <c r="G401" s="7" t="s">
        <v>1424</v>
      </c>
      <c r="H401" s="8" t="s">
        <v>241</v>
      </c>
      <c r="I401" s="8" t="s">
        <v>242</v>
      </c>
      <c r="J401" s="7" t="s">
        <v>133</v>
      </c>
      <c r="K401" s="7" t="s">
        <v>2336</v>
      </c>
      <c r="L401" s="7" t="n">
        <v>3</v>
      </c>
      <c r="M401" s="7" t="s">
        <v>240</v>
      </c>
      <c r="N401" s="7"/>
      <c r="O401" s="7" t="s">
        <v>1150</v>
      </c>
      <c r="P401" s="7" t="s">
        <v>1183</v>
      </c>
      <c r="Q401" s="7" t="s">
        <v>1152</v>
      </c>
      <c r="R401" s="8"/>
      <c r="S401" s="12"/>
      <c r="T401" s="12"/>
    </row>
    <row r="402" customFormat="false" ht="35.05" hidden="false" customHeight="false" outlineLevel="0" collapsed="false">
      <c r="A402" s="7" t="s">
        <v>2337</v>
      </c>
      <c r="B402" s="7" t="s">
        <v>231</v>
      </c>
      <c r="C402" s="7" t="s">
        <v>243</v>
      </c>
      <c r="D402" s="7" t="s">
        <v>243</v>
      </c>
      <c r="E402" s="7" t="s">
        <v>1137</v>
      </c>
      <c r="F402" s="7" t="s">
        <v>928</v>
      </c>
      <c r="G402" s="7" t="s">
        <v>1148</v>
      </c>
      <c r="H402" s="8" t="s">
        <v>2338</v>
      </c>
      <c r="I402" s="8" t="s">
        <v>246</v>
      </c>
      <c r="J402" s="7" t="s">
        <v>87</v>
      </c>
      <c r="K402" s="7" t="s">
        <v>244</v>
      </c>
      <c r="L402" s="7" t="n">
        <v>2</v>
      </c>
      <c r="M402" s="7" t="s">
        <v>232</v>
      </c>
      <c r="N402" s="7"/>
      <c r="O402" s="7" t="s">
        <v>1150</v>
      </c>
      <c r="P402" s="7" t="s">
        <v>1183</v>
      </c>
      <c r="Q402" s="7" t="s">
        <v>1152</v>
      </c>
      <c r="R402" s="8"/>
      <c r="S402" s="12"/>
      <c r="T402" s="12"/>
    </row>
    <row r="403" customFormat="false" ht="35.05" hidden="false" customHeight="false" outlineLevel="0" collapsed="false">
      <c r="A403" s="7" t="s">
        <v>2339</v>
      </c>
      <c r="B403" s="7" t="s">
        <v>231</v>
      </c>
      <c r="C403" s="7" t="s">
        <v>243</v>
      </c>
      <c r="D403" s="7" t="s">
        <v>2340</v>
      </c>
      <c r="E403" s="7" t="s">
        <v>1179</v>
      </c>
      <c r="F403" s="7" t="s">
        <v>943</v>
      </c>
      <c r="G403" s="7" t="s">
        <v>1424</v>
      </c>
      <c r="H403" s="8" t="s">
        <v>245</v>
      </c>
      <c r="I403" s="8" t="s">
        <v>246</v>
      </c>
      <c r="J403" s="7" t="s">
        <v>133</v>
      </c>
      <c r="K403" s="7" t="s">
        <v>2341</v>
      </c>
      <c r="L403" s="7" t="n">
        <v>3</v>
      </c>
      <c r="M403" s="7" t="s">
        <v>244</v>
      </c>
      <c r="N403" s="7"/>
      <c r="O403" s="7" t="s">
        <v>1150</v>
      </c>
      <c r="P403" s="7" t="s">
        <v>1183</v>
      </c>
      <c r="Q403" s="7" t="s">
        <v>1152</v>
      </c>
      <c r="R403" s="8"/>
      <c r="S403" s="12"/>
      <c r="T403" s="12"/>
    </row>
    <row r="404" customFormat="false" ht="35.05" hidden="false" customHeight="false" outlineLevel="0" collapsed="false">
      <c r="A404" s="7" t="s">
        <v>2342</v>
      </c>
      <c r="B404" s="7" t="s">
        <v>231</v>
      </c>
      <c r="C404" s="7" t="s">
        <v>243</v>
      </c>
      <c r="D404" s="7" t="s">
        <v>2343</v>
      </c>
      <c r="E404" s="7" t="s">
        <v>1179</v>
      </c>
      <c r="F404" s="7" t="s">
        <v>943</v>
      </c>
      <c r="G404" s="7" t="s">
        <v>1424</v>
      </c>
      <c r="H404" s="8" t="s">
        <v>245</v>
      </c>
      <c r="I404" s="8" t="s">
        <v>246</v>
      </c>
      <c r="J404" s="7" t="s">
        <v>949</v>
      </c>
      <c r="K404" s="7" t="s">
        <v>2344</v>
      </c>
      <c r="L404" s="7" t="s">
        <v>952</v>
      </c>
      <c r="M404" s="7" t="s">
        <v>2341</v>
      </c>
      <c r="N404" s="7" t="s">
        <v>2340</v>
      </c>
      <c r="O404" s="7" t="s">
        <v>1150</v>
      </c>
      <c r="P404" s="7" t="s">
        <v>1183</v>
      </c>
      <c r="Q404" s="7" t="s">
        <v>1152</v>
      </c>
      <c r="R404" s="8" t="s">
        <v>1185</v>
      </c>
      <c r="S404" s="12"/>
      <c r="T404" s="12"/>
    </row>
    <row r="405" customFormat="false" ht="35.05" hidden="false" customHeight="false" outlineLevel="0" collapsed="false">
      <c r="A405" s="7" t="s">
        <v>2345</v>
      </c>
      <c r="B405" s="7" t="s">
        <v>231</v>
      </c>
      <c r="C405" s="7" t="s">
        <v>243</v>
      </c>
      <c r="D405" s="7" t="s">
        <v>2346</v>
      </c>
      <c r="E405" s="7" t="s">
        <v>1179</v>
      </c>
      <c r="F405" s="7" t="s">
        <v>943</v>
      </c>
      <c r="G405" s="7" t="s">
        <v>1424</v>
      </c>
      <c r="H405" s="8" t="s">
        <v>245</v>
      </c>
      <c r="I405" s="8" t="s">
        <v>246</v>
      </c>
      <c r="J405" s="7" t="s">
        <v>949</v>
      </c>
      <c r="K405" s="7" t="s">
        <v>2347</v>
      </c>
      <c r="L405" s="7" t="s">
        <v>952</v>
      </c>
      <c r="M405" s="7" t="s">
        <v>2348</v>
      </c>
      <c r="N405" s="7" t="s">
        <v>2349</v>
      </c>
      <c r="O405" s="7" t="s">
        <v>1150</v>
      </c>
      <c r="P405" s="7" t="s">
        <v>1183</v>
      </c>
      <c r="Q405" s="7" t="s">
        <v>1152</v>
      </c>
      <c r="R405" s="8" t="s">
        <v>1185</v>
      </c>
      <c r="S405" s="12"/>
      <c r="T405" s="12"/>
    </row>
    <row r="406" customFormat="false" ht="35.05" hidden="false" customHeight="false" outlineLevel="0" collapsed="false">
      <c r="A406" s="7" t="s">
        <v>2350</v>
      </c>
      <c r="B406" s="7" t="s">
        <v>231</v>
      </c>
      <c r="C406" s="7" t="s">
        <v>243</v>
      </c>
      <c r="D406" s="7" t="s">
        <v>2349</v>
      </c>
      <c r="E406" s="7" t="s">
        <v>1179</v>
      </c>
      <c r="F406" s="7" t="s">
        <v>943</v>
      </c>
      <c r="G406" s="7" t="s">
        <v>1424</v>
      </c>
      <c r="H406" s="8" t="s">
        <v>245</v>
      </c>
      <c r="I406" s="8" t="s">
        <v>246</v>
      </c>
      <c r="J406" s="7" t="s">
        <v>133</v>
      </c>
      <c r="K406" s="7" t="s">
        <v>2348</v>
      </c>
      <c r="L406" s="7" t="n">
        <v>3</v>
      </c>
      <c r="M406" s="7" t="s">
        <v>244</v>
      </c>
      <c r="N406" s="7"/>
      <c r="O406" s="7" t="s">
        <v>1150</v>
      </c>
      <c r="P406" s="7" t="s">
        <v>1183</v>
      </c>
      <c r="Q406" s="7" t="s">
        <v>1152</v>
      </c>
      <c r="R406" s="8"/>
      <c r="S406" s="12"/>
      <c r="T406" s="12"/>
    </row>
    <row r="407" customFormat="false" ht="35.05" hidden="false" customHeight="false" outlineLevel="0" collapsed="false">
      <c r="A407" s="7" t="s">
        <v>2351</v>
      </c>
      <c r="B407" s="7" t="s">
        <v>231</v>
      </c>
      <c r="C407" s="7" t="s">
        <v>243</v>
      </c>
      <c r="D407" s="7" t="s">
        <v>2352</v>
      </c>
      <c r="E407" s="7" t="s">
        <v>1179</v>
      </c>
      <c r="F407" s="7" t="s">
        <v>943</v>
      </c>
      <c r="G407" s="7" t="s">
        <v>1424</v>
      </c>
      <c r="H407" s="8" t="s">
        <v>245</v>
      </c>
      <c r="I407" s="8" t="s">
        <v>246</v>
      </c>
      <c r="J407" s="7" t="s">
        <v>133</v>
      </c>
      <c r="K407" s="7" t="s">
        <v>2353</v>
      </c>
      <c r="L407" s="7" t="n">
        <v>3</v>
      </c>
      <c r="M407" s="7" t="s">
        <v>244</v>
      </c>
      <c r="N407" s="7"/>
      <c r="O407" s="7" t="s">
        <v>1150</v>
      </c>
      <c r="P407" s="7" t="s">
        <v>1183</v>
      </c>
      <c r="Q407" s="7" t="s">
        <v>1152</v>
      </c>
      <c r="R407" s="8"/>
      <c r="S407" s="12"/>
      <c r="T407" s="12"/>
    </row>
    <row r="408" customFormat="false" ht="35.05" hidden="false" customHeight="false" outlineLevel="0" collapsed="false">
      <c r="A408" s="7" t="s">
        <v>2354</v>
      </c>
      <c r="B408" s="7" t="s">
        <v>231</v>
      </c>
      <c r="C408" s="7" t="s">
        <v>243</v>
      </c>
      <c r="D408" s="7" t="s">
        <v>2355</v>
      </c>
      <c r="E408" s="7" t="s">
        <v>1179</v>
      </c>
      <c r="F408" s="7" t="s">
        <v>943</v>
      </c>
      <c r="G408" s="7" t="s">
        <v>1424</v>
      </c>
      <c r="H408" s="8" t="s">
        <v>245</v>
      </c>
      <c r="I408" s="8" t="s">
        <v>246</v>
      </c>
      <c r="J408" s="7" t="s">
        <v>133</v>
      </c>
      <c r="K408" s="7" t="s">
        <v>2356</v>
      </c>
      <c r="L408" s="7" t="n">
        <v>3</v>
      </c>
      <c r="M408" s="7" t="s">
        <v>244</v>
      </c>
      <c r="N408" s="7"/>
      <c r="O408" s="7" t="s">
        <v>1150</v>
      </c>
      <c r="P408" s="7" t="s">
        <v>1183</v>
      </c>
      <c r="Q408" s="7" t="s">
        <v>1152</v>
      </c>
      <c r="R408" s="8"/>
      <c r="S408" s="12"/>
      <c r="T408" s="12"/>
    </row>
    <row r="409" customFormat="false" ht="35.05" hidden="false" customHeight="false" outlineLevel="0" collapsed="false">
      <c r="A409" s="7" t="s">
        <v>2357</v>
      </c>
      <c r="B409" s="7" t="s">
        <v>231</v>
      </c>
      <c r="C409" s="7" t="s">
        <v>243</v>
      </c>
      <c r="D409" s="7" t="s">
        <v>2358</v>
      </c>
      <c r="E409" s="7" t="s">
        <v>1179</v>
      </c>
      <c r="F409" s="7" t="s">
        <v>943</v>
      </c>
      <c r="G409" s="7" t="s">
        <v>1424</v>
      </c>
      <c r="H409" s="8" t="s">
        <v>245</v>
      </c>
      <c r="I409" s="8" t="s">
        <v>246</v>
      </c>
      <c r="J409" s="7" t="s">
        <v>133</v>
      </c>
      <c r="K409" s="7" t="s">
        <v>2359</v>
      </c>
      <c r="L409" s="7" t="n">
        <v>3</v>
      </c>
      <c r="M409" s="7" t="s">
        <v>244</v>
      </c>
      <c r="N409" s="7"/>
      <c r="O409" s="7" t="s">
        <v>1150</v>
      </c>
      <c r="P409" s="7" t="s">
        <v>1183</v>
      </c>
      <c r="Q409" s="7" t="s">
        <v>1152</v>
      </c>
      <c r="R409" s="8"/>
      <c r="S409" s="12"/>
      <c r="T409" s="12"/>
    </row>
    <row r="410" customFormat="false" ht="35.05" hidden="false" customHeight="false" outlineLevel="0" collapsed="false">
      <c r="A410" s="7" t="s">
        <v>2360</v>
      </c>
      <c r="B410" s="7" t="s">
        <v>231</v>
      </c>
      <c r="C410" s="7" t="s">
        <v>243</v>
      </c>
      <c r="D410" s="7" t="s">
        <v>2361</v>
      </c>
      <c r="E410" s="7" t="s">
        <v>1179</v>
      </c>
      <c r="F410" s="7" t="s">
        <v>943</v>
      </c>
      <c r="G410" s="7" t="s">
        <v>1424</v>
      </c>
      <c r="H410" s="8" t="s">
        <v>245</v>
      </c>
      <c r="I410" s="8" t="s">
        <v>246</v>
      </c>
      <c r="J410" s="7" t="s">
        <v>133</v>
      </c>
      <c r="K410" s="7" t="s">
        <v>2362</v>
      </c>
      <c r="L410" s="7" t="n">
        <v>3</v>
      </c>
      <c r="M410" s="7" t="s">
        <v>244</v>
      </c>
      <c r="N410" s="7"/>
      <c r="O410" s="7" t="s">
        <v>1150</v>
      </c>
      <c r="P410" s="7" t="s">
        <v>1183</v>
      </c>
      <c r="Q410" s="7" t="s">
        <v>1152</v>
      </c>
      <c r="R410" s="8"/>
      <c r="S410" s="12"/>
      <c r="T410" s="12"/>
    </row>
    <row r="411" customFormat="false" ht="46.25" hidden="false" customHeight="false" outlineLevel="0" collapsed="false">
      <c r="A411" s="7" t="s">
        <v>2363</v>
      </c>
      <c r="B411" s="7" t="s">
        <v>231</v>
      </c>
      <c r="C411" s="7" t="s">
        <v>247</v>
      </c>
      <c r="D411" s="7" t="s">
        <v>247</v>
      </c>
      <c r="E411" s="7" t="s">
        <v>1137</v>
      </c>
      <c r="F411" s="7" t="s">
        <v>928</v>
      </c>
      <c r="G411" s="7" t="s">
        <v>1148</v>
      </c>
      <c r="H411" s="8" t="s">
        <v>2364</v>
      </c>
      <c r="I411" s="8" t="s">
        <v>250</v>
      </c>
      <c r="J411" s="7" t="s">
        <v>87</v>
      </c>
      <c r="K411" s="7" t="s">
        <v>248</v>
      </c>
      <c r="L411" s="7" t="n">
        <v>2</v>
      </c>
      <c r="M411" s="7" t="s">
        <v>232</v>
      </c>
      <c r="N411" s="7"/>
      <c r="O411" s="7" t="s">
        <v>1150</v>
      </c>
      <c r="P411" s="7" t="s">
        <v>1151</v>
      </c>
      <c r="Q411" s="7" t="s">
        <v>1152</v>
      </c>
      <c r="R411" s="8"/>
      <c r="S411" s="12"/>
      <c r="T411" s="12"/>
    </row>
    <row r="412" customFormat="false" ht="35.05" hidden="false" customHeight="false" outlineLevel="0" collapsed="false">
      <c r="A412" s="7" t="s">
        <v>2365</v>
      </c>
      <c r="B412" s="7" t="s">
        <v>231</v>
      </c>
      <c r="C412" s="7" t="s">
        <v>247</v>
      </c>
      <c r="D412" s="7" t="s">
        <v>2366</v>
      </c>
      <c r="E412" s="7" t="s">
        <v>1179</v>
      </c>
      <c r="F412" s="7" t="s">
        <v>943</v>
      </c>
      <c r="G412" s="7" t="s">
        <v>1424</v>
      </c>
      <c r="H412" s="8" t="s">
        <v>249</v>
      </c>
      <c r="I412" s="8" t="s">
        <v>250</v>
      </c>
      <c r="J412" s="7" t="s">
        <v>949</v>
      </c>
      <c r="K412" s="7" t="s">
        <v>2367</v>
      </c>
      <c r="L412" s="7" t="s">
        <v>952</v>
      </c>
      <c r="M412" s="7" t="s">
        <v>2368</v>
      </c>
      <c r="N412" s="7" t="s">
        <v>2369</v>
      </c>
      <c r="O412" s="7" t="s">
        <v>1150</v>
      </c>
      <c r="P412" s="7" t="s">
        <v>1183</v>
      </c>
      <c r="Q412" s="13" t="s">
        <v>1790</v>
      </c>
      <c r="R412" s="8" t="s">
        <v>1185</v>
      </c>
      <c r="S412" s="12"/>
      <c r="T412" s="12"/>
    </row>
    <row r="413" customFormat="false" ht="46.25" hidden="false" customHeight="false" outlineLevel="0" collapsed="false">
      <c r="A413" s="7" t="s">
        <v>2370</v>
      </c>
      <c r="B413" s="7" t="s">
        <v>231</v>
      </c>
      <c r="C413" s="7" t="s">
        <v>247</v>
      </c>
      <c r="D413" s="7" t="s">
        <v>2369</v>
      </c>
      <c r="E413" s="7" t="s">
        <v>1179</v>
      </c>
      <c r="F413" s="7" t="s">
        <v>943</v>
      </c>
      <c r="G413" s="7" t="s">
        <v>1424</v>
      </c>
      <c r="H413" s="8" t="s">
        <v>2371</v>
      </c>
      <c r="I413" s="8" t="s">
        <v>250</v>
      </c>
      <c r="J413" s="7" t="s">
        <v>133</v>
      </c>
      <c r="K413" s="7" t="s">
        <v>2368</v>
      </c>
      <c r="L413" s="7" t="n">
        <v>3</v>
      </c>
      <c r="M413" s="7" t="s">
        <v>248</v>
      </c>
      <c r="N413" s="7"/>
      <c r="O413" s="7" t="s">
        <v>1150</v>
      </c>
      <c r="P413" s="7" t="s">
        <v>1151</v>
      </c>
      <c r="Q413" s="13" t="s">
        <v>1790</v>
      </c>
      <c r="R413" s="8"/>
      <c r="S413" s="12"/>
      <c r="T413" s="12"/>
    </row>
    <row r="414" customFormat="false" ht="46.25" hidden="false" customHeight="false" outlineLevel="0" collapsed="false">
      <c r="A414" s="7" t="s">
        <v>2372</v>
      </c>
      <c r="B414" s="7" t="s">
        <v>231</v>
      </c>
      <c r="C414" s="7" t="s">
        <v>247</v>
      </c>
      <c r="D414" s="7" t="s">
        <v>2373</v>
      </c>
      <c r="E414" s="7" t="s">
        <v>1179</v>
      </c>
      <c r="F414" s="7" t="s">
        <v>943</v>
      </c>
      <c r="G414" s="7" t="s">
        <v>1424</v>
      </c>
      <c r="H414" s="8" t="s">
        <v>2371</v>
      </c>
      <c r="I414" s="8" t="s">
        <v>250</v>
      </c>
      <c r="J414" s="7" t="s">
        <v>133</v>
      </c>
      <c r="K414" s="7" t="s">
        <v>2374</v>
      </c>
      <c r="L414" s="7" t="n">
        <v>3</v>
      </c>
      <c r="M414" s="7" t="s">
        <v>248</v>
      </c>
      <c r="N414" s="7"/>
      <c r="O414" s="7" t="s">
        <v>1150</v>
      </c>
      <c r="P414" s="7" t="s">
        <v>1151</v>
      </c>
      <c r="Q414" s="13" t="s">
        <v>1790</v>
      </c>
      <c r="R414" s="8"/>
      <c r="S414" s="12"/>
      <c r="T414" s="12"/>
    </row>
    <row r="415" customFormat="false" ht="46.25" hidden="false" customHeight="false" outlineLevel="0" collapsed="false">
      <c r="A415" s="7" t="s">
        <v>2375</v>
      </c>
      <c r="B415" s="7" t="s">
        <v>231</v>
      </c>
      <c r="C415" s="7" t="s">
        <v>247</v>
      </c>
      <c r="D415" s="7" t="s">
        <v>2376</v>
      </c>
      <c r="E415" s="7" t="s">
        <v>1179</v>
      </c>
      <c r="F415" s="7" t="s">
        <v>943</v>
      </c>
      <c r="G415" s="7" t="s">
        <v>1424</v>
      </c>
      <c r="H415" s="8" t="s">
        <v>2371</v>
      </c>
      <c r="I415" s="8" t="s">
        <v>250</v>
      </c>
      <c r="J415" s="7" t="s">
        <v>133</v>
      </c>
      <c r="K415" s="7" t="s">
        <v>2377</v>
      </c>
      <c r="L415" s="7" t="n">
        <v>3</v>
      </c>
      <c r="M415" s="7" t="s">
        <v>248</v>
      </c>
      <c r="N415" s="7"/>
      <c r="O415" s="7" t="s">
        <v>1150</v>
      </c>
      <c r="P415" s="7" t="s">
        <v>1183</v>
      </c>
      <c r="Q415" s="13" t="s">
        <v>1790</v>
      </c>
      <c r="R415" s="8"/>
      <c r="S415" s="12"/>
      <c r="T415" s="12"/>
    </row>
    <row r="416" customFormat="false" ht="46.25" hidden="false" customHeight="false" outlineLevel="0" collapsed="false">
      <c r="A416" s="7" t="s">
        <v>2378</v>
      </c>
      <c r="B416" s="7" t="s">
        <v>231</v>
      </c>
      <c r="C416" s="7" t="s">
        <v>247</v>
      </c>
      <c r="D416" s="7" t="s">
        <v>2379</v>
      </c>
      <c r="E416" s="7" t="s">
        <v>1179</v>
      </c>
      <c r="F416" s="7" t="s">
        <v>943</v>
      </c>
      <c r="G416" s="7" t="s">
        <v>1424</v>
      </c>
      <c r="H416" s="8" t="s">
        <v>2371</v>
      </c>
      <c r="I416" s="8" t="s">
        <v>250</v>
      </c>
      <c r="J416" s="7" t="s">
        <v>133</v>
      </c>
      <c r="K416" s="7" t="s">
        <v>2380</v>
      </c>
      <c r="L416" s="7" t="n">
        <v>3</v>
      </c>
      <c r="M416" s="7" t="s">
        <v>248</v>
      </c>
      <c r="N416" s="7"/>
      <c r="O416" s="7" t="s">
        <v>1150</v>
      </c>
      <c r="P416" s="7" t="s">
        <v>1183</v>
      </c>
      <c r="Q416" s="13" t="s">
        <v>1790</v>
      </c>
      <c r="R416" s="8"/>
      <c r="S416" s="12"/>
      <c r="T416" s="12"/>
    </row>
    <row r="417" customFormat="false" ht="46.25" hidden="false" customHeight="false" outlineLevel="0" collapsed="false">
      <c r="A417" s="7" t="s">
        <v>2381</v>
      </c>
      <c r="B417" s="7" t="s">
        <v>231</v>
      </c>
      <c r="C417" s="7" t="s">
        <v>247</v>
      </c>
      <c r="D417" s="7" t="s">
        <v>2382</v>
      </c>
      <c r="E417" s="7" t="s">
        <v>1179</v>
      </c>
      <c r="F417" s="7" t="s">
        <v>943</v>
      </c>
      <c r="G417" s="7" t="s">
        <v>1424</v>
      </c>
      <c r="H417" s="8" t="s">
        <v>2371</v>
      </c>
      <c r="I417" s="8" t="s">
        <v>250</v>
      </c>
      <c r="J417" s="7" t="s">
        <v>133</v>
      </c>
      <c r="K417" s="7" t="s">
        <v>2383</v>
      </c>
      <c r="L417" s="7" t="n">
        <v>3</v>
      </c>
      <c r="M417" s="7" t="s">
        <v>248</v>
      </c>
      <c r="N417" s="7"/>
      <c r="O417" s="7" t="s">
        <v>1150</v>
      </c>
      <c r="P417" s="7" t="s">
        <v>1183</v>
      </c>
      <c r="Q417" s="13" t="s">
        <v>1790</v>
      </c>
      <c r="R417" s="8"/>
      <c r="S417" s="12"/>
      <c r="T417" s="12"/>
    </row>
    <row r="418" customFormat="false" ht="35.05" hidden="false" customHeight="false" outlineLevel="0" collapsed="false">
      <c r="A418" s="7" t="s">
        <v>2384</v>
      </c>
      <c r="B418" s="7" t="s">
        <v>231</v>
      </c>
      <c r="C418" s="7" t="s">
        <v>247</v>
      </c>
      <c r="D418" s="7" t="s">
        <v>2385</v>
      </c>
      <c r="E418" s="7" t="s">
        <v>1179</v>
      </c>
      <c r="F418" s="7" t="s">
        <v>943</v>
      </c>
      <c r="G418" s="7" t="s">
        <v>1424</v>
      </c>
      <c r="H418" s="8" t="s">
        <v>249</v>
      </c>
      <c r="I418" s="8" t="s">
        <v>250</v>
      </c>
      <c r="J418" s="7" t="s">
        <v>133</v>
      </c>
      <c r="K418" s="7" t="s">
        <v>2386</v>
      </c>
      <c r="L418" s="7" t="n">
        <v>3</v>
      </c>
      <c r="M418" s="7" t="s">
        <v>248</v>
      </c>
      <c r="N418" s="7"/>
      <c r="O418" s="7" t="s">
        <v>1150</v>
      </c>
      <c r="P418" s="7" t="s">
        <v>1183</v>
      </c>
      <c r="Q418" s="13" t="s">
        <v>1790</v>
      </c>
      <c r="R418" s="8"/>
      <c r="S418" s="12"/>
      <c r="T418" s="12"/>
    </row>
    <row r="419" customFormat="false" ht="35.05" hidden="false" customHeight="false" outlineLevel="0" collapsed="false">
      <c r="A419" s="7" t="s">
        <v>2387</v>
      </c>
      <c r="B419" s="7" t="s">
        <v>231</v>
      </c>
      <c r="C419" s="7" t="s">
        <v>247</v>
      </c>
      <c r="D419" s="7" t="s">
        <v>2388</v>
      </c>
      <c r="E419" s="7" t="s">
        <v>1179</v>
      </c>
      <c r="F419" s="7" t="s">
        <v>943</v>
      </c>
      <c r="G419" s="7" t="s">
        <v>1424</v>
      </c>
      <c r="H419" s="8" t="s">
        <v>249</v>
      </c>
      <c r="I419" s="8" t="s">
        <v>250</v>
      </c>
      <c r="J419" s="7" t="s">
        <v>133</v>
      </c>
      <c r="K419" s="7" t="s">
        <v>2389</v>
      </c>
      <c r="L419" s="7" t="n">
        <v>3</v>
      </c>
      <c r="M419" s="7" t="s">
        <v>248</v>
      </c>
      <c r="N419" s="7"/>
      <c r="O419" s="7" t="s">
        <v>1150</v>
      </c>
      <c r="P419" s="7" t="s">
        <v>1151</v>
      </c>
      <c r="Q419" s="13" t="s">
        <v>1790</v>
      </c>
      <c r="R419" s="8"/>
      <c r="S419" s="12"/>
      <c r="T419" s="12"/>
    </row>
    <row r="420" customFormat="false" ht="35.05" hidden="false" customHeight="false" outlineLevel="0" collapsed="false">
      <c r="A420" s="7" t="s">
        <v>2390</v>
      </c>
      <c r="B420" s="7" t="s">
        <v>231</v>
      </c>
      <c r="C420" s="7" t="s">
        <v>247</v>
      </c>
      <c r="D420" s="7" t="s">
        <v>2391</v>
      </c>
      <c r="E420" s="7" t="s">
        <v>1179</v>
      </c>
      <c r="F420" s="7" t="s">
        <v>943</v>
      </c>
      <c r="G420" s="7" t="s">
        <v>1424</v>
      </c>
      <c r="H420" s="8" t="s">
        <v>249</v>
      </c>
      <c r="I420" s="8" t="s">
        <v>250</v>
      </c>
      <c r="J420" s="7" t="s">
        <v>133</v>
      </c>
      <c r="K420" s="7" t="s">
        <v>2392</v>
      </c>
      <c r="L420" s="7" t="n">
        <v>3</v>
      </c>
      <c r="M420" s="7" t="s">
        <v>248</v>
      </c>
      <c r="N420" s="7"/>
      <c r="O420" s="7" t="s">
        <v>1150</v>
      </c>
      <c r="P420" s="7" t="s">
        <v>1151</v>
      </c>
      <c r="Q420" s="13" t="s">
        <v>1790</v>
      </c>
      <c r="R420" s="8"/>
      <c r="S420" s="12"/>
      <c r="T420" s="12"/>
    </row>
    <row r="421" customFormat="false" ht="46.25" hidden="false" customHeight="false" outlineLevel="0" collapsed="false">
      <c r="A421" s="7" t="s">
        <v>2393</v>
      </c>
      <c r="B421" s="7" t="s">
        <v>231</v>
      </c>
      <c r="C421" s="7" t="s">
        <v>247</v>
      </c>
      <c r="D421" s="7" t="s">
        <v>2394</v>
      </c>
      <c r="E421" s="7" t="s">
        <v>1179</v>
      </c>
      <c r="F421" s="7" t="s">
        <v>943</v>
      </c>
      <c r="G421" s="7" t="s">
        <v>1424</v>
      </c>
      <c r="H421" s="8" t="s">
        <v>2371</v>
      </c>
      <c r="I421" s="8" t="s">
        <v>250</v>
      </c>
      <c r="J421" s="7" t="s">
        <v>133</v>
      </c>
      <c r="K421" s="7" t="s">
        <v>2395</v>
      </c>
      <c r="L421" s="7" t="n">
        <v>3</v>
      </c>
      <c r="M421" s="7" t="s">
        <v>248</v>
      </c>
      <c r="N421" s="7"/>
      <c r="O421" s="7" t="s">
        <v>1150</v>
      </c>
      <c r="P421" s="7" t="s">
        <v>1151</v>
      </c>
      <c r="Q421" s="13" t="s">
        <v>1790</v>
      </c>
      <c r="R421" s="8"/>
      <c r="S421" s="12"/>
      <c r="T421" s="12"/>
    </row>
    <row r="422" customFormat="false" ht="35.05" hidden="false" customHeight="false" outlineLevel="0" collapsed="false">
      <c r="A422" s="7" t="s">
        <v>2396</v>
      </c>
      <c r="B422" s="7" t="s">
        <v>231</v>
      </c>
      <c r="C422" s="7" t="s">
        <v>247</v>
      </c>
      <c r="D422" s="7" t="s">
        <v>2397</v>
      </c>
      <c r="E422" s="7" t="s">
        <v>1179</v>
      </c>
      <c r="F422" s="7" t="s">
        <v>943</v>
      </c>
      <c r="G422" s="7" t="s">
        <v>1424</v>
      </c>
      <c r="H422" s="8" t="s">
        <v>249</v>
      </c>
      <c r="I422" s="8" t="s">
        <v>250</v>
      </c>
      <c r="J422" s="7" t="s">
        <v>133</v>
      </c>
      <c r="K422" s="7" t="s">
        <v>2398</v>
      </c>
      <c r="L422" s="7" t="n">
        <v>3</v>
      </c>
      <c r="M422" s="7" t="s">
        <v>248</v>
      </c>
      <c r="N422" s="7"/>
      <c r="O422" s="7" t="s">
        <v>1150</v>
      </c>
      <c r="P422" s="7" t="s">
        <v>1183</v>
      </c>
      <c r="Q422" s="13" t="s">
        <v>1790</v>
      </c>
      <c r="R422" s="8"/>
      <c r="S422" s="12"/>
      <c r="T422" s="12"/>
    </row>
    <row r="423" customFormat="false" ht="35.05" hidden="false" customHeight="false" outlineLevel="0" collapsed="false">
      <c r="A423" s="7" t="s">
        <v>2399</v>
      </c>
      <c r="B423" s="7" t="s">
        <v>231</v>
      </c>
      <c r="C423" s="7" t="s">
        <v>251</v>
      </c>
      <c r="D423" s="7" t="s">
        <v>251</v>
      </c>
      <c r="E423" s="7" t="s">
        <v>1137</v>
      </c>
      <c r="F423" s="7" t="s">
        <v>928</v>
      </c>
      <c r="G423" s="7" t="s">
        <v>1148</v>
      </c>
      <c r="H423" s="8" t="s">
        <v>2400</v>
      </c>
      <c r="I423" s="8" t="s">
        <v>254</v>
      </c>
      <c r="J423" s="7" t="s">
        <v>87</v>
      </c>
      <c r="K423" s="7" t="s">
        <v>252</v>
      </c>
      <c r="L423" s="7" t="n">
        <v>2</v>
      </c>
      <c r="M423" s="7" t="s">
        <v>232</v>
      </c>
      <c r="N423" s="7"/>
      <c r="O423" s="7" t="s">
        <v>1150</v>
      </c>
      <c r="P423" s="7" t="s">
        <v>1151</v>
      </c>
      <c r="Q423" s="7" t="s">
        <v>1152</v>
      </c>
      <c r="R423" s="8"/>
      <c r="S423" s="12"/>
      <c r="T423" s="12"/>
    </row>
    <row r="424" customFormat="false" ht="23.85" hidden="false" customHeight="false" outlineLevel="0" collapsed="false">
      <c r="A424" s="7" t="s">
        <v>2401</v>
      </c>
      <c r="B424" s="7" t="s">
        <v>231</v>
      </c>
      <c r="C424" s="7" t="s">
        <v>251</v>
      </c>
      <c r="D424" s="7" t="s">
        <v>2402</v>
      </c>
      <c r="E424" s="7" t="s">
        <v>1179</v>
      </c>
      <c r="F424" s="7" t="s">
        <v>943</v>
      </c>
      <c r="G424" s="7" t="s">
        <v>1424</v>
      </c>
      <c r="H424" s="8" t="s">
        <v>253</v>
      </c>
      <c r="I424" s="8" t="s">
        <v>254</v>
      </c>
      <c r="J424" s="7" t="s">
        <v>133</v>
      </c>
      <c r="K424" s="7" t="s">
        <v>2403</v>
      </c>
      <c r="L424" s="7" t="n">
        <v>3</v>
      </c>
      <c r="M424" s="7" t="s">
        <v>252</v>
      </c>
      <c r="N424" s="7"/>
      <c r="O424" s="7" t="s">
        <v>1150</v>
      </c>
      <c r="P424" s="7" t="s">
        <v>1151</v>
      </c>
      <c r="Q424" s="7" t="s">
        <v>1152</v>
      </c>
      <c r="R424" s="8"/>
      <c r="S424" s="12"/>
      <c r="T424" s="12"/>
    </row>
    <row r="425" customFormat="false" ht="35.05" hidden="false" customHeight="false" outlineLevel="0" collapsed="false">
      <c r="A425" s="7" t="s">
        <v>2404</v>
      </c>
      <c r="B425" s="7" t="s">
        <v>231</v>
      </c>
      <c r="C425" s="7" t="s">
        <v>251</v>
      </c>
      <c r="D425" s="7" t="s">
        <v>2405</v>
      </c>
      <c r="E425" s="7" t="s">
        <v>1179</v>
      </c>
      <c r="F425" s="7" t="s">
        <v>943</v>
      </c>
      <c r="G425" s="7" t="s">
        <v>1424</v>
      </c>
      <c r="H425" s="8" t="s">
        <v>253</v>
      </c>
      <c r="I425" s="8" t="s">
        <v>254</v>
      </c>
      <c r="J425" s="7" t="s">
        <v>949</v>
      </c>
      <c r="K425" s="7" t="s">
        <v>2406</v>
      </c>
      <c r="L425" s="7" t="s">
        <v>952</v>
      </c>
      <c r="M425" s="7" t="s">
        <v>2407</v>
      </c>
      <c r="N425" s="7" t="s">
        <v>2408</v>
      </c>
      <c r="O425" s="7" t="s">
        <v>1150</v>
      </c>
      <c r="P425" s="7" t="s">
        <v>1183</v>
      </c>
      <c r="Q425" s="7" t="s">
        <v>1184</v>
      </c>
      <c r="R425" s="8" t="s">
        <v>1185</v>
      </c>
      <c r="S425" s="12"/>
      <c r="T425" s="12"/>
    </row>
    <row r="426" customFormat="false" ht="35.05" hidden="false" customHeight="false" outlineLevel="0" collapsed="false">
      <c r="A426" s="7" t="s">
        <v>2409</v>
      </c>
      <c r="B426" s="7" t="s">
        <v>231</v>
      </c>
      <c r="C426" s="7" t="s">
        <v>251</v>
      </c>
      <c r="D426" s="7" t="s">
        <v>2410</v>
      </c>
      <c r="E426" s="7" t="s">
        <v>1179</v>
      </c>
      <c r="F426" s="7" t="s">
        <v>943</v>
      </c>
      <c r="G426" s="7" t="s">
        <v>1424</v>
      </c>
      <c r="H426" s="8" t="s">
        <v>253</v>
      </c>
      <c r="I426" s="8" t="s">
        <v>254</v>
      </c>
      <c r="J426" s="7" t="s">
        <v>949</v>
      </c>
      <c r="K426" s="7" t="s">
        <v>2411</v>
      </c>
      <c r="L426" s="7" t="s">
        <v>952</v>
      </c>
      <c r="M426" s="7" t="s">
        <v>2407</v>
      </c>
      <c r="N426" s="7" t="s">
        <v>2408</v>
      </c>
      <c r="O426" s="7" t="s">
        <v>1150</v>
      </c>
      <c r="P426" s="7" t="s">
        <v>1183</v>
      </c>
      <c r="Q426" s="7" t="s">
        <v>1184</v>
      </c>
      <c r="R426" s="8" t="s">
        <v>1185</v>
      </c>
      <c r="S426" s="12"/>
      <c r="T426" s="12"/>
    </row>
    <row r="427" customFormat="false" ht="23.85" hidden="false" customHeight="false" outlineLevel="0" collapsed="false">
      <c r="A427" s="7" t="s">
        <v>2412</v>
      </c>
      <c r="B427" s="7" t="s">
        <v>231</v>
      </c>
      <c r="C427" s="7" t="s">
        <v>251</v>
      </c>
      <c r="D427" s="7" t="s">
        <v>2413</v>
      </c>
      <c r="E427" s="7" t="s">
        <v>1179</v>
      </c>
      <c r="F427" s="7" t="s">
        <v>943</v>
      </c>
      <c r="G427" s="7" t="s">
        <v>1424</v>
      </c>
      <c r="H427" s="8" t="s">
        <v>253</v>
      </c>
      <c r="I427" s="8" t="s">
        <v>254</v>
      </c>
      <c r="J427" s="7" t="s">
        <v>133</v>
      </c>
      <c r="K427" s="7" t="s">
        <v>2414</v>
      </c>
      <c r="L427" s="7" t="n">
        <v>3</v>
      </c>
      <c r="M427" s="7" t="s">
        <v>252</v>
      </c>
      <c r="N427" s="7"/>
      <c r="O427" s="7" t="s">
        <v>1150</v>
      </c>
      <c r="P427" s="7" t="s">
        <v>1183</v>
      </c>
      <c r="Q427" s="7" t="s">
        <v>1152</v>
      </c>
      <c r="R427" s="8"/>
      <c r="S427" s="12"/>
      <c r="T427" s="12"/>
    </row>
    <row r="428" customFormat="false" ht="35.05" hidden="false" customHeight="false" outlineLevel="0" collapsed="false">
      <c r="A428" s="7" t="s">
        <v>2415</v>
      </c>
      <c r="B428" s="7" t="s">
        <v>231</v>
      </c>
      <c r="C428" s="7" t="s">
        <v>255</v>
      </c>
      <c r="D428" s="7" t="s">
        <v>255</v>
      </c>
      <c r="E428" s="7" t="s">
        <v>1137</v>
      </c>
      <c r="F428" s="7" t="s">
        <v>928</v>
      </c>
      <c r="G428" s="7" t="s">
        <v>1148</v>
      </c>
      <c r="H428" s="8" t="s">
        <v>2416</v>
      </c>
      <c r="I428" s="8" t="s">
        <v>258</v>
      </c>
      <c r="J428" s="7" t="s">
        <v>87</v>
      </c>
      <c r="K428" s="7" t="s">
        <v>256</v>
      </c>
      <c r="L428" s="7" t="n">
        <v>2</v>
      </c>
      <c r="M428" s="7" t="s">
        <v>232</v>
      </c>
      <c r="N428" s="7"/>
      <c r="O428" s="7" t="s">
        <v>1150</v>
      </c>
      <c r="P428" s="7" t="s">
        <v>1183</v>
      </c>
      <c r="Q428" s="7" t="s">
        <v>1152</v>
      </c>
      <c r="R428" s="8"/>
      <c r="S428" s="12"/>
      <c r="T428" s="12"/>
    </row>
    <row r="429" customFormat="false" ht="23.85" hidden="false" customHeight="false" outlineLevel="0" collapsed="false">
      <c r="A429" s="7" t="s">
        <v>2417</v>
      </c>
      <c r="B429" s="7" t="s">
        <v>231</v>
      </c>
      <c r="C429" s="7" t="s">
        <v>255</v>
      </c>
      <c r="D429" s="7" t="s">
        <v>2418</v>
      </c>
      <c r="E429" s="7" t="s">
        <v>1179</v>
      </c>
      <c r="F429" s="7" t="s">
        <v>943</v>
      </c>
      <c r="G429" s="7" t="s">
        <v>1424</v>
      </c>
      <c r="H429" s="8" t="s">
        <v>257</v>
      </c>
      <c r="I429" s="8" t="s">
        <v>258</v>
      </c>
      <c r="J429" s="7" t="s">
        <v>133</v>
      </c>
      <c r="K429" s="7" t="s">
        <v>2419</v>
      </c>
      <c r="L429" s="7" t="n">
        <v>3</v>
      </c>
      <c r="M429" s="7" t="s">
        <v>256</v>
      </c>
      <c r="N429" s="7"/>
      <c r="O429" s="7" t="s">
        <v>1150</v>
      </c>
      <c r="P429" s="7" t="s">
        <v>1183</v>
      </c>
      <c r="Q429" s="7" t="s">
        <v>1152</v>
      </c>
      <c r="R429" s="8"/>
      <c r="S429" s="12"/>
      <c r="T429" s="12"/>
    </row>
    <row r="430" customFormat="false" ht="23.85" hidden="false" customHeight="false" outlineLevel="0" collapsed="false">
      <c r="A430" s="7" t="s">
        <v>2420</v>
      </c>
      <c r="B430" s="7" t="s">
        <v>231</v>
      </c>
      <c r="C430" s="7" t="s">
        <v>255</v>
      </c>
      <c r="D430" s="7" t="s">
        <v>2421</v>
      </c>
      <c r="E430" s="7" t="s">
        <v>1179</v>
      </c>
      <c r="F430" s="7" t="s">
        <v>943</v>
      </c>
      <c r="G430" s="7" t="s">
        <v>1424</v>
      </c>
      <c r="H430" s="8" t="s">
        <v>257</v>
      </c>
      <c r="I430" s="8" t="s">
        <v>258</v>
      </c>
      <c r="J430" s="7" t="s">
        <v>133</v>
      </c>
      <c r="K430" s="7" t="s">
        <v>2422</v>
      </c>
      <c r="L430" s="7" t="n">
        <v>3</v>
      </c>
      <c r="M430" s="7" t="s">
        <v>256</v>
      </c>
      <c r="N430" s="7"/>
      <c r="O430" s="7" t="s">
        <v>1150</v>
      </c>
      <c r="P430" s="7" t="s">
        <v>1183</v>
      </c>
      <c r="Q430" s="7" t="s">
        <v>1152</v>
      </c>
      <c r="R430" s="8"/>
      <c r="S430" s="12"/>
      <c r="T430" s="12"/>
    </row>
    <row r="431" customFormat="false" ht="35.05" hidden="false" customHeight="false" outlineLevel="0" collapsed="false">
      <c r="A431" s="7" t="s">
        <v>2423</v>
      </c>
      <c r="B431" s="7" t="s">
        <v>231</v>
      </c>
      <c r="C431" s="7" t="s">
        <v>255</v>
      </c>
      <c r="D431" s="7" t="s">
        <v>2424</v>
      </c>
      <c r="E431" s="7" t="s">
        <v>1179</v>
      </c>
      <c r="F431" s="7" t="s">
        <v>943</v>
      </c>
      <c r="G431" s="7" t="s">
        <v>1424</v>
      </c>
      <c r="H431" s="8" t="s">
        <v>2425</v>
      </c>
      <c r="I431" s="8" t="s">
        <v>258</v>
      </c>
      <c r="J431" s="7" t="s">
        <v>133</v>
      </c>
      <c r="K431" s="7" t="s">
        <v>2426</v>
      </c>
      <c r="L431" s="7" t="n">
        <v>3</v>
      </c>
      <c r="M431" s="7" t="s">
        <v>256</v>
      </c>
      <c r="N431" s="7"/>
      <c r="O431" s="7" t="s">
        <v>1150</v>
      </c>
      <c r="P431" s="7" t="s">
        <v>1183</v>
      </c>
      <c r="Q431" s="7" t="s">
        <v>1184</v>
      </c>
      <c r="R431" s="8"/>
      <c r="S431" s="12"/>
      <c r="T431" s="12"/>
    </row>
    <row r="432" customFormat="false" ht="23.85" hidden="false" customHeight="false" outlineLevel="0" collapsed="false">
      <c r="A432" s="7" t="s">
        <v>2427</v>
      </c>
      <c r="B432" s="7" t="s">
        <v>231</v>
      </c>
      <c r="C432" s="7" t="s">
        <v>255</v>
      </c>
      <c r="D432" s="7" t="s">
        <v>2428</v>
      </c>
      <c r="E432" s="7" t="s">
        <v>1179</v>
      </c>
      <c r="F432" s="7" t="s">
        <v>943</v>
      </c>
      <c r="G432" s="7" t="s">
        <v>1424</v>
      </c>
      <c r="H432" s="8" t="s">
        <v>257</v>
      </c>
      <c r="I432" s="8" t="s">
        <v>258</v>
      </c>
      <c r="J432" s="7" t="s">
        <v>133</v>
      </c>
      <c r="K432" s="7" t="s">
        <v>2429</v>
      </c>
      <c r="L432" s="7" t="n">
        <v>3</v>
      </c>
      <c r="M432" s="7" t="s">
        <v>256</v>
      </c>
      <c r="N432" s="7"/>
      <c r="O432" s="7" t="s">
        <v>1150</v>
      </c>
      <c r="P432" s="7" t="s">
        <v>1183</v>
      </c>
      <c r="Q432" s="7" t="s">
        <v>1152</v>
      </c>
      <c r="R432" s="8"/>
      <c r="S432" s="12"/>
      <c r="T432" s="12"/>
    </row>
    <row r="433" customFormat="false" ht="23.85" hidden="false" customHeight="false" outlineLevel="0" collapsed="false">
      <c r="A433" s="7" t="s">
        <v>2430</v>
      </c>
      <c r="B433" s="7" t="s">
        <v>231</v>
      </c>
      <c r="C433" s="7" t="s">
        <v>255</v>
      </c>
      <c r="D433" s="7" t="s">
        <v>2431</v>
      </c>
      <c r="E433" s="7" t="s">
        <v>1179</v>
      </c>
      <c r="F433" s="7" t="s">
        <v>943</v>
      </c>
      <c r="G433" s="7" t="s">
        <v>1424</v>
      </c>
      <c r="H433" s="8" t="s">
        <v>257</v>
      </c>
      <c r="I433" s="8" t="s">
        <v>258</v>
      </c>
      <c r="J433" s="7" t="s">
        <v>133</v>
      </c>
      <c r="K433" s="7" t="s">
        <v>2432</v>
      </c>
      <c r="L433" s="7" t="n">
        <v>3</v>
      </c>
      <c r="M433" s="7" t="s">
        <v>256</v>
      </c>
      <c r="N433" s="7"/>
      <c r="O433" s="7" t="s">
        <v>1150</v>
      </c>
      <c r="P433" s="7" t="s">
        <v>1183</v>
      </c>
      <c r="Q433" s="7" t="s">
        <v>1152</v>
      </c>
      <c r="R433" s="8"/>
      <c r="S433" s="12"/>
      <c r="T433" s="12"/>
    </row>
    <row r="434" customFormat="false" ht="35.05" hidden="false" customHeight="false" outlineLevel="0" collapsed="false">
      <c r="A434" s="7" t="s">
        <v>2433</v>
      </c>
      <c r="B434" s="7" t="s">
        <v>231</v>
      </c>
      <c r="C434" s="7" t="s">
        <v>255</v>
      </c>
      <c r="D434" s="7" t="s">
        <v>2434</v>
      </c>
      <c r="E434" s="7" t="s">
        <v>1179</v>
      </c>
      <c r="F434" s="7" t="s">
        <v>943</v>
      </c>
      <c r="G434" s="7" t="s">
        <v>1424</v>
      </c>
      <c r="H434" s="8" t="s">
        <v>2435</v>
      </c>
      <c r="I434" s="8" t="s">
        <v>258</v>
      </c>
      <c r="J434" s="7" t="s">
        <v>133</v>
      </c>
      <c r="K434" s="7" t="s">
        <v>2436</v>
      </c>
      <c r="L434" s="7" t="n">
        <v>3</v>
      </c>
      <c r="M434" s="7" t="s">
        <v>256</v>
      </c>
      <c r="N434" s="7"/>
      <c r="O434" s="7" t="s">
        <v>1150</v>
      </c>
      <c r="P434" s="7" t="s">
        <v>1183</v>
      </c>
      <c r="Q434" s="7" t="s">
        <v>1152</v>
      </c>
      <c r="R434" s="8"/>
      <c r="S434" s="12"/>
      <c r="T434" s="12"/>
    </row>
    <row r="435" customFormat="false" ht="35.05" hidden="false" customHeight="false" outlineLevel="0" collapsed="false">
      <c r="A435" s="7" t="s">
        <v>2437</v>
      </c>
      <c r="B435" s="7" t="s">
        <v>231</v>
      </c>
      <c r="C435" s="7" t="s">
        <v>255</v>
      </c>
      <c r="D435" s="7" t="s">
        <v>2438</v>
      </c>
      <c r="E435" s="7" t="s">
        <v>1179</v>
      </c>
      <c r="F435" s="7" t="s">
        <v>943</v>
      </c>
      <c r="G435" s="7" t="s">
        <v>1424</v>
      </c>
      <c r="H435" s="8" t="s">
        <v>257</v>
      </c>
      <c r="I435" s="8" t="s">
        <v>258</v>
      </c>
      <c r="J435" s="7" t="s">
        <v>949</v>
      </c>
      <c r="K435" s="7" t="s">
        <v>2439</v>
      </c>
      <c r="L435" s="7" t="s">
        <v>952</v>
      </c>
      <c r="M435" s="7" t="s">
        <v>2440</v>
      </c>
      <c r="N435" s="7" t="s">
        <v>2441</v>
      </c>
      <c r="O435" s="7" t="s">
        <v>1150</v>
      </c>
      <c r="P435" s="7" t="s">
        <v>1183</v>
      </c>
      <c r="Q435" s="7" t="s">
        <v>1184</v>
      </c>
      <c r="R435" s="8" t="s">
        <v>1185</v>
      </c>
      <c r="S435" s="12"/>
      <c r="T435" s="12"/>
    </row>
    <row r="436" customFormat="false" ht="35.05" hidden="false" customHeight="false" outlineLevel="0" collapsed="false">
      <c r="A436" s="7" t="s">
        <v>2442</v>
      </c>
      <c r="B436" s="7" t="s">
        <v>231</v>
      </c>
      <c r="C436" s="7" t="s">
        <v>255</v>
      </c>
      <c r="D436" s="7" t="s">
        <v>2443</v>
      </c>
      <c r="E436" s="7" t="s">
        <v>1179</v>
      </c>
      <c r="F436" s="7" t="s">
        <v>943</v>
      </c>
      <c r="G436" s="7" t="s">
        <v>1424</v>
      </c>
      <c r="H436" s="8" t="s">
        <v>257</v>
      </c>
      <c r="I436" s="8" t="s">
        <v>258</v>
      </c>
      <c r="J436" s="7" t="s">
        <v>949</v>
      </c>
      <c r="K436" s="7" t="s">
        <v>2444</v>
      </c>
      <c r="L436" s="7" t="s">
        <v>952</v>
      </c>
      <c r="M436" s="7" t="s">
        <v>2440</v>
      </c>
      <c r="N436" s="7" t="s">
        <v>2441</v>
      </c>
      <c r="O436" s="7" t="s">
        <v>1150</v>
      </c>
      <c r="P436" s="7" t="s">
        <v>1183</v>
      </c>
      <c r="Q436" s="7" t="s">
        <v>1184</v>
      </c>
      <c r="R436" s="8" t="s">
        <v>1185</v>
      </c>
      <c r="S436" s="12"/>
      <c r="T436" s="12"/>
    </row>
    <row r="437" customFormat="false" ht="35.05" hidden="false" customHeight="false" outlineLevel="0" collapsed="false">
      <c r="A437" s="7" t="s">
        <v>2445</v>
      </c>
      <c r="B437" s="7" t="s">
        <v>231</v>
      </c>
      <c r="C437" s="7" t="s">
        <v>255</v>
      </c>
      <c r="D437" s="7" t="s">
        <v>2446</v>
      </c>
      <c r="E437" s="7" t="s">
        <v>1179</v>
      </c>
      <c r="F437" s="7" t="s">
        <v>943</v>
      </c>
      <c r="G437" s="7" t="s">
        <v>1424</v>
      </c>
      <c r="H437" s="8" t="s">
        <v>2435</v>
      </c>
      <c r="I437" s="8" t="s">
        <v>258</v>
      </c>
      <c r="J437" s="7" t="s">
        <v>133</v>
      </c>
      <c r="K437" s="7" t="s">
        <v>2447</v>
      </c>
      <c r="L437" s="7" t="n">
        <v>3</v>
      </c>
      <c r="M437" s="7" t="s">
        <v>256</v>
      </c>
      <c r="N437" s="7"/>
      <c r="O437" s="7" t="s">
        <v>1150</v>
      </c>
      <c r="P437" s="7" t="s">
        <v>1183</v>
      </c>
      <c r="Q437" s="7" t="s">
        <v>1152</v>
      </c>
      <c r="R437" s="8"/>
      <c r="S437" s="12"/>
      <c r="T437" s="12"/>
    </row>
    <row r="438" customFormat="false" ht="35.05" hidden="false" customHeight="false" outlineLevel="0" collapsed="false">
      <c r="A438" s="7" t="s">
        <v>2448</v>
      </c>
      <c r="B438" s="7" t="s">
        <v>231</v>
      </c>
      <c r="C438" s="7" t="s">
        <v>259</v>
      </c>
      <c r="D438" s="7" t="s">
        <v>259</v>
      </c>
      <c r="E438" s="7" t="s">
        <v>1137</v>
      </c>
      <c r="F438" s="7" t="s">
        <v>928</v>
      </c>
      <c r="G438" s="7" t="s">
        <v>1148</v>
      </c>
      <c r="H438" s="8" t="s">
        <v>2449</v>
      </c>
      <c r="I438" s="8" t="s">
        <v>262</v>
      </c>
      <c r="J438" s="7" t="s">
        <v>87</v>
      </c>
      <c r="K438" s="7" t="s">
        <v>260</v>
      </c>
      <c r="L438" s="7" t="n">
        <v>2</v>
      </c>
      <c r="M438" s="7" t="s">
        <v>232</v>
      </c>
      <c r="N438" s="7"/>
      <c r="O438" s="7" t="s">
        <v>1421</v>
      </c>
      <c r="P438" s="7" t="s">
        <v>1183</v>
      </c>
      <c r="Q438" s="7" t="s">
        <v>1152</v>
      </c>
      <c r="R438" s="8"/>
      <c r="S438" s="12"/>
      <c r="T438" s="12"/>
    </row>
    <row r="439" customFormat="false" ht="23.85" hidden="false" customHeight="false" outlineLevel="0" collapsed="false">
      <c r="A439" s="7" t="s">
        <v>2450</v>
      </c>
      <c r="B439" s="7" t="s">
        <v>231</v>
      </c>
      <c r="C439" s="7" t="s">
        <v>259</v>
      </c>
      <c r="D439" s="7" t="s">
        <v>2451</v>
      </c>
      <c r="E439" s="7" t="s">
        <v>1179</v>
      </c>
      <c r="F439" s="7" t="s">
        <v>943</v>
      </c>
      <c r="G439" s="7" t="s">
        <v>1424</v>
      </c>
      <c r="H439" s="8" t="s">
        <v>261</v>
      </c>
      <c r="I439" s="8" t="s">
        <v>262</v>
      </c>
      <c r="J439" s="7" t="s">
        <v>133</v>
      </c>
      <c r="K439" s="7" t="s">
        <v>2452</v>
      </c>
      <c r="L439" s="7" t="n">
        <v>3</v>
      </c>
      <c r="M439" s="7" t="s">
        <v>260</v>
      </c>
      <c r="N439" s="7"/>
      <c r="O439" s="7" t="s">
        <v>1421</v>
      </c>
      <c r="P439" s="7" t="s">
        <v>1183</v>
      </c>
      <c r="Q439" s="7" t="s">
        <v>1152</v>
      </c>
      <c r="R439" s="8"/>
      <c r="S439" s="12"/>
      <c r="T439" s="12"/>
    </row>
    <row r="440" customFormat="false" ht="23.85" hidden="false" customHeight="false" outlineLevel="0" collapsed="false">
      <c r="A440" s="7" t="s">
        <v>2453</v>
      </c>
      <c r="B440" s="7" t="s">
        <v>231</v>
      </c>
      <c r="C440" s="7" t="s">
        <v>259</v>
      </c>
      <c r="D440" s="7" t="s">
        <v>2454</v>
      </c>
      <c r="E440" s="7" t="s">
        <v>1179</v>
      </c>
      <c r="F440" s="7" t="s">
        <v>943</v>
      </c>
      <c r="G440" s="7" t="s">
        <v>1424</v>
      </c>
      <c r="H440" s="8" t="s">
        <v>261</v>
      </c>
      <c r="I440" s="8" t="s">
        <v>262</v>
      </c>
      <c r="J440" s="7" t="s">
        <v>133</v>
      </c>
      <c r="K440" s="7" t="s">
        <v>2455</v>
      </c>
      <c r="L440" s="7" t="n">
        <v>3</v>
      </c>
      <c r="M440" s="7" t="s">
        <v>260</v>
      </c>
      <c r="N440" s="7"/>
      <c r="O440" s="7" t="s">
        <v>1421</v>
      </c>
      <c r="P440" s="7" t="s">
        <v>1183</v>
      </c>
      <c r="Q440" s="7" t="s">
        <v>1152</v>
      </c>
      <c r="R440" s="8"/>
      <c r="S440" s="12"/>
      <c r="T440" s="12"/>
    </row>
    <row r="441" customFormat="false" ht="35.05" hidden="false" customHeight="false" outlineLevel="0" collapsed="false">
      <c r="A441" s="7" t="s">
        <v>2456</v>
      </c>
      <c r="B441" s="7" t="s">
        <v>231</v>
      </c>
      <c r="C441" s="7" t="s">
        <v>259</v>
      </c>
      <c r="D441" s="7" t="s">
        <v>2457</v>
      </c>
      <c r="E441" s="7" t="s">
        <v>1179</v>
      </c>
      <c r="F441" s="7" t="s">
        <v>943</v>
      </c>
      <c r="G441" s="7" t="s">
        <v>1424</v>
      </c>
      <c r="H441" s="8" t="s">
        <v>2458</v>
      </c>
      <c r="I441" s="8" t="s">
        <v>262</v>
      </c>
      <c r="J441" s="7" t="s">
        <v>133</v>
      </c>
      <c r="K441" s="7" t="s">
        <v>2459</v>
      </c>
      <c r="L441" s="7" t="n">
        <v>3</v>
      </c>
      <c r="M441" s="7" t="s">
        <v>260</v>
      </c>
      <c r="N441" s="7"/>
      <c r="O441" s="7" t="s">
        <v>1421</v>
      </c>
      <c r="P441" s="7" t="s">
        <v>1183</v>
      </c>
      <c r="Q441" s="7" t="s">
        <v>1152</v>
      </c>
      <c r="R441" s="8"/>
      <c r="S441" s="12"/>
      <c r="T441" s="12"/>
    </row>
    <row r="442" customFormat="false" ht="35.05" hidden="false" customHeight="false" outlineLevel="0" collapsed="false">
      <c r="A442" s="7" t="s">
        <v>2460</v>
      </c>
      <c r="B442" s="7" t="s">
        <v>231</v>
      </c>
      <c r="C442" s="7" t="s">
        <v>259</v>
      </c>
      <c r="D442" s="7" t="s">
        <v>2461</v>
      </c>
      <c r="E442" s="7" t="s">
        <v>1179</v>
      </c>
      <c r="F442" s="7" t="s">
        <v>943</v>
      </c>
      <c r="G442" s="7" t="s">
        <v>1424</v>
      </c>
      <c r="H442" s="8" t="s">
        <v>2458</v>
      </c>
      <c r="I442" s="8" t="s">
        <v>262</v>
      </c>
      <c r="J442" s="7" t="s">
        <v>133</v>
      </c>
      <c r="K442" s="7" t="s">
        <v>2462</v>
      </c>
      <c r="L442" s="7" t="n">
        <v>3</v>
      </c>
      <c r="M442" s="7" t="s">
        <v>260</v>
      </c>
      <c r="N442" s="7"/>
      <c r="O442" s="7" t="s">
        <v>1421</v>
      </c>
      <c r="P442" s="7" t="s">
        <v>1183</v>
      </c>
      <c r="Q442" s="7" t="s">
        <v>1152</v>
      </c>
      <c r="R442" s="8"/>
      <c r="S442" s="12"/>
      <c r="T442" s="12"/>
    </row>
    <row r="443" customFormat="false" ht="23.85" hidden="false" customHeight="false" outlineLevel="0" collapsed="false">
      <c r="A443" s="7" t="s">
        <v>2463</v>
      </c>
      <c r="B443" s="7" t="s">
        <v>231</v>
      </c>
      <c r="C443" s="7" t="s">
        <v>259</v>
      </c>
      <c r="D443" s="7" t="s">
        <v>2464</v>
      </c>
      <c r="E443" s="7" t="s">
        <v>1179</v>
      </c>
      <c r="F443" s="7" t="s">
        <v>943</v>
      </c>
      <c r="G443" s="7" t="s">
        <v>1424</v>
      </c>
      <c r="H443" s="8" t="s">
        <v>261</v>
      </c>
      <c r="I443" s="8" t="s">
        <v>262</v>
      </c>
      <c r="J443" s="7" t="s">
        <v>133</v>
      </c>
      <c r="K443" s="7" t="s">
        <v>2465</v>
      </c>
      <c r="L443" s="7" t="n">
        <v>3</v>
      </c>
      <c r="M443" s="7" t="s">
        <v>260</v>
      </c>
      <c r="N443" s="7"/>
      <c r="O443" s="7" t="s">
        <v>1421</v>
      </c>
      <c r="P443" s="7" t="s">
        <v>1183</v>
      </c>
      <c r="Q443" s="7" t="s">
        <v>1152</v>
      </c>
      <c r="R443" s="8"/>
      <c r="S443" s="12"/>
      <c r="T443" s="12"/>
    </row>
    <row r="444" customFormat="false" ht="23.85" hidden="false" customHeight="false" outlineLevel="0" collapsed="false">
      <c r="A444" s="7" t="s">
        <v>2466</v>
      </c>
      <c r="B444" s="7" t="s">
        <v>231</v>
      </c>
      <c r="C444" s="7" t="s">
        <v>259</v>
      </c>
      <c r="D444" s="7" t="s">
        <v>2467</v>
      </c>
      <c r="E444" s="7" t="s">
        <v>1179</v>
      </c>
      <c r="F444" s="7" t="s">
        <v>943</v>
      </c>
      <c r="G444" s="7" t="s">
        <v>1424</v>
      </c>
      <c r="H444" s="8" t="s">
        <v>261</v>
      </c>
      <c r="I444" s="8" t="s">
        <v>262</v>
      </c>
      <c r="J444" s="7" t="s">
        <v>133</v>
      </c>
      <c r="K444" s="7" t="s">
        <v>2468</v>
      </c>
      <c r="L444" s="7" t="n">
        <v>3</v>
      </c>
      <c r="M444" s="7" t="s">
        <v>260</v>
      </c>
      <c r="N444" s="7"/>
      <c r="O444" s="7" t="s">
        <v>1421</v>
      </c>
      <c r="P444" s="7" t="s">
        <v>1183</v>
      </c>
      <c r="Q444" s="7" t="s">
        <v>1152</v>
      </c>
      <c r="R444" s="8"/>
      <c r="S444" s="12"/>
      <c r="T444" s="12"/>
    </row>
    <row r="445" customFormat="false" ht="23.85" hidden="false" customHeight="false" outlineLevel="0" collapsed="false">
      <c r="A445" s="7" t="s">
        <v>2469</v>
      </c>
      <c r="B445" s="7" t="s">
        <v>231</v>
      </c>
      <c r="C445" s="7" t="s">
        <v>259</v>
      </c>
      <c r="D445" s="7" t="s">
        <v>2470</v>
      </c>
      <c r="E445" s="7" t="s">
        <v>1179</v>
      </c>
      <c r="F445" s="7" t="s">
        <v>943</v>
      </c>
      <c r="G445" s="7" t="s">
        <v>1424</v>
      </c>
      <c r="H445" s="8" t="s">
        <v>261</v>
      </c>
      <c r="I445" s="8" t="s">
        <v>262</v>
      </c>
      <c r="J445" s="7" t="s">
        <v>133</v>
      </c>
      <c r="K445" s="7" t="s">
        <v>2471</v>
      </c>
      <c r="L445" s="7" t="n">
        <v>3</v>
      </c>
      <c r="M445" s="7" t="s">
        <v>260</v>
      </c>
      <c r="N445" s="7"/>
      <c r="O445" s="7" t="s">
        <v>1421</v>
      </c>
      <c r="P445" s="7" t="s">
        <v>1183</v>
      </c>
      <c r="Q445" s="7" t="s">
        <v>1152</v>
      </c>
      <c r="R445" s="8"/>
      <c r="S445" s="12"/>
      <c r="T445" s="12"/>
    </row>
    <row r="446" customFormat="false" ht="23.85" hidden="false" customHeight="false" outlineLevel="0" collapsed="false">
      <c r="A446" s="7" t="s">
        <v>2472</v>
      </c>
      <c r="B446" s="7" t="s">
        <v>231</v>
      </c>
      <c r="C446" s="7" t="s">
        <v>259</v>
      </c>
      <c r="D446" s="7" t="s">
        <v>2473</v>
      </c>
      <c r="E446" s="7" t="s">
        <v>1179</v>
      </c>
      <c r="F446" s="7" t="s">
        <v>943</v>
      </c>
      <c r="G446" s="7" t="s">
        <v>1424</v>
      </c>
      <c r="H446" s="8" t="s">
        <v>261</v>
      </c>
      <c r="I446" s="8" t="s">
        <v>262</v>
      </c>
      <c r="J446" s="7" t="s">
        <v>133</v>
      </c>
      <c r="K446" s="7" t="s">
        <v>2474</v>
      </c>
      <c r="L446" s="7" t="n">
        <v>3</v>
      </c>
      <c r="M446" s="7" t="s">
        <v>260</v>
      </c>
      <c r="N446" s="7"/>
      <c r="O446" s="7" t="s">
        <v>1421</v>
      </c>
      <c r="P446" s="7" t="s">
        <v>1183</v>
      </c>
      <c r="Q446" s="7" t="s">
        <v>1152</v>
      </c>
      <c r="R446" s="8"/>
      <c r="S446" s="12"/>
      <c r="T446" s="12"/>
    </row>
    <row r="447" customFormat="false" ht="23.85" hidden="false" customHeight="false" outlineLevel="0" collapsed="false">
      <c r="A447" s="7" t="s">
        <v>2475</v>
      </c>
      <c r="B447" s="7" t="s">
        <v>231</v>
      </c>
      <c r="C447" s="7" t="s">
        <v>259</v>
      </c>
      <c r="D447" s="7" t="s">
        <v>2476</v>
      </c>
      <c r="E447" s="7" t="s">
        <v>1179</v>
      </c>
      <c r="F447" s="7" t="s">
        <v>943</v>
      </c>
      <c r="G447" s="7" t="s">
        <v>1424</v>
      </c>
      <c r="H447" s="8" t="s">
        <v>261</v>
      </c>
      <c r="I447" s="8" t="s">
        <v>262</v>
      </c>
      <c r="J447" s="7" t="s">
        <v>133</v>
      </c>
      <c r="K447" s="7" t="s">
        <v>2477</v>
      </c>
      <c r="L447" s="7" t="n">
        <v>3</v>
      </c>
      <c r="M447" s="7" t="s">
        <v>260</v>
      </c>
      <c r="N447" s="7"/>
      <c r="O447" s="7" t="s">
        <v>1421</v>
      </c>
      <c r="P447" s="7" t="s">
        <v>1183</v>
      </c>
      <c r="Q447" s="7" t="s">
        <v>1152</v>
      </c>
      <c r="R447" s="8"/>
      <c r="S447" s="12"/>
      <c r="T447" s="12"/>
    </row>
    <row r="448" customFormat="false" ht="35.05" hidden="false" customHeight="false" outlineLevel="0" collapsed="false">
      <c r="A448" s="7" t="s">
        <v>2478</v>
      </c>
      <c r="B448" s="7" t="s">
        <v>265</v>
      </c>
      <c r="C448" s="7" t="s">
        <v>269</v>
      </c>
      <c r="D448" s="7" t="s">
        <v>269</v>
      </c>
      <c r="E448" s="7" t="s">
        <v>1137</v>
      </c>
      <c r="F448" s="7" t="s">
        <v>928</v>
      </c>
      <c r="G448" s="7" t="s">
        <v>1148</v>
      </c>
      <c r="H448" s="8" t="s">
        <v>2479</v>
      </c>
      <c r="I448" s="8" t="s">
        <v>272</v>
      </c>
      <c r="J448" s="7" t="s">
        <v>87</v>
      </c>
      <c r="K448" s="7" t="s">
        <v>270</v>
      </c>
      <c r="L448" s="7" t="n">
        <v>2</v>
      </c>
      <c r="M448" s="7" t="s">
        <v>266</v>
      </c>
      <c r="N448" s="7"/>
      <c r="O448" s="7" t="s">
        <v>1150</v>
      </c>
      <c r="P448" s="7" t="s">
        <v>1151</v>
      </c>
      <c r="Q448" s="7" t="s">
        <v>1152</v>
      </c>
      <c r="R448" s="8"/>
      <c r="S448" s="12"/>
      <c r="T448" s="12"/>
    </row>
    <row r="449" customFormat="false" ht="23.85" hidden="false" customHeight="false" outlineLevel="0" collapsed="false">
      <c r="A449" s="7" t="s">
        <v>2480</v>
      </c>
      <c r="B449" s="7" t="s">
        <v>265</v>
      </c>
      <c r="C449" s="7" t="s">
        <v>269</v>
      </c>
      <c r="D449" s="7" t="s">
        <v>2441</v>
      </c>
      <c r="E449" s="7" t="s">
        <v>1179</v>
      </c>
      <c r="F449" s="7" t="s">
        <v>943</v>
      </c>
      <c r="G449" s="7" t="s">
        <v>1424</v>
      </c>
      <c r="H449" s="8" t="s">
        <v>271</v>
      </c>
      <c r="I449" s="8" t="s">
        <v>272</v>
      </c>
      <c r="J449" s="7" t="s">
        <v>133</v>
      </c>
      <c r="K449" s="7" t="s">
        <v>2440</v>
      </c>
      <c r="L449" s="7" t="n">
        <v>3</v>
      </c>
      <c r="M449" s="7" t="s">
        <v>270</v>
      </c>
      <c r="N449" s="7"/>
      <c r="O449" s="7" t="s">
        <v>1150</v>
      </c>
      <c r="P449" s="7" t="s">
        <v>1151</v>
      </c>
      <c r="Q449" s="7" t="s">
        <v>1184</v>
      </c>
      <c r="R449" s="8"/>
      <c r="S449" s="12"/>
      <c r="T449" s="12"/>
    </row>
    <row r="450" customFormat="false" ht="23.85" hidden="false" customHeight="false" outlineLevel="0" collapsed="false">
      <c r="A450" s="7" t="s">
        <v>2481</v>
      </c>
      <c r="B450" s="7" t="s">
        <v>265</v>
      </c>
      <c r="C450" s="7" t="s">
        <v>269</v>
      </c>
      <c r="D450" s="7" t="s">
        <v>2482</v>
      </c>
      <c r="E450" s="7" t="s">
        <v>1179</v>
      </c>
      <c r="F450" s="7" t="s">
        <v>943</v>
      </c>
      <c r="G450" s="7" t="s">
        <v>1424</v>
      </c>
      <c r="H450" s="8" t="s">
        <v>271</v>
      </c>
      <c r="I450" s="8" t="s">
        <v>272</v>
      </c>
      <c r="J450" s="7" t="s">
        <v>133</v>
      </c>
      <c r="K450" s="7" t="s">
        <v>2483</v>
      </c>
      <c r="L450" s="7" t="n">
        <v>3</v>
      </c>
      <c r="M450" s="7" t="s">
        <v>270</v>
      </c>
      <c r="N450" s="7"/>
      <c r="O450" s="7" t="s">
        <v>1150</v>
      </c>
      <c r="P450" s="7" t="s">
        <v>1183</v>
      </c>
      <c r="Q450" s="7" t="s">
        <v>1152</v>
      </c>
      <c r="R450" s="8"/>
      <c r="S450" s="12"/>
      <c r="T450" s="12"/>
    </row>
    <row r="451" customFormat="false" ht="35.05" hidden="false" customHeight="false" outlineLevel="0" collapsed="false">
      <c r="A451" s="7" t="s">
        <v>2484</v>
      </c>
      <c r="B451" s="7" t="s">
        <v>265</v>
      </c>
      <c r="C451" s="7" t="s">
        <v>269</v>
      </c>
      <c r="D451" s="7" t="s">
        <v>2485</v>
      </c>
      <c r="E451" s="7" t="s">
        <v>1179</v>
      </c>
      <c r="F451" s="7" t="s">
        <v>943</v>
      </c>
      <c r="G451" s="7" t="s">
        <v>1424</v>
      </c>
      <c r="H451" s="8" t="s">
        <v>271</v>
      </c>
      <c r="I451" s="8" t="s">
        <v>272</v>
      </c>
      <c r="J451" s="7" t="s">
        <v>949</v>
      </c>
      <c r="K451" s="7" t="s">
        <v>2486</v>
      </c>
      <c r="L451" s="7" t="s">
        <v>952</v>
      </c>
      <c r="M451" s="7" t="s">
        <v>2440</v>
      </c>
      <c r="N451" s="7" t="s">
        <v>2441</v>
      </c>
      <c r="O451" s="7" t="s">
        <v>1150</v>
      </c>
      <c r="P451" s="7" t="s">
        <v>1183</v>
      </c>
      <c r="Q451" s="7" t="s">
        <v>1152</v>
      </c>
      <c r="R451" s="8" t="s">
        <v>1185</v>
      </c>
      <c r="S451" s="12"/>
      <c r="T451" s="12"/>
    </row>
    <row r="452" customFormat="false" ht="35.05" hidden="false" customHeight="false" outlineLevel="0" collapsed="false">
      <c r="A452" s="7" t="s">
        <v>2487</v>
      </c>
      <c r="B452" s="7" t="s">
        <v>265</v>
      </c>
      <c r="C452" s="7" t="s">
        <v>269</v>
      </c>
      <c r="D452" s="7" t="s">
        <v>2488</v>
      </c>
      <c r="E452" s="7" t="s">
        <v>1179</v>
      </c>
      <c r="F452" s="7" t="s">
        <v>943</v>
      </c>
      <c r="G452" s="7" t="s">
        <v>1424</v>
      </c>
      <c r="H452" s="8" t="s">
        <v>2489</v>
      </c>
      <c r="I452" s="8" t="s">
        <v>272</v>
      </c>
      <c r="J452" s="7" t="s">
        <v>133</v>
      </c>
      <c r="K452" s="7" t="s">
        <v>2490</v>
      </c>
      <c r="L452" s="7" t="n">
        <v>3</v>
      </c>
      <c r="M452" s="7" t="s">
        <v>270</v>
      </c>
      <c r="N452" s="7"/>
      <c r="O452" s="7" t="s">
        <v>1150</v>
      </c>
      <c r="P452" s="7" t="s">
        <v>1183</v>
      </c>
      <c r="Q452" s="7" t="s">
        <v>1152</v>
      </c>
      <c r="R452" s="8"/>
      <c r="S452" s="12"/>
      <c r="T452" s="12"/>
    </row>
    <row r="453" customFormat="false" ht="35.05" hidden="false" customHeight="false" outlineLevel="0" collapsed="false">
      <c r="A453" s="7" t="s">
        <v>2491</v>
      </c>
      <c r="B453" s="7" t="s">
        <v>265</v>
      </c>
      <c r="C453" s="7" t="s">
        <v>273</v>
      </c>
      <c r="D453" s="7" t="s">
        <v>273</v>
      </c>
      <c r="E453" s="7" t="s">
        <v>1137</v>
      </c>
      <c r="F453" s="7" t="s">
        <v>928</v>
      </c>
      <c r="G453" s="7" t="s">
        <v>1148</v>
      </c>
      <c r="H453" s="8" t="s">
        <v>2492</v>
      </c>
      <c r="I453" s="8" t="s">
        <v>276</v>
      </c>
      <c r="J453" s="7" t="s">
        <v>87</v>
      </c>
      <c r="K453" s="7" t="s">
        <v>274</v>
      </c>
      <c r="L453" s="7" t="n">
        <v>2</v>
      </c>
      <c r="M453" s="7" t="s">
        <v>266</v>
      </c>
      <c r="N453" s="7"/>
      <c r="O453" s="7" t="s">
        <v>1150</v>
      </c>
      <c r="P453" s="7" t="s">
        <v>1151</v>
      </c>
      <c r="Q453" s="7" t="s">
        <v>1152</v>
      </c>
      <c r="R453" s="8"/>
      <c r="S453" s="12"/>
      <c r="T453" s="12"/>
    </row>
    <row r="454" customFormat="false" ht="35.05" hidden="false" customHeight="false" outlineLevel="0" collapsed="false">
      <c r="A454" s="7" t="s">
        <v>2493</v>
      </c>
      <c r="B454" s="7" t="s">
        <v>265</v>
      </c>
      <c r="C454" s="7" t="s">
        <v>273</v>
      </c>
      <c r="D454" s="7" t="s">
        <v>2494</v>
      </c>
      <c r="E454" s="7" t="s">
        <v>1179</v>
      </c>
      <c r="F454" s="7" t="s">
        <v>943</v>
      </c>
      <c r="G454" s="7" t="s">
        <v>1424</v>
      </c>
      <c r="H454" s="8" t="s">
        <v>275</v>
      </c>
      <c r="I454" s="8" t="s">
        <v>276</v>
      </c>
      <c r="J454" s="7" t="s">
        <v>133</v>
      </c>
      <c r="K454" s="7" t="s">
        <v>2495</v>
      </c>
      <c r="L454" s="7" t="n">
        <v>3</v>
      </c>
      <c r="M454" s="7" t="s">
        <v>274</v>
      </c>
      <c r="N454" s="7"/>
      <c r="O454" s="7" t="s">
        <v>1150</v>
      </c>
      <c r="P454" s="7" t="s">
        <v>1151</v>
      </c>
      <c r="Q454" s="7" t="s">
        <v>1152</v>
      </c>
      <c r="R454" s="8"/>
      <c r="S454" s="12"/>
      <c r="T454" s="12"/>
    </row>
    <row r="455" customFormat="false" ht="35.05" hidden="false" customHeight="false" outlineLevel="0" collapsed="false">
      <c r="A455" s="7" t="s">
        <v>2496</v>
      </c>
      <c r="B455" s="7" t="s">
        <v>265</v>
      </c>
      <c r="C455" s="7" t="s">
        <v>273</v>
      </c>
      <c r="D455" s="7" t="s">
        <v>2497</v>
      </c>
      <c r="E455" s="7" t="s">
        <v>1179</v>
      </c>
      <c r="F455" s="7" t="s">
        <v>943</v>
      </c>
      <c r="G455" s="7" t="s">
        <v>1424</v>
      </c>
      <c r="H455" s="8" t="s">
        <v>275</v>
      </c>
      <c r="I455" s="8" t="s">
        <v>276</v>
      </c>
      <c r="J455" s="7" t="s">
        <v>133</v>
      </c>
      <c r="K455" s="7" t="s">
        <v>2498</v>
      </c>
      <c r="L455" s="7" t="n">
        <v>3</v>
      </c>
      <c r="M455" s="7" t="s">
        <v>274</v>
      </c>
      <c r="N455" s="7"/>
      <c r="O455" s="7" t="s">
        <v>1150</v>
      </c>
      <c r="P455" s="7" t="s">
        <v>1183</v>
      </c>
      <c r="Q455" s="7" t="s">
        <v>1152</v>
      </c>
      <c r="R455" s="8"/>
      <c r="S455" s="12"/>
      <c r="T455" s="12"/>
    </row>
    <row r="456" customFormat="false" ht="35.05" hidden="false" customHeight="false" outlineLevel="0" collapsed="false">
      <c r="A456" s="7" t="s">
        <v>2499</v>
      </c>
      <c r="B456" s="7" t="s">
        <v>265</v>
      </c>
      <c r="C456" s="7" t="s">
        <v>273</v>
      </c>
      <c r="D456" s="7" t="s">
        <v>2500</v>
      </c>
      <c r="E456" s="7" t="s">
        <v>1179</v>
      </c>
      <c r="F456" s="7" t="s">
        <v>943</v>
      </c>
      <c r="G456" s="7" t="s">
        <v>1424</v>
      </c>
      <c r="H456" s="8" t="s">
        <v>275</v>
      </c>
      <c r="I456" s="8" t="s">
        <v>276</v>
      </c>
      <c r="J456" s="7" t="s">
        <v>133</v>
      </c>
      <c r="K456" s="7" t="s">
        <v>2501</v>
      </c>
      <c r="L456" s="7" t="n">
        <v>3</v>
      </c>
      <c r="M456" s="7" t="s">
        <v>274</v>
      </c>
      <c r="N456" s="7"/>
      <c r="O456" s="7" t="s">
        <v>1150</v>
      </c>
      <c r="P456" s="7" t="s">
        <v>1183</v>
      </c>
      <c r="Q456" s="7" t="s">
        <v>1152</v>
      </c>
      <c r="R456" s="8"/>
      <c r="S456" s="12"/>
      <c r="T456" s="12"/>
    </row>
    <row r="457" customFormat="false" ht="35.05" hidden="false" customHeight="false" outlineLevel="0" collapsed="false">
      <c r="A457" s="7" t="s">
        <v>2502</v>
      </c>
      <c r="B457" s="7" t="s">
        <v>265</v>
      </c>
      <c r="C457" s="7" t="s">
        <v>273</v>
      </c>
      <c r="D457" s="7" t="s">
        <v>2503</v>
      </c>
      <c r="E457" s="7" t="s">
        <v>1179</v>
      </c>
      <c r="F457" s="7" t="s">
        <v>943</v>
      </c>
      <c r="G457" s="7" t="s">
        <v>1424</v>
      </c>
      <c r="H457" s="8" t="s">
        <v>275</v>
      </c>
      <c r="I457" s="8" t="s">
        <v>276</v>
      </c>
      <c r="J457" s="7" t="s">
        <v>133</v>
      </c>
      <c r="K457" s="7" t="s">
        <v>2504</v>
      </c>
      <c r="L457" s="7" t="n">
        <v>3</v>
      </c>
      <c r="M457" s="7" t="s">
        <v>274</v>
      </c>
      <c r="N457" s="7"/>
      <c r="O457" s="7" t="s">
        <v>1150</v>
      </c>
      <c r="P457" s="7" t="s">
        <v>1183</v>
      </c>
      <c r="Q457" s="7" t="s">
        <v>1152</v>
      </c>
      <c r="R457" s="8"/>
      <c r="S457" s="12"/>
      <c r="T457" s="12"/>
    </row>
    <row r="458" customFormat="false" ht="35.05" hidden="false" customHeight="false" outlineLevel="0" collapsed="false">
      <c r="A458" s="7" t="s">
        <v>2505</v>
      </c>
      <c r="B458" s="7" t="s">
        <v>265</v>
      </c>
      <c r="C458" s="7" t="s">
        <v>277</v>
      </c>
      <c r="D458" s="7" t="s">
        <v>277</v>
      </c>
      <c r="E458" s="7" t="s">
        <v>1137</v>
      </c>
      <c r="F458" s="7" t="s">
        <v>928</v>
      </c>
      <c r="G458" s="7" t="s">
        <v>1148</v>
      </c>
      <c r="H458" s="8" t="s">
        <v>2506</v>
      </c>
      <c r="I458" s="8" t="s">
        <v>280</v>
      </c>
      <c r="J458" s="7" t="s">
        <v>87</v>
      </c>
      <c r="K458" s="7" t="s">
        <v>278</v>
      </c>
      <c r="L458" s="7" t="n">
        <v>2</v>
      </c>
      <c r="M458" s="7" t="s">
        <v>266</v>
      </c>
      <c r="N458" s="7"/>
      <c r="O458" s="7" t="s">
        <v>1150</v>
      </c>
      <c r="P458" s="7" t="s">
        <v>1183</v>
      </c>
      <c r="Q458" s="7" t="s">
        <v>1152</v>
      </c>
      <c r="R458" s="8"/>
      <c r="S458" s="12"/>
      <c r="T458" s="12"/>
    </row>
    <row r="459" customFormat="false" ht="35.05" hidden="false" customHeight="false" outlineLevel="0" collapsed="false">
      <c r="A459" s="7" t="s">
        <v>2507</v>
      </c>
      <c r="B459" s="7" t="s">
        <v>265</v>
      </c>
      <c r="C459" s="7" t="s">
        <v>277</v>
      </c>
      <c r="D459" s="7" t="s">
        <v>2508</v>
      </c>
      <c r="E459" s="7" t="s">
        <v>1179</v>
      </c>
      <c r="F459" s="7" t="s">
        <v>943</v>
      </c>
      <c r="G459" s="7" t="s">
        <v>1424</v>
      </c>
      <c r="H459" s="8" t="s">
        <v>279</v>
      </c>
      <c r="I459" s="8" t="s">
        <v>280</v>
      </c>
      <c r="J459" s="7" t="s">
        <v>133</v>
      </c>
      <c r="K459" s="7" t="s">
        <v>2509</v>
      </c>
      <c r="L459" s="7" t="n">
        <v>3</v>
      </c>
      <c r="M459" s="7" t="s">
        <v>278</v>
      </c>
      <c r="N459" s="7"/>
      <c r="O459" s="7" t="s">
        <v>1150</v>
      </c>
      <c r="P459" s="7" t="s">
        <v>1183</v>
      </c>
      <c r="Q459" s="7" t="s">
        <v>1152</v>
      </c>
      <c r="R459" s="8"/>
      <c r="S459" s="12"/>
      <c r="T459" s="12"/>
    </row>
    <row r="460" customFormat="false" ht="35.05" hidden="false" customHeight="false" outlineLevel="0" collapsed="false">
      <c r="A460" s="7" t="s">
        <v>2510</v>
      </c>
      <c r="B460" s="7" t="s">
        <v>265</v>
      </c>
      <c r="C460" s="7" t="s">
        <v>277</v>
      </c>
      <c r="D460" s="7" t="s">
        <v>2408</v>
      </c>
      <c r="E460" s="7" t="s">
        <v>1179</v>
      </c>
      <c r="F460" s="7" t="s">
        <v>943</v>
      </c>
      <c r="G460" s="7" t="s">
        <v>1424</v>
      </c>
      <c r="H460" s="8" t="s">
        <v>279</v>
      </c>
      <c r="I460" s="8" t="s">
        <v>280</v>
      </c>
      <c r="J460" s="7" t="s">
        <v>133</v>
      </c>
      <c r="K460" s="7" t="s">
        <v>2407</v>
      </c>
      <c r="L460" s="7" t="n">
        <v>3</v>
      </c>
      <c r="M460" s="7" t="s">
        <v>278</v>
      </c>
      <c r="N460" s="7"/>
      <c r="O460" s="7" t="s">
        <v>1150</v>
      </c>
      <c r="P460" s="7" t="s">
        <v>1151</v>
      </c>
      <c r="Q460" s="7" t="s">
        <v>1184</v>
      </c>
      <c r="R460" s="8"/>
      <c r="S460" s="12"/>
      <c r="T460" s="12"/>
    </row>
    <row r="461" customFormat="false" ht="35.05" hidden="false" customHeight="false" outlineLevel="0" collapsed="false">
      <c r="A461" s="7" t="s">
        <v>2511</v>
      </c>
      <c r="B461" s="7" t="s">
        <v>265</v>
      </c>
      <c r="C461" s="7" t="s">
        <v>277</v>
      </c>
      <c r="D461" s="7" t="s">
        <v>2512</v>
      </c>
      <c r="E461" s="7" t="s">
        <v>1179</v>
      </c>
      <c r="F461" s="7" t="s">
        <v>943</v>
      </c>
      <c r="G461" s="7" t="s">
        <v>1424</v>
      </c>
      <c r="H461" s="8" t="s">
        <v>279</v>
      </c>
      <c r="I461" s="8" t="s">
        <v>280</v>
      </c>
      <c r="J461" s="7" t="s">
        <v>949</v>
      </c>
      <c r="K461" s="7" t="s">
        <v>2513</v>
      </c>
      <c r="L461" s="7" t="s">
        <v>952</v>
      </c>
      <c r="M461" s="7" t="s">
        <v>2407</v>
      </c>
      <c r="N461" s="7" t="s">
        <v>2408</v>
      </c>
      <c r="O461" s="7" t="s">
        <v>1150</v>
      </c>
      <c r="P461" s="7" t="s">
        <v>1183</v>
      </c>
      <c r="Q461" s="7" t="s">
        <v>1184</v>
      </c>
      <c r="R461" s="8" t="s">
        <v>1185</v>
      </c>
      <c r="S461" s="12"/>
      <c r="T461" s="12"/>
    </row>
    <row r="462" customFormat="false" ht="35.05" hidden="false" customHeight="false" outlineLevel="0" collapsed="false">
      <c r="A462" s="7" t="s">
        <v>2514</v>
      </c>
      <c r="B462" s="7" t="s">
        <v>265</v>
      </c>
      <c r="C462" s="7" t="s">
        <v>277</v>
      </c>
      <c r="D462" s="7" t="s">
        <v>2515</v>
      </c>
      <c r="E462" s="7" t="s">
        <v>1179</v>
      </c>
      <c r="F462" s="7" t="s">
        <v>943</v>
      </c>
      <c r="G462" s="7" t="s">
        <v>1424</v>
      </c>
      <c r="H462" s="8" t="s">
        <v>2516</v>
      </c>
      <c r="I462" s="8" t="s">
        <v>280</v>
      </c>
      <c r="J462" s="7" t="s">
        <v>133</v>
      </c>
      <c r="K462" s="7" t="s">
        <v>2517</v>
      </c>
      <c r="L462" s="7" t="n">
        <v>3</v>
      </c>
      <c r="M462" s="7" t="s">
        <v>278</v>
      </c>
      <c r="N462" s="7"/>
      <c r="O462" s="7" t="s">
        <v>1150</v>
      </c>
      <c r="P462" s="7" t="s">
        <v>1183</v>
      </c>
      <c r="Q462" s="7" t="s">
        <v>1152</v>
      </c>
      <c r="R462" s="8"/>
      <c r="S462" s="12"/>
      <c r="T462" s="12"/>
    </row>
    <row r="463" customFormat="false" ht="35.05" hidden="false" customHeight="false" outlineLevel="0" collapsed="false">
      <c r="A463" s="7" t="s">
        <v>2518</v>
      </c>
      <c r="B463" s="7" t="s">
        <v>265</v>
      </c>
      <c r="C463" s="7" t="s">
        <v>277</v>
      </c>
      <c r="D463" s="7" t="s">
        <v>2519</v>
      </c>
      <c r="E463" s="7" t="s">
        <v>1179</v>
      </c>
      <c r="F463" s="7" t="s">
        <v>943</v>
      </c>
      <c r="G463" s="7" t="s">
        <v>1424</v>
      </c>
      <c r="H463" s="8" t="s">
        <v>279</v>
      </c>
      <c r="I463" s="8" t="s">
        <v>280</v>
      </c>
      <c r="J463" s="7" t="s">
        <v>133</v>
      </c>
      <c r="K463" s="7" t="s">
        <v>2520</v>
      </c>
      <c r="L463" s="7" t="n">
        <v>3</v>
      </c>
      <c r="M463" s="7" t="s">
        <v>278</v>
      </c>
      <c r="N463" s="7"/>
      <c r="O463" s="7" t="s">
        <v>1150</v>
      </c>
      <c r="P463" s="7" t="s">
        <v>1183</v>
      </c>
      <c r="Q463" s="7" t="s">
        <v>1152</v>
      </c>
      <c r="R463" s="8"/>
      <c r="S463" s="12"/>
      <c r="T463" s="12"/>
    </row>
    <row r="464" customFormat="false" ht="35.05" hidden="false" customHeight="false" outlineLevel="0" collapsed="false">
      <c r="A464" s="7" t="s">
        <v>2521</v>
      </c>
      <c r="B464" s="7" t="s">
        <v>265</v>
      </c>
      <c r="C464" s="7" t="s">
        <v>277</v>
      </c>
      <c r="D464" s="7" t="s">
        <v>2522</v>
      </c>
      <c r="E464" s="7" t="s">
        <v>1179</v>
      </c>
      <c r="F464" s="7" t="s">
        <v>943</v>
      </c>
      <c r="G464" s="7" t="s">
        <v>1424</v>
      </c>
      <c r="H464" s="8" t="s">
        <v>279</v>
      </c>
      <c r="I464" s="8" t="s">
        <v>280</v>
      </c>
      <c r="J464" s="7" t="s">
        <v>133</v>
      </c>
      <c r="K464" s="7" t="s">
        <v>2523</v>
      </c>
      <c r="L464" s="7" t="n">
        <v>3</v>
      </c>
      <c r="M464" s="7" t="s">
        <v>278</v>
      </c>
      <c r="N464" s="7"/>
      <c r="O464" s="7" t="s">
        <v>1150</v>
      </c>
      <c r="P464" s="7" t="s">
        <v>1183</v>
      </c>
      <c r="Q464" s="7" t="s">
        <v>1152</v>
      </c>
      <c r="R464" s="8"/>
      <c r="S464" s="12"/>
      <c r="T464" s="12"/>
    </row>
    <row r="465" customFormat="false" ht="35.05" hidden="false" customHeight="false" outlineLevel="0" collapsed="false">
      <c r="A465" s="7" t="s">
        <v>2524</v>
      </c>
      <c r="B465" s="7" t="s">
        <v>265</v>
      </c>
      <c r="C465" s="7" t="s">
        <v>277</v>
      </c>
      <c r="D465" s="7" t="s">
        <v>2525</v>
      </c>
      <c r="E465" s="7" t="s">
        <v>1179</v>
      </c>
      <c r="F465" s="7" t="s">
        <v>943</v>
      </c>
      <c r="G465" s="7" t="s">
        <v>1424</v>
      </c>
      <c r="H465" s="8" t="s">
        <v>279</v>
      </c>
      <c r="I465" s="8" t="s">
        <v>280</v>
      </c>
      <c r="J465" s="7" t="s">
        <v>133</v>
      </c>
      <c r="K465" s="7" t="s">
        <v>2526</v>
      </c>
      <c r="L465" s="7" t="n">
        <v>3</v>
      </c>
      <c r="M465" s="7" t="s">
        <v>278</v>
      </c>
      <c r="N465" s="7"/>
      <c r="O465" s="7" t="s">
        <v>1150</v>
      </c>
      <c r="P465" s="7" t="s">
        <v>1183</v>
      </c>
      <c r="Q465" s="7" t="s">
        <v>1184</v>
      </c>
      <c r="R465" s="8"/>
      <c r="S465" s="12"/>
      <c r="T465" s="12"/>
    </row>
    <row r="466" customFormat="false" ht="35.05" hidden="false" customHeight="false" outlineLevel="0" collapsed="false">
      <c r="A466" s="7" t="s">
        <v>2527</v>
      </c>
      <c r="B466" s="7" t="s">
        <v>265</v>
      </c>
      <c r="C466" s="7" t="s">
        <v>277</v>
      </c>
      <c r="D466" s="7" t="s">
        <v>2528</v>
      </c>
      <c r="E466" s="7" t="s">
        <v>1179</v>
      </c>
      <c r="F466" s="7" t="s">
        <v>943</v>
      </c>
      <c r="G466" s="7" t="s">
        <v>1424</v>
      </c>
      <c r="H466" s="8" t="s">
        <v>2529</v>
      </c>
      <c r="I466" s="8" t="s">
        <v>280</v>
      </c>
      <c r="J466" s="7" t="s">
        <v>133</v>
      </c>
      <c r="K466" s="7" t="s">
        <v>2530</v>
      </c>
      <c r="L466" s="7" t="n">
        <v>3</v>
      </c>
      <c r="M466" s="7" t="s">
        <v>278</v>
      </c>
      <c r="N466" s="7"/>
      <c r="O466" s="7" t="s">
        <v>1150</v>
      </c>
      <c r="P466" s="7" t="s">
        <v>1183</v>
      </c>
      <c r="Q466" s="13" t="s">
        <v>1790</v>
      </c>
      <c r="R466" s="8"/>
      <c r="S466" s="12"/>
      <c r="T466" s="12"/>
    </row>
    <row r="467" customFormat="false" ht="35.05" hidden="false" customHeight="false" outlineLevel="0" collapsed="false">
      <c r="A467" s="7" t="s">
        <v>2531</v>
      </c>
      <c r="B467" s="7" t="s">
        <v>265</v>
      </c>
      <c r="C467" s="7" t="s">
        <v>277</v>
      </c>
      <c r="D467" s="7" t="s">
        <v>2532</v>
      </c>
      <c r="E467" s="7" t="s">
        <v>1179</v>
      </c>
      <c r="F467" s="7" t="s">
        <v>943</v>
      </c>
      <c r="G467" s="7" t="s">
        <v>1424</v>
      </c>
      <c r="H467" s="8" t="s">
        <v>279</v>
      </c>
      <c r="I467" s="8" t="s">
        <v>280</v>
      </c>
      <c r="J467" s="7" t="s">
        <v>133</v>
      </c>
      <c r="K467" s="7" t="s">
        <v>2533</v>
      </c>
      <c r="L467" s="7" t="n">
        <v>3</v>
      </c>
      <c r="M467" s="7" t="s">
        <v>278</v>
      </c>
      <c r="N467" s="7"/>
      <c r="O467" s="7" t="s">
        <v>1150</v>
      </c>
      <c r="P467" s="7" t="s">
        <v>1183</v>
      </c>
      <c r="Q467" s="7" t="s">
        <v>1152</v>
      </c>
      <c r="R467" s="8"/>
      <c r="S467" s="12"/>
      <c r="T467" s="12"/>
    </row>
    <row r="468" customFormat="false" ht="35.05" hidden="false" customHeight="false" outlineLevel="0" collapsed="false">
      <c r="A468" s="7" t="s">
        <v>2534</v>
      </c>
      <c r="B468" s="7" t="s">
        <v>265</v>
      </c>
      <c r="C468" s="7" t="s">
        <v>277</v>
      </c>
      <c r="D468" s="7" t="s">
        <v>2535</v>
      </c>
      <c r="E468" s="7" t="s">
        <v>1179</v>
      </c>
      <c r="F468" s="7" t="s">
        <v>943</v>
      </c>
      <c r="G468" s="7" t="s">
        <v>1424</v>
      </c>
      <c r="H468" s="8" t="s">
        <v>279</v>
      </c>
      <c r="I468" s="8" t="s">
        <v>280</v>
      </c>
      <c r="J468" s="7" t="s">
        <v>133</v>
      </c>
      <c r="K468" s="7" t="s">
        <v>2536</v>
      </c>
      <c r="L468" s="7" t="n">
        <v>3</v>
      </c>
      <c r="M468" s="7" t="s">
        <v>278</v>
      </c>
      <c r="N468" s="7"/>
      <c r="O468" s="7" t="s">
        <v>1150</v>
      </c>
      <c r="P468" s="7" t="s">
        <v>1183</v>
      </c>
      <c r="Q468" s="7" t="s">
        <v>1152</v>
      </c>
      <c r="R468" s="8"/>
      <c r="S468" s="12"/>
      <c r="T468" s="12"/>
    </row>
    <row r="469" customFormat="false" ht="35.05" hidden="false" customHeight="false" outlineLevel="0" collapsed="false">
      <c r="A469" s="7" t="s">
        <v>2537</v>
      </c>
      <c r="B469" s="7" t="s">
        <v>265</v>
      </c>
      <c r="C469" s="7" t="s">
        <v>277</v>
      </c>
      <c r="D469" s="7" t="s">
        <v>2538</v>
      </c>
      <c r="E469" s="7" t="s">
        <v>1179</v>
      </c>
      <c r="F469" s="7" t="s">
        <v>943</v>
      </c>
      <c r="G469" s="7" t="s">
        <v>1424</v>
      </c>
      <c r="H469" s="8" t="s">
        <v>279</v>
      </c>
      <c r="I469" s="8" t="s">
        <v>280</v>
      </c>
      <c r="J469" s="7" t="s">
        <v>133</v>
      </c>
      <c r="K469" s="7" t="s">
        <v>2539</v>
      </c>
      <c r="L469" s="7" t="n">
        <v>3</v>
      </c>
      <c r="M469" s="7" t="s">
        <v>278</v>
      </c>
      <c r="N469" s="7"/>
      <c r="O469" s="7" t="s">
        <v>1150</v>
      </c>
      <c r="P469" s="7" t="s">
        <v>1183</v>
      </c>
      <c r="Q469" s="7" t="s">
        <v>1152</v>
      </c>
      <c r="R469" s="8"/>
      <c r="S469" s="12"/>
      <c r="T469" s="12"/>
    </row>
    <row r="470" customFormat="false" ht="35.05" hidden="false" customHeight="false" outlineLevel="0" collapsed="false">
      <c r="A470" s="7" t="s">
        <v>2540</v>
      </c>
      <c r="B470" s="7" t="s">
        <v>265</v>
      </c>
      <c r="C470" s="7" t="s">
        <v>277</v>
      </c>
      <c r="D470" s="7" t="s">
        <v>2541</v>
      </c>
      <c r="E470" s="7" t="s">
        <v>1179</v>
      </c>
      <c r="F470" s="7" t="s">
        <v>943</v>
      </c>
      <c r="G470" s="7" t="s">
        <v>1424</v>
      </c>
      <c r="H470" s="8" t="s">
        <v>279</v>
      </c>
      <c r="I470" s="8" t="s">
        <v>280</v>
      </c>
      <c r="J470" s="7" t="s">
        <v>133</v>
      </c>
      <c r="K470" s="7" t="s">
        <v>2542</v>
      </c>
      <c r="L470" s="7" t="n">
        <v>3</v>
      </c>
      <c r="M470" s="7" t="s">
        <v>278</v>
      </c>
      <c r="N470" s="7"/>
      <c r="O470" s="7" t="s">
        <v>1150</v>
      </c>
      <c r="P470" s="7" t="s">
        <v>1183</v>
      </c>
      <c r="Q470" s="7" t="s">
        <v>1152</v>
      </c>
      <c r="R470" s="8"/>
      <c r="S470" s="12"/>
      <c r="T470" s="12"/>
    </row>
    <row r="471" customFormat="false" ht="35.05" hidden="false" customHeight="false" outlineLevel="0" collapsed="false">
      <c r="A471" s="7" t="s">
        <v>2543</v>
      </c>
      <c r="B471" s="7" t="s">
        <v>265</v>
      </c>
      <c r="C471" s="7" t="s">
        <v>277</v>
      </c>
      <c r="D471" s="7" t="s">
        <v>2544</v>
      </c>
      <c r="E471" s="7" t="s">
        <v>1179</v>
      </c>
      <c r="F471" s="7" t="s">
        <v>943</v>
      </c>
      <c r="G471" s="7" t="s">
        <v>1424</v>
      </c>
      <c r="H471" s="8" t="s">
        <v>279</v>
      </c>
      <c r="I471" s="8" t="s">
        <v>280</v>
      </c>
      <c r="J471" s="7" t="s">
        <v>133</v>
      </c>
      <c r="K471" s="7" t="s">
        <v>2545</v>
      </c>
      <c r="L471" s="7" t="n">
        <v>3</v>
      </c>
      <c r="M471" s="7" t="s">
        <v>278</v>
      </c>
      <c r="N471" s="7"/>
      <c r="O471" s="7" t="s">
        <v>1150</v>
      </c>
      <c r="P471" s="7" t="s">
        <v>1183</v>
      </c>
      <c r="Q471" s="7" t="s">
        <v>1152</v>
      </c>
      <c r="R471" s="8"/>
      <c r="S471" s="12"/>
      <c r="T471" s="12"/>
    </row>
    <row r="472" customFormat="false" ht="35.05" hidden="false" customHeight="false" outlineLevel="0" collapsed="false">
      <c r="A472" s="7" t="s">
        <v>2546</v>
      </c>
      <c r="B472" s="7" t="s">
        <v>265</v>
      </c>
      <c r="C472" s="7" t="s">
        <v>281</v>
      </c>
      <c r="D472" s="7" t="s">
        <v>281</v>
      </c>
      <c r="E472" s="7" t="s">
        <v>1137</v>
      </c>
      <c r="F472" s="7" t="s">
        <v>928</v>
      </c>
      <c r="G472" s="7" t="s">
        <v>1148</v>
      </c>
      <c r="H472" s="8" t="s">
        <v>2547</v>
      </c>
      <c r="I472" s="8" t="s">
        <v>284</v>
      </c>
      <c r="J472" s="7" t="s">
        <v>87</v>
      </c>
      <c r="K472" s="7" t="s">
        <v>282</v>
      </c>
      <c r="L472" s="7" t="n">
        <v>2</v>
      </c>
      <c r="M472" s="7" t="s">
        <v>266</v>
      </c>
      <c r="N472" s="7"/>
      <c r="O472" s="7" t="s">
        <v>1150</v>
      </c>
      <c r="P472" s="7" t="s">
        <v>1151</v>
      </c>
      <c r="Q472" s="7" t="s">
        <v>1152</v>
      </c>
      <c r="R472" s="8"/>
      <c r="S472" s="12"/>
      <c r="T472" s="12"/>
    </row>
    <row r="473" customFormat="false" ht="23.85" hidden="false" customHeight="false" outlineLevel="0" collapsed="false">
      <c r="A473" s="7" t="s">
        <v>2548</v>
      </c>
      <c r="B473" s="7" t="s">
        <v>265</v>
      </c>
      <c r="C473" s="7" t="s">
        <v>281</v>
      </c>
      <c r="D473" s="7" t="s">
        <v>2549</v>
      </c>
      <c r="E473" s="7" t="s">
        <v>1179</v>
      </c>
      <c r="F473" s="7" t="s">
        <v>943</v>
      </c>
      <c r="G473" s="7" t="s">
        <v>1424</v>
      </c>
      <c r="H473" s="8" t="s">
        <v>283</v>
      </c>
      <c r="I473" s="8" t="s">
        <v>284</v>
      </c>
      <c r="J473" s="7" t="s">
        <v>133</v>
      </c>
      <c r="K473" s="7" t="s">
        <v>2550</v>
      </c>
      <c r="L473" s="7" t="n">
        <v>3</v>
      </c>
      <c r="M473" s="7" t="s">
        <v>282</v>
      </c>
      <c r="N473" s="7"/>
      <c r="O473" s="7" t="s">
        <v>1150</v>
      </c>
      <c r="P473" s="7" t="s">
        <v>1151</v>
      </c>
      <c r="Q473" s="7" t="s">
        <v>1184</v>
      </c>
      <c r="R473" s="8"/>
      <c r="S473" s="12"/>
      <c r="T473" s="12"/>
    </row>
    <row r="474" customFormat="false" ht="35.05" hidden="false" customHeight="false" outlineLevel="0" collapsed="false">
      <c r="A474" s="7" t="s">
        <v>2551</v>
      </c>
      <c r="B474" s="7" t="s">
        <v>265</v>
      </c>
      <c r="C474" s="7" t="s">
        <v>281</v>
      </c>
      <c r="D474" s="7" t="s">
        <v>2552</v>
      </c>
      <c r="E474" s="7" t="s">
        <v>1179</v>
      </c>
      <c r="F474" s="7" t="s">
        <v>943</v>
      </c>
      <c r="G474" s="7" t="s">
        <v>1424</v>
      </c>
      <c r="H474" s="8" t="s">
        <v>2553</v>
      </c>
      <c r="I474" s="8" t="s">
        <v>284</v>
      </c>
      <c r="J474" s="7" t="s">
        <v>949</v>
      </c>
      <c r="K474" s="7" t="s">
        <v>2554</v>
      </c>
      <c r="L474" s="7" t="s">
        <v>952</v>
      </c>
      <c r="M474" s="7" t="s">
        <v>2550</v>
      </c>
      <c r="N474" s="7" t="s">
        <v>2549</v>
      </c>
      <c r="O474" s="7" t="s">
        <v>1150</v>
      </c>
      <c r="P474" s="7" t="s">
        <v>1183</v>
      </c>
      <c r="Q474" s="7" t="s">
        <v>1184</v>
      </c>
      <c r="R474" s="8" t="s">
        <v>1185</v>
      </c>
      <c r="S474" s="12"/>
      <c r="T474" s="12"/>
    </row>
    <row r="475" customFormat="false" ht="35.05" hidden="false" customHeight="false" outlineLevel="0" collapsed="false">
      <c r="A475" s="7" t="s">
        <v>2555</v>
      </c>
      <c r="B475" s="7" t="s">
        <v>265</v>
      </c>
      <c r="C475" s="7" t="s">
        <v>281</v>
      </c>
      <c r="D475" s="7" t="s">
        <v>2556</v>
      </c>
      <c r="E475" s="7" t="s">
        <v>1179</v>
      </c>
      <c r="F475" s="7" t="s">
        <v>943</v>
      </c>
      <c r="G475" s="7" t="s">
        <v>1424</v>
      </c>
      <c r="H475" s="8" t="s">
        <v>283</v>
      </c>
      <c r="I475" s="8" t="s">
        <v>284</v>
      </c>
      <c r="J475" s="7" t="s">
        <v>949</v>
      </c>
      <c r="K475" s="7" t="s">
        <v>2557</v>
      </c>
      <c r="L475" s="7" t="s">
        <v>952</v>
      </c>
      <c r="M475" s="7" t="s">
        <v>2550</v>
      </c>
      <c r="N475" s="7" t="s">
        <v>2549</v>
      </c>
      <c r="O475" s="7" t="s">
        <v>1150</v>
      </c>
      <c r="P475" s="7" t="s">
        <v>1183</v>
      </c>
      <c r="Q475" s="7" t="s">
        <v>1152</v>
      </c>
      <c r="R475" s="8" t="s">
        <v>1185</v>
      </c>
      <c r="S475" s="12"/>
      <c r="T475" s="12"/>
    </row>
    <row r="476" customFormat="false" ht="35.05" hidden="false" customHeight="false" outlineLevel="0" collapsed="false">
      <c r="A476" s="7" t="s">
        <v>2558</v>
      </c>
      <c r="B476" s="7" t="s">
        <v>265</v>
      </c>
      <c r="C476" s="7" t="s">
        <v>281</v>
      </c>
      <c r="D476" s="7" t="s">
        <v>2559</v>
      </c>
      <c r="E476" s="7" t="s">
        <v>1179</v>
      </c>
      <c r="F476" s="7" t="s">
        <v>943</v>
      </c>
      <c r="G476" s="7" t="s">
        <v>1424</v>
      </c>
      <c r="H476" s="8" t="s">
        <v>283</v>
      </c>
      <c r="I476" s="8" t="s">
        <v>284</v>
      </c>
      <c r="J476" s="7" t="s">
        <v>949</v>
      </c>
      <c r="K476" s="7" t="s">
        <v>2560</v>
      </c>
      <c r="L476" s="7" t="s">
        <v>952</v>
      </c>
      <c r="M476" s="7" t="s">
        <v>2550</v>
      </c>
      <c r="N476" s="7" t="s">
        <v>2549</v>
      </c>
      <c r="O476" s="7" t="s">
        <v>1150</v>
      </c>
      <c r="P476" s="7" t="s">
        <v>1183</v>
      </c>
      <c r="Q476" s="7" t="s">
        <v>1152</v>
      </c>
      <c r="R476" s="8" t="s">
        <v>1185</v>
      </c>
      <c r="S476" s="12"/>
      <c r="T476" s="12"/>
    </row>
    <row r="477" customFormat="false" ht="35.05" hidden="false" customHeight="false" outlineLevel="0" collapsed="false">
      <c r="A477" s="7" t="s">
        <v>2561</v>
      </c>
      <c r="B477" s="7" t="s">
        <v>265</v>
      </c>
      <c r="C477" s="7" t="s">
        <v>281</v>
      </c>
      <c r="D477" s="7" t="s">
        <v>2562</v>
      </c>
      <c r="E477" s="7" t="s">
        <v>1179</v>
      </c>
      <c r="F477" s="7" t="s">
        <v>943</v>
      </c>
      <c r="G477" s="7" t="s">
        <v>1424</v>
      </c>
      <c r="H477" s="8" t="s">
        <v>283</v>
      </c>
      <c r="I477" s="8" t="s">
        <v>284</v>
      </c>
      <c r="J477" s="7" t="s">
        <v>949</v>
      </c>
      <c r="K477" s="7" t="s">
        <v>2563</v>
      </c>
      <c r="L477" s="7" t="s">
        <v>952</v>
      </c>
      <c r="M477" s="7" t="s">
        <v>2550</v>
      </c>
      <c r="N477" s="7" t="s">
        <v>2549</v>
      </c>
      <c r="O477" s="7" t="s">
        <v>1150</v>
      </c>
      <c r="P477" s="7" t="s">
        <v>1183</v>
      </c>
      <c r="Q477" s="7" t="s">
        <v>1152</v>
      </c>
      <c r="R477" s="8" t="s">
        <v>1185</v>
      </c>
      <c r="S477" s="12"/>
      <c r="T477" s="12"/>
    </row>
    <row r="478" customFormat="false" ht="23.85" hidden="false" customHeight="false" outlineLevel="0" collapsed="false">
      <c r="A478" s="7" t="s">
        <v>2564</v>
      </c>
      <c r="B478" s="7" t="s">
        <v>265</v>
      </c>
      <c r="C478" s="7" t="s">
        <v>281</v>
      </c>
      <c r="D478" s="7" t="s">
        <v>2565</v>
      </c>
      <c r="E478" s="7" t="s">
        <v>1179</v>
      </c>
      <c r="F478" s="7" t="s">
        <v>943</v>
      </c>
      <c r="G478" s="7" t="s">
        <v>1424</v>
      </c>
      <c r="H478" s="8" t="s">
        <v>283</v>
      </c>
      <c r="I478" s="8" t="s">
        <v>284</v>
      </c>
      <c r="J478" s="7" t="s">
        <v>133</v>
      </c>
      <c r="K478" s="7" t="s">
        <v>2566</v>
      </c>
      <c r="L478" s="7" t="n">
        <v>3</v>
      </c>
      <c r="M478" s="7" t="s">
        <v>282</v>
      </c>
      <c r="N478" s="7"/>
      <c r="O478" s="7" t="s">
        <v>1150</v>
      </c>
      <c r="P478" s="7" t="s">
        <v>1183</v>
      </c>
      <c r="Q478" s="7" t="s">
        <v>1152</v>
      </c>
      <c r="R478" s="8"/>
      <c r="S478" s="12"/>
      <c r="T478" s="12"/>
    </row>
    <row r="479" customFormat="false" ht="23.85" hidden="false" customHeight="false" outlineLevel="0" collapsed="false">
      <c r="A479" s="7" t="s">
        <v>2567</v>
      </c>
      <c r="B479" s="7" t="s">
        <v>265</v>
      </c>
      <c r="C479" s="7" t="s">
        <v>281</v>
      </c>
      <c r="D479" s="7" t="s">
        <v>2568</v>
      </c>
      <c r="E479" s="7" t="s">
        <v>1179</v>
      </c>
      <c r="F479" s="7" t="s">
        <v>943</v>
      </c>
      <c r="G479" s="7" t="s">
        <v>1424</v>
      </c>
      <c r="H479" s="8" t="s">
        <v>283</v>
      </c>
      <c r="I479" s="8" t="s">
        <v>284</v>
      </c>
      <c r="J479" s="7" t="s">
        <v>133</v>
      </c>
      <c r="K479" s="7" t="s">
        <v>2569</v>
      </c>
      <c r="L479" s="7" t="n">
        <v>3</v>
      </c>
      <c r="M479" s="7" t="s">
        <v>282</v>
      </c>
      <c r="N479" s="7"/>
      <c r="O479" s="7" t="s">
        <v>1150</v>
      </c>
      <c r="P479" s="7" t="s">
        <v>1183</v>
      </c>
      <c r="Q479" s="7" t="s">
        <v>1152</v>
      </c>
      <c r="R479" s="8"/>
      <c r="S479" s="12"/>
      <c r="T479" s="12"/>
    </row>
    <row r="480" customFormat="false" ht="23.85" hidden="false" customHeight="false" outlineLevel="0" collapsed="false">
      <c r="A480" s="7" t="s">
        <v>2570</v>
      </c>
      <c r="B480" s="7" t="s">
        <v>265</v>
      </c>
      <c r="C480" s="7" t="s">
        <v>281</v>
      </c>
      <c r="D480" s="7" t="s">
        <v>2571</v>
      </c>
      <c r="E480" s="7" t="s">
        <v>1179</v>
      </c>
      <c r="F480" s="7" t="s">
        <v>943</v>
      </c>
      <c r="G480" s="7" t="s">
        <v>1424</v>
      </c>
      <c r="H480" s="8" t="s">
        <v>283</v>
      </c>
      <c r="I480" s="8" t="s">
        <v>284</v>
      </c>
      <c r="J480" s="7" t="s">
        <v>133</v>
      </c>
      <c r="K480" s="7" t="s">
        <v>2572</v>
      </c>
      <c r="L480" s="7" t="n">
        <v>3</v>
      </c>
      <c r="M480" s="7" t="s">
        <v>282</v>
      </c>
      <c r="N480" s="7"/>
      <c r="O480" s="7" t="s">
        <v>1150</v>
      </c>
      <c r="P480" s="7" t="s">
        <v>1183</v>
      </c>
      <c r="Q480" s="7" t="s">
        <v>1152</v>
      </c>
      <c r="R480" s="8"/>
      <c r="S480" s="12"/>
      <c r="T480" s="12"/>
    </row>
    <row r="481" customFormat="false" ht="23.85" hidden="false" customHeight="false" outlineLevel="0" collapsed="false">
      <c r="A481" s="7" t="s">
        <v>2573</v>
      </c>
      <c r="B481" s="7" t="s">
        <v>265</v>
      </c>
      <c r="C481" s="7" t="s">
        <v>281</v>
      </c>
      <c r="D481" s="7" t="s">
        <v>2574</v>
      </c>
      <c r="E481" s="7" t="s">
        <v>1179</v>
      </c>
      <c r="F481" s="7" t="s">
        <v>943</v>
      </c>
      <c r="G481" s="7" t="s">
        <v>1424</v>
      </c>
      <c r="H481" s="8" t="s">
        <v>283</v>
      </c>
      <c r="I481" s="8" t="s">
        <v>284</v>
      </c>
      <c r="J481" s="7" t="s">
        <v>133</v>
      </c>
      <c r="K481" s="7" t="s">
        <v>2575</v>
      </c>
      <c r="L481" s="7" t="n">
        <v>3</v>
      </c>
      <c r="M481" s="7" t="s">
        <v>282</v>
      </c>
      <c r="N481" s="7"/>
      <c r="O481" s="7" t="s">
        <v>1150</v>
      </c>
      <c r="P481" s="7" t="s">
        <v>1183</v>
      </c>
      <c r="Q481" s="7" t="s">
        <v>1152</v>
      </c>
      <c r="R481" s="8"/>
      <c r="S481" s="12"/>
      <c r="T481" s="12"/>
    </row>
    <row r="482" customFormat="false" ht="23.85" hidden="false" customHeight="false" outlineLevel="0" collapsed="false">
      <c r="A482" s="7" t="s">
        <v>2576</v>
      </c>
      <c r="B482" s="7" t="s">
        <v>265</v>
      </c>
      <c r="C482" s="7" t="s">
        <v>281</v>
      </c>
      <c r="D482" s="7" t="s">
        <v>2577</v>
      </c>
      <c r="E482" s="7" t="s">
        <v>1179</v>
      </c>
      <c r="F482" s="7" t="s">
        <v>943</v>
      </c>
      <c r="G482" s="7" t="s">
        <v>1424</v>
      </c>
      <c r="H482" s="8" t="s">
        <v>283</v>
      </c>
      <c r="I482" s="8" t="s">
        <v>284</v>
      </c>
      <c r="J482" s="7" t="s">
        <v>133</v>
      </c>
      <c r="K482" s="7" t="s">
        <v>2578</v>
      </c>
      <c r="L482" s="7" t="n">
        <v>3</v>
      </c>
      <c r="M482" s="7" t="s">
        <v>282</v>
      </c>
      <c r="N482" s="7"/>
      <c r="O482" s="7" t="s">
        <v>1150</v>
      </c>
      <c r="P482" s="7" t="s">
        <v>1183</v>
      </c>
      <c r="Q482" s="7" t="s">
        <v>1152</v>
      </c>
      <c r="R482" s="8"/>
      <c r="S482" s="12"/>
      <c r="T482" s="12"/>
    </row>
    <row r="483" customFormat="false" ht="23.85" hidden="false" customHeight="false" outlineLevel="0" collapsed="false">
      <c r="A483" s="7" t="s">
        <v>2579</v>
      </c>
      <c r="B483" s="7" t="s">
        <v>265</v>
      </c>
      <c r="C483" s="7" t="s">
        <v>281</v>
      </c>
      <c r="D483" s="7" t="s">
        <v>2580</v>
      </c>
      <c r="E483" s="7" t="s">
        <v>1179</v>
      </c>
      <c r="F483" s="7" t="s">
        <v>943</v>
      </c>
      <c r="G483" s="7" t="s">
        <v>1424</v>
      </c>
      <c r="H483" s="8" t="s">
        <v>283</v>
      </c>
      <c r="I483" s="8" t="s">
        <v>284</v>
      </c>
      <c r="J483" s="7" t="s">
        <v>133</v>
      </c>
      <c r="K483" s="7" t="s">
        <v>2581</v>
      </c>
      <c r="L483" s="7" t="n">
        <v>3</v>
      </c>
      <c r="M483" s="7" t="s">
        <v>282</v>
      </c>
      <c r="N483" s="7"/>
      <c r="O483" s="7" t="s">
        <v>1150</v>
      </c>
      <c r="P483" s="7" t="s">
        <v>1183</v>
      </c>
      <c r="Q483" s="7" t="s">
        <v>1152</v>
      </c>
      <c r="R483" s="8"/>
      <c r="S483" s="12"/>
      <c r="T483" s="12"/>
    </row>
    <row r="484" customFormat="false" ht="35.05" hidden="false" customHeight="false" outlineLevel="0" collapsed="false">
      <c r="A484" s="7" t="s">
        <v>2582</v>
      </c>
      <c r="B484" s="7" t="s">
        <v>265</v>
      </c>
      <c r="C484" s="7" t="s">
        <v>281</v>
      </c>
      <c r="D484" s="7" t="s">
        <v>2583</v>
      </c>
      <c r="E484" s="7" t="s">
        <v>1179</v>
      </c>
      <c r="F484" s="7" t="s">
        <v>943</v>
      </c>
      <c r="G484" s="7" t="s">
        <v>1424</v>
      </c>
      <c r="H484" s="8" t="s">
        <v>2584</v>
      </c>
      <c r="I484" s="8" t="s">
        <v>284</v>
      </c>
      <c r="J484" s="7" t="s">
        <v>133</v>
      </c>
      <c r="K484" s="7" t="s">
        <v>2585</v>
      </c>
      <c r="L484" s="7" t="n">
        <v>3</v>
      </c>
      <c r="M484" s="7" t="s">
        <v>282</v>
      </c>
      <c r="N484" s="7"/>
      <c r="O484" s="7" t="s">
        <v>1150</v>
      </c>
      <c r="P484" s="7" t="s">
        <v>1183</v>
      </c>
      <c r="Q484" s="7" t="s">
        <v>1152</v>
      </c>
      <c r="R484" s="8"/>
      <c r="S484" s="12"/>
      <c r="T484" s="12"/>
    </row>
    <row r="485" customFormat="false" ht="35.05" hidden="false" customHeight="false" outlineLevel="0" collapsed="false">
      <c r="A485" s="7" t="s">
        <v>2586</v>
      </c>
      <c r="B485" s="7" t="s">
        <v>265</v>
      </c>
      <c r="C485" s="7" t="s">
        <v>281</v>
      </c>
      <c r="D485" s="7" t="s">
        <v>2587</v>
      </c>
      <c r="E485" s="7" t="s">
        <v>1179</v>
      </c>
      <c r="F485" s="7" t="s">
        <v>943</v>
      </c>
      <c r="G485" s="7" t="s">
        <v>1424</v>
      </c>
      <c r="H485" s="8" t="s">
        <v>283</v>
      </c>
      <c r="I485" s="8" t="s">
        <v>284</v>
      </c>
      <c r="J485" s="7" t="s">
        <v>949</v>
      </c>
      <c r="K485" s="7" t="s">
        <v>2588</v>
      </c>
      <c r="L485" s="7" t="s">
        <v>952</v>
      </c>
      <c r="M485" s="7" t="s">
        <v>2542</v>
      </c>
      <c r="N485" s="7" t="s">
        <v>2541</v>
      </c>
      <c r="O485" s="7" t="s">
        <v>1150</v>
      </c>
      <c r="P485" s="7" t="s">
        <v>1183</v>
      </c>
      <c r="Q485" s="7" t="s">
        <v>1152</v>
      </c>
      <c r="R485" s="8" t="s">
        <v>1185</v>
      </c>
      <c r="S485" s="12"/>
      <c r="T485" s="12"/>
    </row>
    <row r="486" customFormat="false" ht="35.05" hidden="false" customHeight="false" outlineLevel="0" collapsed="false">
      <c r="A486" s="7" t="s">
        <v>2589</v>
      </c>
      <c r="B486" s="7" t="s">
        <v>265</v>
      </c>
      <c r="C486" s="7" t="s">
        <v>281</v>
      </c>
      <c r="D486" s="7" t="s">
        <v>2590</v>
      </c>
      <c r="E486" s="7" t="s">
        <v>1179</v>
      </c>
      <c r="F486" s="7" t="s">
        <v>943</v>
      </c>
      <c r="G486" s="7" t="s">
        <v>1424</v>
      </c>
      <c r="H486" s="8" t="s">
        <v>283</v>
      </c>
      <c r="I486" s="8" t="s">
        <v>284</v>
      </c>
      <c r="J486" s="7" t="s">
        <v>949</v>
      </c>
      <c r="K486" s="7" t="s">
        <v>2591</v>
      </c>
      <c r="L486" s="7" t="s">
        <v>952</v>
      </c>
      <c r="M486" s="7" t="s">
        <v>2545</v>
      </c>
      <c r="N486" s="7" t="s">
        <v>2544</v>
      </c>
      <c r="O486" s="7" t="s">
        <v>1150</v>
      </c>
      <c r="P486" s="7" t="s">
        <v>1183</v>
      </c>
      <c r="Q486" s="7" t="s">
        <v>1152</v>
      </c>
      <c r="R486" s="8" t="s">
        <v>1185</v>
      </c>
      <c r="S486" s="12"/>
      <c r="T486" s="12"/>
    </row>
    <row r="487" customFormat="false" ht="35.05" hidden="false" customHeight="false" outlineLevel="0" collapsed="false">
      <c r="A487" s="7" t="s">
        <v>2592</v>
      </c>
      <c r="B487" s="7" t="s">
        <v>265</v>
      </c>
      <c r="C487" s="7" t="s">
        <v>285</v>
      </c>
      <c r="D487" s="7" t="s">
        <v>285</v>
      </c>
      <c r="E487" s="7" t="s">
        <v>1137</v>
      </c>
      <c r="F487" s="7" t="s">
        <v>928</v>
      </c>
      <c r="G487" s="7" t="s">
        <v>1148</v>
      </c>
      <c r="H487" s="8" t="s">
        <v>2593</v>
      </c>
      <c r="I487" s="8" t="s">
        <v>288</v>
      </c>
      <c r="J487" s="7" t="s">
        <v>87</v>
      </c>
      <c r="K487" s="7" t="s">
        <v>286</v>
      </c>
      <c r="L487" s="7" t="n">
        <v>2</v>
      </c>
      <c r="M487" s="7" t="s">
        <v>266</v>
      </c>
      <c r="N487" s="7"/>
      <c r="O487" s="7" t="s">
        <v>1421</v>
      </c>
      <c r="P487" s="7" t="s">
        <v>1480</v>
      </c>
      <c r="Q487" s="7" t="s">
        <v>1152</v>
      </c>
      <c r="R487" s="8"/>
      <c r="S487" s="12"/>
      <c r="T487" s="12"/>
    </row>
    <row r="488" customFormat="false" ht="23.85" hidden="false" customHeight="false" outlineLevel="0" collapsed="false">
      <c r="A488" s="7" t="s">
        <v>2594</v>
      </c>
      <c r="B488" s="7" t="s">
        <v>265</v>
      </c>
      <c r="C488" s="7" t="s">
        <v>285</v>
      </c>
      <c r="D488" s="7" t="s">
        <v>2595</v>
      </c>
      <c r="E488" s="7" t="s">
        <v>1179</v>
      </c>
      <c r="F488" s="7" t="s">
        <v>943</v>
      </c>
      <c r="G488" s="7" t="s">
        <v>1424</v>
      </c>
      <c r="H488" s="8" t="s">
        <v>287</v>
      </c>
      <c r="I488" s="8" t="s">
        <v>288</v>
      </c>
      <c r="J488" s="7" t="s">
        <v>133</v>
      </c>
      <c r="K488" s="7" t="s">
        <v>2596</v>
      </c>
      <c r="L488" s="7" t="n">
        <v>3</v>
      </c>
      <c r="M488" s="7" t="s">
        <v>286</v>
      </c>
      <c r="N488" s="7"/>
      <c r="O488" s="7" t="s">
        <v>1421</v>
      </c>
      <c r="P488" s="7" t="s">
        <v>1480</v>
      </c>
      <c r="Q488" s="7" t="s">
        <v>1152</v>
      </c>
      <c r="R488" s="8"/>
      <c r="S488" s="12"/>
      <c r="T488" s="12"/>
    </row>
    <row r="489" customFormat="false" ht="23.85" hidden="false" customHeight="false" outlineLevel="0" collapsed="false">
      <c r="A489" s="7" t="s">
        <v>2597</v>
      </c>
      <c r="B489" s="7" t="s">
        <v>265</v>
      </c>
      <c r="C489" s="7" t="s">
        <v>285</v>
      </c>
      <c r="D489" s="7" t="s">
        <v>2598</v>
      </c>
      <c r="E489" s="7" t="s">
        <v>1179</v>
      </c>
      <c r="F489" s="7" t="s">
        <v>943</v>
      </c>
      <c r="G489" s="7" t="s">
        <v>1424</v>
      </c>
      <c r="H489" s="8" t="s">
        <v>287</v>
      </c>
      <c r="I489" s="8" t="s">
        <v>288</v>
      </c>
      <c r="J489" s="7" t="s">
        <v>133</v>
      </c>
      <c r="K489" s="7" t="s">
        <v>2599</v>
      </c>
      <c r="L489" s="7" t="n">
        <v>3</v>
      </c>
      <c r="M489" s="7" t="s">
        <v>286</v>
      </c>
      <c r="N489" s="7"/>
      <c r="O489" s="7" t="s">
        <v>1421</v>
      </c>
      <c r="P489" s="7" t="s">
        <v>1480</v>
      </c>
      <c r="Q489" s="7" t="s">
        <v>1152</v>
      </c>
      <c r="R489" s="8"/>
      <c r="S489" s="12"/>
      <c r="T489" s="12"/>
    </row>
    <row r="490" customFormat="false" ht="23.85" hidden="false" customHeight="false" outlineLevel="0" collapsed="false">
      <c r="A490" s="7" t="s">
        <v>2600</v>
      </c>
      <c r="B490" s="7" t="s">
        <v>265</v>
      </c>
      <c r="C490" s="7" t="s">
        <v>285</v>
      </c>
      <c r="D490" s="7" t="s">
        <v>2601</v>
      </c>
      <c r="E490" s="7" t="s">
        <v>1179</v>
      </c>
      <c r="F490" s="7" t="s">
        <v>943</v>
      </c>
      <c r="G490" s="7" t="s">
        <v>1424</v>
      </c>
      <c r="H490" s="8" t="s">
        <v>287</v>
      </c>
      <c r="I490" s="8" t="s">
        <v>288</v>
      </c>
      <c r="J490" s="7" t="s">
        <v>133</v>
      </c>
      <c r="K490" s="7" t="s">
        <v>2602</v>
      </c>
      <c r="L490" s="7" t="n">
        <v>3</v>
      </c>
      <c r="M490" s="7" t="s">
        <v>286</v>
      </c>
      <c r="N490" s="7"/>
      <c r="O490" s="7" t="s">
        <v>1421</v>
      </c>
      <c r="P490" s="7" t="s">
        <v>1480</v>
      </c>
      <c r="Q490" s="7" t="s">
        <v>1152</v>
      </c>
      <c r="R490" s="8"/>
      <c r="S490" s="12"/>
      <c r="T490" s="12"/>
    </row>
    <row r="491" customFormat="false" ht="23.85" hidden="false" customHeight="false" outlineLevel="0" collapsed="false">
      <c r="A491" s="7" t="s">
        <v>2603</v>
      </c>
      <c r="B491" s="7" t="s">
        <v>265</v>
      </c>
      <c r="C491" s="7" t="s">
        <v>285</v>
      </c>
      <c r="D491" s="7" t="s">
        <v>2604</v>
      </c>
      <c r="E491" s="7" t="s">
        <v>1179</v>
      </c>
      <c r="F491" s="7" t="s">
        <v>943</v>
      </c>
      <c r="G491" s="7" t="s">
        <v>1424</v>
      </c>
      <c r="H491" s="8" t="s">
        <v>287</v>
      </c>
      <c r="I491" s="8" t="s">
        <v>288</v>
      </c>
      <c r="J491" s="7" t="s">
        <v>133</v>
      </c>
      <c r="K491" s="7" t="s">
        <v>2605</v>
      </c>
      <c r="L491" s="7" t="n">
        <v>3</v>
      </c>
      <c r="M491" s="7" t="s">
        <v>286</v>
      </c>
      <c r="N491" s="7"/>
      <c r="O491" s="7" t="s">
        <v>1421</v>
      </c>
      <c r="P491" s="7" t="s">
        <v>1480</v>
      </c>
      <c r="Q491" s="7" t="s">
        <v>1152</v>
      </c>
      <c r="R491" s="8"/>
      <c r="S491" s="12"/>
      <c r="T491" s="12"/>
    </row>
    <row r="492" customFormat="false" ht="23.85" hidden="false" customHeight="false" outlineLevel="0" collapsed="false">
      <c r="A492" s="7" t="s">
        <v>2606</v>
      </c>
      <c r="B492" s="7" t="s">
        <v>265</v>
      </c>
      <c r="C492" s="7" t="s">
        <v>285</v>
      </c>
      <c r="D492" s="7" t="s">
        <v>2607</v>
      </c>
      <c r="E492" s="7" t="s">
        <v>1179</v>
      </c>
      <c r="F492" s="7" t="s">
        <v>943</v>
      </c>
      <c r="G492" s="7" t="s">
        <v>1424</v>
      </c>
      <c r="H492" s="8" t="s">
        <v>287</v>
      </c>
      <c r="I492" s="8" t="s">
        <v>288</v>
      </c>
      <c r="J492" s="7" t="s">
        <v>133</v>
      </c>
      <c r="K492" s="7" t="s">
        <v>2608</v>
      </c>
      <c r="L492" s="7" t="n">
        <v>3</v>
      </c>
      <c r="M492" s="7" t="s">
        <v>286</v>
      </c>
      <c r="N492" s="7"/>
      <c r="O492" s="7" t="s">
        <v>1421</v>
      </c>
      <c r="P492" s="7" t="s">
        <v>1480</v>
      </c>
      <c r="Q492" s="7" t="s">
        <v>1152</v>
      </c>
      <c r="R492" s="8"/>
      <c r="S492" s="12"/>
      <c r="T492" s="12"/>
    </row>
    <row r="493" customFormat="false" ht="23.85" hidden="false" customHeight="false" outlineLevel="0" collapsed="false">
      <c r="A493" s="7" t="s">
        <v>2609</v>
      </c>
      <c r="B493" s="7" t="s">
        <v>265</v>
      </c>
      <c r="C493" s="7" t="s">
        <v>285</v>
      </c>
      <c r="D493" s="7" t="s">
        <v>2610</v>
      </c>
      <c r="E493" s="7" t="s">
        <v>1179</v>
      </c>
      <c r="F493" s="7" t="s">
        <v>943</v>
      </c>
      <c r="G493" s="7" t="s">
        <v>1424</v>
      </c>
      <c r="H493" s="8" t="s">
        <v>287</v>
      </c>
      <c r="I493" s="8" t="s">
        <v>288</v>
      </c>
      <c r="J493" s="7" t="s">
        <v>133</v>
      </c>
      <c r="K493" s="7" t="s">
        <v>2611</v>
      </c>
      <c r="L493" s="7" t="n">
        <v>3</v>
      </c>
      <c r="M493" s="7" t="s">
        <v>286</v>
      </c>
      <c r="N493" s="7"/>
      <c r="O493" s="7" t="s">
        <v>1421</v>
      </c>
      <c r="P493" s="7" t="s">
        <v>1480</v>
      </c>
      <c r="Q493" s="7" t="s">
        <v>1152</v>
      </c>
      <c r="R493" s="8"/>
      <c r="S493" s="12"/>
      <c r="T493" s="12"/>
    </row>
    <row r="494" customFormat="false" ht="23.85" hidden="false" customHeight="false" outlineLevel="0" collapsed="false">
      <c r="A494" s="7" t="s">
        <v>2612</v>
      </c>
      <c r="B494" s="7" t="s">
        <v>265</v>
      </c>
      <c r="C494" s="7" t="s">
        <v>285</v>
      </c>
      <c r="D494" s="7" t="s">
        <v>2613</v>
      </c>
      <c r="E494" s="7" t="s">
        <v>1179</v>
      </c>
      <c r="F494" s="7" t="s">
        <v>943</v>
      </c>
      <c r="G494" s="7" t="s">
        <v>1424</v>
      </c>
      <c r="H494" s="8" t="s">
        <v>287</v>
      </c>
      <c r="I494" s="8" t="s">
        <v>288</v>
      </c>
      <c r="J494" s="7" t="s">
        <v>133</v>
      </c>
      <c r="K494" s="7" t="s">
        <v>2614</v>
      </c>
      <c r="L494" s="7" t="n">
        <v>3</v>
      </c>
      <c r="M494" s="7" t="s">
        <v>286</v>
      </c>
      <c r="N494" s="7"/>
      <c r="O494" s="7" t="s">
        <v>1421</v>
      </c>
      <c r="P494" s="7" t="s">
        <v>1480</v>
      </c>
      <c r="Q494" s="7" t="s">
        <v>1152</v>
      </c>
      <c r="R494" s="8"/>
      <c r="S494" s="12"/>
      <c r="T494" s="12"/>
    </row>
    <row r="495" customFormat="false" ht="23.85" hidden="false" customHeight="false" outlineLevel="0" collapsed="false">
      <c r="A495" s="7" t="s">
        <v>2615</v>
      </c>
      <c r="B495" s="7" t="s">
        <v>265</v>
      </c>
      <c r="C495" s="7" t="s">
        <v>285</v>
      </c>
      <c r="D495" s="7" t="s">
        <v>2616</v>
      </c>
      <c r="E495" s="7" t="s">
        <v>1179</v>
      </c>
      <c r="F495" s="7" t="s">
        <v>943</v>
      </c>
      <c r="G495" s="7" t="s">
        <v>1424</v>
      </c>
      <c r="H495" s="8" t="s">
        <v>287</v>
      </c>
      <c r="I495" s="8" t="s">
        <v>288</v>
      </c>
      <c r="J495" s="7" t="s">
        <v>133</v>
      </c>
      <c r="K495" s="7" t="s">
        <v>2617</v>
      </c>
      <c r="L495" s="7" t="n">
        <v>3</v>
      </c>
      <c r="M495" s="7" t="s">
        <v>286</v>
      </c>
      <c r="N495" s="7"/>
      <c r="O495" s="7" t="s">
        <v>1421</v>
      </c>
      <c r="P495" s="7" t="s">
        <v>1480</v>
      </c>
      <c r="Q495" s="7" t="s">
        <v>1152</v>
      </c>
      <c r="R495" s="8"/>
      <c r="S495" s="12"/>
      <c r="T495" s="12"/>
    </row>
    <row r="496" customFormat="false" ht="23.85" hidden="false" customHeight="false" outlineLevel="0" collapsed="false">
      <c r="A496" s="7" t="s">
        <v>2618</v>
      </c>
      <c r="B496" s="7" t="s">
        <v>265</v>
      </c>
      <c r="C496" s="7" t="s">
        <v>285</v>
      </c>
      <c r="D496" s="7" t="s">
        <v>2619</v>
      </c>
      <c r="E496" s="7" t="s">
        <v>1179</v>
      </c>
      <c r="F496" s="7" t="s">
        <v>943</v>
      </c>
      <c r="G496" s="7" t="s">
        <v>1424</v>
      </c>
      <c r="H496" s="8" t="s">
        <v>287</v>
      </c>
      <c r="I496" s="8" t="s">
        <v>288</v>
      </c>
      <c r="J496" s="7" t="s">
        <v>133</v>
      </c>
      <c r="K496" s="7" t="s">
        <v>2620</v>
      </c>
      <c r="L496" s="7" t="n">
        <v>3</v>
      </c>
      <c r="M496" s="7" t="s">
        <v>286</v>
      </c>
      <c r="N496" s="7"/>
      <c r="O496" s="7" t="s">
        <v>1421</v>
      </c>
      <c r="P496" s="7" t="s">
        <v>1480</v>
      </c>
      <c r="Q496" s="7" t="s">
        <v>1152</v>
      </c>
      <c r="R496" s="8"/>
      <c r="S496" s="12"/>
      <c r="T496" s="12"/>
    </row>
    <row r="497" customFormat="false" ht="35.05" hidden="false" customHeight="false" outlineLevel="0" collapsed="false">
      <c r="A497" s="7" t="s">
        <v>2621</v>
      </c>
      <c r="B497" s="7" t="s">
        <v>291</v>
      </c>
      <c r="C497" s="7" t="s">
        <v>295</v>
      </c>
      <c r="D497" s="7" t="s">
        <v>295</v>
      </c>
      <c r="E497" s="7" t="s">
        <v>1137</v>
      </c>
      <c r="F497" s="7" t="s">
        <v>928</v>
      </c>
      <c r="G497" s="7" t="s">
        <v>1148</v>
      </c>
      <c r="H497" s="8" t="s">
        <v>2622</v>
      </c>
      <c r="I497" s="8" t="s">
        <v>298</v>
      </c>
      <c r="J497" s="7" t="s">
        <v>87</v>
      </c>
      <c r="K497" s="7" t="s">
        <v>296</v>
      </c>
      <c r="L497" s="7" t="n">
        <v>2</v>
      </c>
      <c r="M497" s="7" t="s">
        <v>292</v>
      </c>
      <c r="N497" s="7"/>
      <c r="O497" s="7" t="s">
        <v>1421</v>
      </c>
      <c r="P497" s="7" t="s">
        <v>1183</v>
      </c>
      <c r="Q497" s="7" t="s">
        <v>1152</v>
      </c>
      <c r="R497" s="8"/>
      <c r="S497" s="12"/>
      <c r="T497" s="12"/>
    </row>
    <row r="498" customFormat="false" ht="23.85" hidden="false" customHeight="false" outlineLevel="0" collapsed="false">
      <c r="A498" s="7" t="s">
        <v>2623</v>
      </c>
      <c r="B498" s="7" t="s">
        <v>291</v>
      </c>
      <c r="C498" s="7" t="s">
        <v>295</v>
      </c>
      <c r="D498" s="7" t="s">
        <v>2624</v>
      </c>
      <c r="E498" s="7" t="s">
        <v>1179</v>
      </c>
      <c r="F498" s="7" t="s">
        <v>943</v>
      </c>
      <c r="G498" s="7" t="s">
        <v>1424</v>
      </c>
      <c r="H498" s="8" t="s">
        <v>297</v>
      </c>
      <c r="I498" s="8" t="s">
        <v>298</v>
      </c>
      <c r="J498" s="7" t="s">
        <v>133</v>
      </c>
      <c r="K498" s="7" t="s">
        <v>2625</v>
      </c>
      <c r="L498" s="7" t="n">
        <v>3</v>
      </c>
      <c r="M498" s="7" t="s">
        <v>296</v>
      </c>
      <c r="N498" s="7"/>
      <c r="O498" s="7" t="s">
        <v>1421</v>
      </c>
      <c r="P498" s="7" t="s">
        <v>1183</v>
      </c>
      <c r="Q498" s="7" t="s">
        <v>1184</v>
      </c>
      <c r="R498" s="8"/>
      <c r="S498" s="12"/>
      <c r="T498" s="12"/>
    </row>
    <row r="499" customFormat="false" ht="23.85" hidden="false" customHeight="false" outlineLevel="0" collapsed="false">
      <c r="A499" s="7" t="s">
        <v>2626</v>
      </c>
      <c r="B499" s="7" t="s">
        <v>291</v>
      </c>
      <c r="C499" s="7" t="s">
        <v>295</v>
      </c>
      <c r="D499" s="7" t="s">
        <v>2627</v>
      </c>
      <c r="E499" s="7" t="s">
        <v>1179</v>
      </c>
      <c r="F499" s="7" t="s">
        <v>943</v>
      </c>
      <c r="G499" s="7" t="s">
        <v>1424</v>
      </c>
      <c r="H499" s="8" t="s">
        <v>297</v>
      </c>
      <c r="I499" s="8" t="s">
        <v>298</v>
      </c>
      <c r="J499" s="7" t="s">
        <v>133</v>
      </c>
      <c r="K499" s="7" t="s">
        <v>2628</v>
      </c>
      <c r="L499" s="7" t="n">
        <v>3</v>
      </c>
      <c r="M499" s="7" t="s">
        <v>296</v>
      </c>
      <c r="N499" s="7"/>
      <c r="O499" s="7" t="s">
        <v>1421</v>
      </c>
      <c r="P499" s="7" t="s">
        <v>1183</v>
      </c>
      <c r="Q499" s="7" t="s">
        <v>1152</v>
      </c>
      <c r="R499" s="8"/>
      <c r="S499" s="12"/>
      <c r="T499" s="12"/>
    </row>
    <row r="500" customFormat="false" ht="23.85" hidden="false" customHeight="false" outlineLevel="0" collapsed="false">
      <c r="A500" s="7" t="s">
        <v>2629</v>
      </c>
      <c r="B500" s="7" t="s">
        <v>291</v>
      </c>
      <c r="C500" s="7" t="s">
        <v>295</v>
      </c>
      <c r="D500" s="7" t="s">
        <v>2630</v>
      </c>
      <c r="E500" s="7" t="s">
        <v>1179</v>
      </c>
      <c r="F500" s="7" t="s">
        <v>943</v>
      </c>
      <c r="G500" s="7" t="s">
        <v>1424</v>
      </c>
      <c r="H500" s="8" t="s">
        <v>297</v>
      </c>
      <c r="I500" s="8" t="s">
        <v>298</v>
      </c>
      <c r="J500" s="7" t="s">
        <v>133</v>
      </c>
      <c r="K500" s="7" t="s">
        <v>2631</v>
      </c>
      <c r="L500" s="7" t="n">
        <v>3</v>
      </c>
      <c r="M500" s="7" t="s">
        <v>296</v>
      </c>
      <c r="N500" s="7"/>
      <c r="O500" s="7" t="s">
        <v>1421</v>
      </c>
      <c r="P500" s="7" t="s">
        <v>1183</v>
      </c>
      <c r="Q500" s="7" t="s">
        <v>1152</v>
      </c>
      <c r="R500" s="8"/>
      <c r="S500" s="12"/>
      <c r="T500" s="12"/>
    </row>
    <row r="501" customFormat="false" ht="23.85" hidden="false" customHeight="false" outlineLevel="0" collapsed="false">
      <c r="A501" s="7" t="s">
        <v>2632</v>
      </c>
      <c r="B501" s="7" t="s">
        <v>291</v>
      </c>
      <c r="C501" s="7" t="s">
        <v>295</v>
      </c>
      <c r="D501" s="7" t="s">
        <v>2633</v>
      </c>
      <c r="E501" s="7" t="s">
        <v>1179</v>
      </c>
      <c r="F501" s="7" t="s">
        <v>943</v>
      </c>
      <c r="G501" s="7" t="s">
        <v>1424</v>
      </c>
      <c r="H501" s="8" t="s">
        <v>297</v>
      </c>
      <c r="I501" s="8" t="s">
        <v>298</v>
      </c>
      <c r="J501" s="7" t="s">
        <v>133</v>
      </c>
      <c r="K501" s="7" t="s">
        <v>2634</v>
      </c>
      <c r="L501" s="7" t="n">
        <v>3</v>
      </c>
      <c r="M501" s="7" t="s">
        <v>296</v>
      </c>
      <c r="N501" s="7"/>
      <c r="O501" s="7" t="s">
        <v>1421</v>
      </c>
      <c r="P501" s="7" t="s">
        <v>1183</v>
      </c>
      <c r="Q501" s="7" t="s">
        <v>1152</v>
      </c>
      <c r="R501" s="8"/>
      <c r="S501" s="12"/>
      <c r="T501" s="12"/>
    </row>
    <row r="502" customFormat="false" ht="23.85" hidden="false" customHeight="false" outlineLevel="0" collapsed="false">
      <c r="A502" s="7" t="s">
        <v>2635</v>
      </c>
      <c r="B502" s="7" t="s">
        <v>291</v>
      </c>
      <c r="C502" s="7" t="s">
        <v>295</v>
      </c>
      <c r="D502" s="7" t="s">
        <v>2636</v>
      </c>
      <c r="E502" s="7" t="s">
        <v>1179</v>
      </c>
      <c r="F502" s="7" t="s">
        <v>943</v>
      </c>
      <c r="G502" s="7" t="s">
        <v>1424</v>
      </c>
      <c r="H502" s="8" t="s">
        <v>297</v>
      </c>
      <c r="I502" s="8" t="s">
        <v>298</v>
      </c>
      <c r="J502" s="7" t="s">
        <v>133</v>
      </c>
      <c r="K502" s="7" t="s">
        <v>2637</v>
      </c>
      <c r="L502" s="7" t="n">
        <v>3</v>
      </c>
      <c r="M502" s="7" t="s">
        <v>296</v>
      </c>
      <c r="N502" s="7"/>
      <c r="O502" s="7" t="s">
        <v>1421</v>
      </c>
      <c r="P502" s="7" t="s">
        <v>1183</v>
      </c>
      <c r="Q502" s="7" t="s">
        <v>1152</v>
      </c>
      <c r="R502" s="8"/>
      <c r="S502" s="12"/>
      <c r="T502" s="12"/>
    </row>
    <row r="503" customFormat="false" ht="23.85" hidden="false" customHeight="false" outlineLevel="0" collapsed="false">
      <c r="A503" s="7" t="s">
        <v>2638</v>
      </c>
      <c r="B503" s="7" t="s">
        <v>291</v>
      </c>
      <c r="C503" s="7" t="s">
        <v>295</v>
      </c>
      <c r="D503" s="7" t="s">
        <v>2639</v>
      </c>
      <c r="E503" s="7" t="s">
        <v>1179</v>
      </c>
      <c r="F503" s="7" t="s">
        <v>943</v>
      </c>
      <c r="G503" s="7" t="s">
        <v>1424</v>
      </c>
      <c r="H503" s="8" t="s">
        <v>297</v>
      </c>
      <c r="I503" s="8" t="s">
        <v>298</v>
      </c>
      <c r="J503" s="7" t="s">
        <v>133</v>
      </c>
      <c r="K503" s="7" t="s">
        <v>2640</v>
      </c>
      <c r="L503" s="7" t="n">
        <v>3</v>
      </c>
      <c r="M503" s="7" t="s">
        <v>296</v>
      </c>
      <c r="N503" s="7"/>
      <c r="O503" s="7" t="s">
        <v>1421</v>
      </c>
      <c r="P503" s="7" t="s">
        <v>1183</v>
      </c>
      <c r="Q503" s="7" t="s">
        <v>1152</v>
      </c>
      <c r="R503" s="8"/>
      <c r="S503" s="12"/>
      <c r="T503" s="12"/>
    </row>
    <row r="504" customFormat="false" ht="23.85" hidden="false" customHeight="false" outlineLevel="0" collapsed="false">
      <c r="A504" s="7" t="s">
        <v>2641</v>
      </c>
      <c r="B504" s="7" t="s">
        <v>291</v>
      </c>
      <c r="C504" s="7" t="s">
        <v>295</v>
      </c>
      <c r="D504" s="7" t="s">
        <v>2642</v>
      </c>
      <c r="E504" s="7" t="s">
        <v>1179</v>
      </c>
      <c r="F504" s="7" t="s">
        <v>943</v>
      </c>
      <c r="G504" s="7" t="s">
        <v>1424</v>
      </c>
      <c r="H504" s="8" t="s">
        <v>297</v>
      </c>
      <c r="I504" s="8" t="s">
        <v>298</v>
      </c>
      <c r="J504" s="7" t="s">
        <v>133</v>
      </c>
      <c r="K504" s="7" t="s">
        <v>2643</v>
      </c>
      <c r="L504" s="7" t="n">
        <v>3</v>
      </c>
      <c r="M504" s="7" t="s">
        <v>296</v>
      </c>
      <c r="N504" s="7"/>
      <c r="O504" s="7" t="s">
        <v>1421</v>
      </c>
      <c r="P504" s="7" t="s">
        <v>1183</v>
      </c>
      <c r="Q504" s="7" t="s">
        <v>1152</v>
      </c>
      <c r="R504" s="8"/>
      <c r="S504" s="12"/>
      <c r="T504" s="12"/>
    </row>
    <row r="505" customFormat="false" ht="35.05" hidden="false" customHeight="false" outlineLevel="0" collapsed="false">
      <c r="A505" s="7" t="s">
        <v>2644</v>
      </c>
      <c r="B505" s="7" t="s">
        <v>291</v>
      </c>
      <c r="C505" s="7" t="s">
        <v>299</v>
      </c>
      <c r="D505" s="7" t="s">
        <v>299</v>
      </c>
      <c r="E505" s="7" t="s">
        <v>1137</v>
      </c>
      <c r="F505" s="7" t="s">
        <v>928</v>
      </c>
      <c r="G505" s="7" t="s">
        <v>1148</v>
      </c>
      <c r="H505" s="8" t="s">
        <v>2645</v>
      </c>
      <c r="I505" s="8" t="s">
        <v>302</v>
      </c>
      <c r="J505" s="7" t="s">
        <v>87</v>
      </c>
      <c r="K505" s="7" t="s">
        <v>300</v>
      </c>
      <c r="L505" s="7" t="n">
        <v>2</v>
      </c>
      <c r="M505" s="7" t="s">
        <v>292</v>
      </c>
      <c r="N505" s="7"/>
      <c r="O505" s="7" t="s">
        <v>1150</v>
      </c>
      <c r="P505" s="7" t="s">
        <v>1183</v>
      </c>
      <c r="Q505" s="7" t="s">
        <v>1152</v>
      </c>
      <c r="R505" s="8"/>
      <c r="S505" s="12"/>
      <c r="T505" s="12"/>
    </row>
    <row r="506" customFormat="false" ht="23.85" hidden="false" customHeight="false" outlineLevel="0" collapsed="false">
      <c r="A506" s="7" t="s">
        <v>2646</v>
      </c>
      <c r="B506" s="7" t="s">
        <v>291</v>
      </c>
      <c r="C506" s="7" t="s">
        <v>299</v>
      </c>
      <c r="D506" s="7" t="s">
        <v>2647</v>
      </c>
      <c r="E506" s="7" t="s">
        <v>1179</v>
      </c>
      <c r="F506" s="7" t="s">
        <v>943</v>
      </c>
      <c r="G506" s="7" t="s">
        <v>1424</v>
      </c>
      <c r="H506" s="8" t="s">
        <v>301</v>
      </c>
      <c r="I506" s="8" t="s">
        <v>302</v>
      </c>
      <c r="J506" s="7" t="s">
        <v>133</v>
      </c>
      <c r="K506" s="7" t="s">
        <v>2648</v>
      </c>
      <c r="L506" s="7" t="n">
        <v>3</v>
      </c>
      <c r="M506" s="7" t="s">
        <v>300</v>
      </c>
      <c r="N506" s="7"/>
      <c r="O506" s="7" t="s">
        <v>1150</v>
      </c>
      <c r="P506" s="7" t="s">
        <v>1183</v>
      </c>
      <c r="Q506" s="7" t="s">
        <v>1184</v>
      </c>
      <c r="R506" s="8"/>
      <c r="S506" s="12"/>
      <c r="T506" s="12"/>
    </row>
    <row r="507" customFormat="false" ht="23.85" hidden="false" customHeight="false" outlineLevel="0" collapsed="false">
      <c r="A507" s="7" t="s">
        <v>2649</v>
      </c>
      <c r="B507" s="7" t="s">
        <v>291</v>
      </c>
      <c r="C507" s="7" t="s">
        <v>299</v>
      </c>
      <c r="D507" s="7" t="s">
        <v>2650</v>
      </c>
      <c r="E507" s="7" t="s">
        <v>1179</v>
      </c>
      <c r="F507" s="7" t="s">
        <v>943</v>
      </c>
      <c r="G507" s="7" t="s">
        <v>1424</v>
      </c>
      <c r="H507" s="8" t="s">
        <v>301</v>
      </c>
      <c r="I507" s="8" t="s">
        <v>302</v>
      </c>
      <c r="J507" s="7" t="s">
        <v>133</v>
      </c>
      <c r="K507" s="7" t="s">
        <v>2651</v>
      </c>
      <c r="L507" s="7" t="n">
        <v>3</v>
      </c>
      <c r="M507" s="7" t="s">
        <v>300</v>
      </c>
      <c r="N507" s="7"/>
      <c r="O507" s="7" t="s">
        <v>1150</v>
      </c>
      <c r="P507" s="7" t="s">
        <v>1183</v>
      </c>
      <c r="Q507" s="7" t="s">
        <v>1152</v>
      </c>
      <c r="R507" s="8"/>
      <c r="S507" s="12"/>
      <c r="T507" s="12"/>
    </row>
    <row r="508" customFormat="false" ht="23.85" hidden="false" customHeight="false" outlineLevel="0" collapsed="false">
      <c r="A508" s="7" t="s">
        <v>2652</v>
      </c>
      <c r="B508" s="7" t="s">
        <v>291</v>
      </c>
      <c r="C508" s="7" t="s">
        <v>299</v>
      </c>
      <c r="D508" s="7" t="s">
        <v>2653</v>
      </c>
      <c r="E508" s="7" t="s">
        <v>1179</v>
      </c>
      <c r="F508" s="7" t="s">
        <v>943</v>
      </c>
      <c r="G508" s="7" t="s">
        <v>1424</v>
      </c>
      <c r="H508" s="8" t="s">
        <v>301</v>
      </c>
      <c r="I508" s="8" t="s">
        <v>302</v>
      </c>
      <c r="J508" s="7" t="s">
        <v>133</v>
      </c>
      <c r="K508" s="7" t="s">
        <v>2654</v>
      </c>
      <c r="L508" s="7" t="n">
        <v>3</v>
      </c>
      <c r="M508" s="7" t="s">
        <v>300</v>
      </c>
      <c r="N508" s="7"/>
      <c r="O508" s="7" t="s">
        <v>1150</v>
      </c>
      <c r="P508" s="7" t="s">
        <v>1151</v>
      </c>
      <c r="Q508" s="7" t="s">
        <v>1152</v>
      </c>
      <c r="R508" s="8"/>
      <c r="S508" s="12"/>
      <c r="T508" s="12"/>
    </row>
    <row r="509" customFormat="false" ht="23.85" hidden="false" customHeight="false" outlineLevel="0" collapsed="false">
      <c r="A509" s="7" t="s">
        <v>2655</v>
      </c>
      <c r="B509" s="7" t="s">
        <v>291</v>
      </c>
      <c r="C509" s="7" t="s">
        <v>299</v>
      </c>
      <c r="D509" s="7" t="s">
        <v>2656</v>
      </c>
      <c r="E509" s="7" t="s">
        <v>1179</v>
      </c>
      <c r="F509" s="7" t="s">
        <v>943</v>
      </c>
      <c r="G509" s="7" t="s">
        <v>1424</v>
      </c>
      <c r="H509" s="8" t="s">
        <v>301</v>
      </c>
      <c r="I509" s="8" t="s">
        <v>302</v>
      </c>
      <c r="J509" s="7" t="s">
        <v>133</v>
      </c>
      <c r="K509" s="7" t="s">
        <v>2657</v>
      </c>
      <c r="L509" s="7" t="n">
        <v>3</v>
      </c>
      <c r="M509" s="7" t="s">
        <v>300</v>
      </c>
      <c r="N509" s="7"/>
      <c r="O509" s="7" t="s">
        <v>1150</v>
      </c>
      <c r="P509" s="7" t="s">
        <v>1183</v>
      </c>
      <c r="Q509" s="7" t="s">
        <v>1152</v>
      </c>
      <c r="R509" s="8"/>
      <c r="S509" s="12"/>
      <c r="T509" s="12"/>
    </row>
    <row r="510" customFormat="false" ht="23.85" hidden="false" customHeight="false" outlineLevel="0" collapsed="false">
      <c r="A510" s="7" t="s">
        <v>2658</v>
      </c>
      <c r="B510" s="7" t="s">
        <v>291</v>
      </c>
      <c r="C510" s="7" t="s">
        <v>299</v>
      </c>
      <c r="D510" s="7" t="s">
        <v>2659</v>
      </c>
      <c r="E510" s="7" t="s">
        <v>1179</v>
      </c>
      <c r="F510" s="7" t="s">
        <v>943</v>
      </c>
      <c r="G510" s="7" t="s">
        <v>1424</v>
      </c>
      <c r="H510" s="8" t="s">
        <v>301</v>
      </c>
      <c r="I510" s="8" t="s">
        <v>302</v>
      </c>
      <c r="J510" s="7" t="s">
        <v>133</v>
      </c>
      <c r="K510" s="7" t="s">
        <v>2660</v>
      </c>
      <c r="L510" s="7" t="n">
        <v>3</v>
      </c>
      <c r="M510" s="7" t="s">
        <v>300</v>
      </c>
      <c r="N510" s="7"/>
      <c r="O510" s="7" t="s">
        <v>1150</v>
      </c>
      <c r="P510" s="7" t="s">
        <v>1183</v>
      </c>
      <c r="Q510" s="7" t="s">
        <v>1152</v>
      </c>
      <c r="R510" s="8"/>
      <c r="S510" s="12"/>
      <c r="T510" s="12"/>
    </row>
    <row r="511" customFormat="false" ht="23.85" hidden="false" customHeight="false" outlineLevel="0" collapsed="false">
      <c r="A511" s="7" t="s">
        <v>2661</v>
      </c>
      <c r="B511" s="7" t="s">
        <v>291</v>
      </c>
      <c r="C511" s="7" t="s">
        <v>299</v>
      </c>
      <c r="D511" s="7" t="s">
        <v>2662</v>
      </c>
      <c r="E511" s="7" t="s">
        <v>1179</v>
      </c>
      <c r="F511" s="7" t="s">
        <v>943</v>
      </c>
      <c r="G511" s="7" t="s">
        <v>1424</v>
      </c>
      <c r="H511" s="8" t="s">
        <v>301</v>
      </c>
      <c r="I511" s="8" t="s">
        <v>302</v>
      </c>
      <c r="J511" s="7" t="s">
        <v>133</v>
      </c>
      <c r="K511" s="7" t="s">
        <v>2663</v>
      </c>
      <c r="L511" s="7" t="n">
        <v>3</v>
      </c>
      <c r="M511" s="7" t="s">
        <v>300</v>
      </c>
      <c r="N511" s="7"/>
      <c r="O511" s="7" t="s">
        <v>1150</v>
      </c>
      <c r="P511" s="7" t="s">
        <v>1183</v>
      </c>
      <c r="Q511" s="7" t="s">
        <v>1152</v>
      </c>
      <c r="R511" s="8"/>
      <c r="S511" s="12"/>
      <c r="T511" s="12"/>
    </row>
    <row r="512" customFormat="false" ht="23.85" hidden="false" customHeight="false" outlineLevel="0" collapsed="false">
      <c r="A512" s="7" t="s">
        <v>2664</v>
      </c>
      <c r="B512" s="7" t="s">
        <v>291</v>
      </c>
      <c r="C512" s="7" t="s">
        <v>299</v>
      </c>
      <c r="D512" s="7" t="s">
        <v>2665</v>
      </c>
      <c r="E512" s="7" t="s">
        <v>1179</v>
      </c>
      <c r="F512" s="7" t="s">
        <v>943</v>
      </c>
      <c r="G512" s="7" t="s">
        <v>1424</v>
      </c>
      <c r="H512" s="8" t="s">
        <v>301</v>
      </c>
      <c r="I512" s="8" t="s">
        <v>302</v>
      </c>
      <c r="J512" s="7" t="s">
        <v>133</v>
      </c>
      <c r="K512" s="7" t="s">
        <v>2666</v>
      </c>
      <c r="L512" s="7" t="n">
        <v>3</v>
      </c>
      <c r="M512" s="7" t="s">
        <v>300</v>
      </c>
      <c r="N512" s="7"/>
      <c r="O512" s="7" t="s">
        <v>1150</v>
      </c>
      <c r="P512" s="7" t="s">
        <v>1183</v>
      </c>
      <c r="Q512" s="7" t="s">
        <v>1152</v>
      </c>
      <c r="R512" s="8"/>
      <c r="S512" s="12"/>
      <c r="T512" s="12"/>
    </row>
    <row r="513" customFormat="false" ht="35.05" hidden="false" customHeight="false" outlineLevel="0" collapsed="false">
      <c r="A513" s="7" t="s">
        <v>2667</v>
      </c>
      <c r="B513" s="7" t="s">
        <v>291</v>
      </c>
      <c r="C513" s="7" t="s">
        <v>303</v>
      </c>
      <c r="D513" s="7" t="s">
        <v>303</v>
      </c>
      <c r="E513" s="7" t="s">
        <v>1137</v>
      </c>
      <c r="F513" s="7" t="s">
        <v>928</v>
      </c>
      <c r="G513" s="7" t="s">
        <v>1148</v>
      </c>
      <c r="H513" s="8" t="s">
        <v>2668</v>
      </c>
      <c r="I513" s="8" t="s">
        <v>306</v>
      </c>
      <c r="J513" s="7" t="s">
        <v>87</v>
      </c>
      <c r="K513" s="7" t="s">
        <v>304</v>
      </c>
      <c r="L513" s="7" t="n">
        <v>2</v>
      </c>
      <c r="M513" s="7" t="s">
        <v>292</v>
      </c>
      <c r="N513" s="7"/>
      <c r="O513" s="7" t="s">
        <v>1421</v>
      </c>
      <c r="P513" s="7" t="s">
        <v>1183</v>
      </c>
      <c r="Q513" s="7" t="s">
        <v>1152</v>
      </c>
      <c r="R513" s="8"/>
      <c r="S513" s="12"/>
      <c r="T513" s="12"/>
    </row>
    <row r="514" customFormat="false" ht="23.85" hidden="false" customHeight="false" outlineLevel="0" collapsed="false">
      <c r="A514" s="7" t="s">
        <v>2669</v>
      </c>
      <c r="B514" s="7" t="s">
        <v>291</v>
      </c>
      <c r="C514" s="7" t="s">
        <v>303</v>
      </c>
      <c r="D514" s="7" t="s">
        <v>2670</v>
      </c>
      <c r="E514" s="7" t="s">
        <v>1179</v>
      </c>
      <c r="F514" s="7" t="s">
        <v>943</v>
      </c>
      <c r="G514" s="7" t="s">
        <v>1424</v>
      </c>
      <c r="H514" s="8" t="s">
        <v>305</v>
      </c>
      <c r="I514" s="8" t="s">
        <v>306</v>
      </c>
      <c r="J514" s="7" t="s">
        <v>133</v>
      </c>
      <c r="K514" s="7" t="s">
        <v>2671</v>
      </c>
      <c r="L514" s="7" t="n">
        <v>3</v>
      </c>
      <c r="M514" s="7" t="s">
        <v>304</v>
      </c>
      <c r="N514" s="7"/>
      <c r="O514" s="7" t="s">
        <v>1421</v>
      </c>
      <c r="P514" s="7" t="s">
        <v>1183</v>
      </c>
      <c r="Q514" s="7" t="s">
        <v>1184</v>
      </c>
      <c r="R514" s="8"/>
      <c r="S514" s="12"/>
      <c r="T514" s="12"/>
    </row>
    <row r="515" customFormat="false" ht="23.85" hidden="false" customHeight="false" outlineLevel="0" collapsed="false">
      <c r="A515" s="7" t="s">
        <v>2672</v>
      </c>
      <c r="B515" s="7" t="s">
        <v>291</v>
      </c>
      <c r="C515" s="7" t="s">
        <v>303</v>
      </c>
      <c r="D515" s="7" t="s">
        <v>2673</v>
      </c>
      <c r="E515" s="7" t="s">
        <v>1179</v>
      </c>
      <c r="F515" s="7" t="s">
        <v>943</v>
      </c>
      <c r="G515" s="7" t="s">
        <v>1424</v>
      </c>
      <c r="H515" s="8" t="s">
        <v>305</v>
      </c>
      <c r="I515" s="8" t="s">
        <v>306</v>
      </c>
      <c r="J515" s="7" t="s">
        <v>133</v>
      </c>
      <c r="K515" s="7" t="s">
        <v>2674</v>
      </c>
      <c r="L515" s="7" t="n">
        <v>3</v>
      </c>
      <c r="M515" s="7" t="s">
        <v>304</v>
      </c>
      <c r="N515" s="7"/>
      <c r="O515" s="7" t="s">
        <v>1421</v>
      </c>
      <c r="P515" s="7" t="s">
        <v>1183</v>
      </c>
      <c r="Q515" s="7" t="s">
        <v>1152</v>
      </c>
      <c r="R515" s="8"/>
      <c r="S515" s="12"/>
      <c r="T515" s="12"/>
    </row>
    <row r="516" customFormat="false" ht="23.85" hidden="false" customHeight="false" outlineLevel="0" collapsed="false">
      <c r="A516" s="7" t="s">
        <v>2675</v>
      </c>
      <c r="B516" s="7" t="s">
        <v>291</v>
      </c>
      <c r="C516" s="7" t="s">
        <v>303</v>
      </c>
      <c r="D516" s="7" t="s">
        <v>2676</v>
      </c>
      <c r="E516" s="7" t="s">
        <v>1179</v>
      </c>
      <c r="F516" s="7" t="s">
        <v>943</v>
      </c>
      <c r="G516" s="7" t="s">
        <v>1424</v>
      </c>
      <c r="H516" s="8" t="s">
        <v>305</v>
      </c>
      <c r="I516" s="8" t="s">
        <v>306</v>
      </c>
      <c r="J516" s="7" t="s">
        <v>133</v>
      </c>
      <c r="K516" s="7" t="s">
        <v>2677</v>
      </c>
      <c r="L516" s="7" t="n">
        <v>3</v>
      </c>
      <c r="M516" s="7" t="s">
        <v>304</v>
      </c>
      <c r="N516" s="7"/>
      <c r="O516" s="7" t="s">
        <v>1421</v>
      </c>
      <c r="P516" s="7" t="s">
        <v>1183</v>
      </c>
      <c r="Q516" s="7" t="s">
        <v>1152</v>
      </c>
      <c r="R516" s="8"/>
      <c r="S516" s="12"/>
      <c r="T516" s="12"/>
    </row>
    <row r="517" customFormat="false" ht="46.25" hidden="false" customHeight="false" outlineLevel="0" collapsed="false">
      <c r="A517" s="7" t="s">
        <v>2678</v>
      </c>
      <c r="B517" s="7" t="s">
        <v>291</v>
      </c>
      <c r="C517" s="7" t="s">
        <v>303</v>
      </c>
      <c r="D517" s="7" t="s">
        <v>2679</v>
      </c>
      <c r="E517" s="7" t="s">
        <v>1179</v>
      </c>
      <c r="F517" s="7" t="s">
        <v>943</v>
      </c>
      <c r="G517" s="7" t="s">
        <v>1424</v>
      </c>
      <c r="H517" s="8" t="s">
        <v>2680</v>
      </c>
      <c r="I517" s="8" t="s">
        <v>306</v>
      </c>
      <c r="J517" s="7" t="s">
        <v>133</v>
      </c>
      <c r="K517" s="7" t="s">
        <v>2681</v>
      </c>
      <c r="L517" s="7" t="n">
        <v>3</v>
      </c>
      <c r="M517" s="7" t="s">
        <v>304</v>
      </c>
      <c r="N517" s="7"/>
      <c r="O517" s="7" t="s">
        <v>1421</v>
      </c>
      <c r="P517" s="7" t="s">
        <v>1151</v>
      </c>
      <c r="Q517" s="7" t="s">
        <v>1152</v>
      </c>
      <c r="R517" s="8"/>
      <c r="S517" s="12"/>
      <c r="T517" s="12"/>
    </row>
    <row r="518" customFormat="false" ht="23.85" hidden="false" customHeight="false" outlineLevel="0" collapsed="false">
      <c r="A518" s="7" t="s">
        <v>2682</v>
      </c>
      <c r="B518" s="7" t="s">
        <v>291</v>
      </c>
      <c r="C518" s="7" t="s">
        <v>303</v>
      </c>
      <c r="D518" s="7" t="s">
        <v>2683</v>
      </c>
      <c r="E518" s="7" t="s">
        <v>1179</v>
      </c>
      <c r="F518" s="7" t="s">
        <v>943</v>
      </c>
      <c r="G518" s="7" t="s">
        <v>1424</v>
      </c>
      <c r="H518" s="8" t="s">
        <v>305</v>
      </c>
      <c r="I518" s="8" t="s">
        <v>306</v>
      </c>
      <c r="J518" s="7" t="s">
        <v>133</v>
      </c>
      <c r="K518" s="7" t="s">
        <v>2684</v>
      </c>
      <c r="L518" s="7" t="n">
        <v>3</v>
      </c>
      <c r="M518" s="7" t="s">
        <v>304</v>
      </c>
      <c r="N518" s="7"/>
      <c r="O518" s="7" t="s">
        <v>1421</v>
      </c>
      <c r="P518" s="7" t="s">
        <v>1183</v>
      </c>
      <c r="Q518" s="7" t="s">
        <v>1152</v>
      </c>
      <c r="R518" s="8"/>
      <c r="S518" s="12"/>
      <c r="T518" s="12"/>
    </row>
    <row r="519" customFormat="false" ht="23.85" hidden="false" customHeight="false" outlineLevel="0" collapsed="false">
      <c r="A519" s="7" t="s">
        <v>2685</v>
      </c>
      <c r="B519" s="7" t="s">
        <v>291</v>
      </c>
      <c r="C519" s="7" t="s">
        <v>303</v>
      </c>
      <c r="D519" s="7" t="s">
        <v>2686</v>
      </c>
      <c r="E519" s="7" t="s">
        <v>1179</v>
      </c>
      <c r="F519" s="7" t="s">
        <v>943</v>
      </c>
      <c r="G519" s="7" t="s">
        <v>1424</v>
      </c>
      <c r="H519" s="8" t="s">
        <v>305</v>
      </c>
      <c r="I519" s="8" t="s">
        <v>306</v>
      </c>
      <c r="J519" s="7" t="s">
        <v>133</v>
      </c>
      <c r="K519" s="7" t="s">
        <v>2687</v>
      </c>
      <c r="L519" s="7" t="n">
        <v>3</v>
      </c>
      <c r="M519" s="7" t="s">
        <v>304</v>
      </c>
      <c r="N519" s="7"/>
      <c r="O519" s="7" t="s">
        <v>1421</v>
      </c>
      <c r="P519" s="7" t="s">
        <v>1183</v>
      </c>
      <c r="Q519" s="7" t="s">
        <v>1152</v>
      </c>
      <c r="R519" s="8"/>
      <c r="S519" s="12"/>
      <c r="T519" s="12"/>
    </row>
    <row r="520" customFormat="false" ht="23.85" hidden="false" customHeight="false" outlineLevel="0" collapsed="false">
      <c r="A520" s="7" t="s">
        <v>2688</v>
      </c>
      <c r="B520" s="7" t="s">
        <v>291</v>
      </c>
      <c r="C520" s="7" t="s">
        <v>303</v>
      </c>
      <c r="D520" s="7" t="s">
        <v>2689</v>
      </c>
      <c r="E520" s="7" t="s">
        <v>1179</v>
      </c>
      <c r="F520" s="7" t="s">
        <v>943</v>
      </c>
      <c r="G520" s="7" t="s">
        <v>1424</v>
      </c>
      <c r="H520" s="8" t="s">
        <v>305</v>
      </c>
      <c r="I520" s="8" t="s">
        <v>306</v>
      </c>
      <c r="J520" s="7" t="s">
        <v>133</v>
      </c>
      <c r="K520" s="7" t="s">
        <v>2690</v>
      </c>
      <c r="L520" s="7" t="n">
        <v>3</v>
      </c>
      <c r="M520" s="7" t="s">
        <v>304</v>
      </c>
      <c r="N520" s="7"/>
      <c r="O520" s="7" t="s">
        <v>1421</v>
      </c>
      <c r="P520" s="7" t="s">
        <v>1183</v>
      </c>
      <c r="Q520" s="7" t="s">
        <v>1152</v>
      </c>
      <c r="R520" s="8"/>
      <c r="S520" s="12"/>
      <c r="T520" s="12"/>
    </row>
    <row r="521" customFormat="false" ht="23.85" hidden="false" customHeight="false" outlineLevel="0" collapsed="false">
      <c r="A521" s="7" t="s">
        <v>2691</v>
      </c>
      <c r="B521" s="7" t="s">
        <v>291</v>
      </c>
      <c r="C521" s="7" t="s">
        <v>303</v>
      </c>
      <c r="D521" s="7" t="s">
        <v>2692</v>
      </c>
      <c r="E521" s="7" t="s">
        <v>1179</v>
      </c>
      <c r="F521" s="7" t="s">
        <v>943</v>
      </c>
      <c r="G521" s="7" t="s">
        <v>1424</v>
      </c>
      <c r="H521" s="8" t="s">
        <v>305</v>
      </c>
      <c r="I521" s="8" t="s">
        <v>306</v>
      </c>
      <c r="J521" s="7" t="s">
        <v>133</v>
      </c>
      <c r="K521" s="7" t="s">
        <v>2693</v>
      </c>
      <c r="L521" s="7" t="n">
        <v>3</v>
      </c>
      <c r="M521" s="7" t="s">
        <v>304</v>
      </c>
      <c r="N521" s="7"/>
      <c r="O521" s="7" t="s">
        <v>1421</v>
      </c>
      <c r="P521" s="7" t="s">
        <v>1183</v>
      </c>
      <c r="Q521" s="7" t="s">
        <v>1152</v>
      </c>
      <c r="R521" s="8"/>
      <c r="S521" s="12"/>
      <c r="T521" s="12"/>
    </row>
    <row r="522" customFormat="false" ht="23.85" hidden="false" customHeight="false" outlineLevel="0" collapsed="false">
      <c r="A522" s="7" t="s">
        <v>2694</v>
      </c>
      <c r="B522" s="7" t="s">
        <v>291</v>
      </c>
      <c r="C522" s="7" t="s">
        <v>303</v>
      </c>
      <c r="D522" s="7" t="s">
        <v>2695</v>
      </c>
      <c r="E522" s="7" t="s">
        <v>1179</v>
      </c>
      <c r="F522" s="7" t="s">
        <v>943</v>
      </c>
      <c r="G522" s="7" t="s">
        <v>1424</v>
      </c>
      <c r="H522" s="8" t="s">
        <v>305</v>
      </c>
      <c r="I522" s="8" t="s">
        <v>306</v>
      </c>
      <c r="J522" s="7" t="s">
        <v>133</v>
      </c>
      <c r="K522" s="7" t="s">
        <v>2696</v>
      </c>
      <c r="L522" s="7" t="n">
        <v>3</v>
      </c>
      <c r="M522" s="7" t="s">
        <v>304</v>
      </c>
      <c r="N522" s="7"/>
      <c r="O522" s="7" t="s">
        <v>1421</v>
      </c>
      <c r="P522" s="7" t="s">
        <v>1183</v>
      </c>
      <c r="Q522" s="7" t="s">
        <v>1152</v>
      </c>
      <c r="R522" s="8"/>
      <c r="S522" s="12"/>
      <c r="T522" s="12"/>
    </row>
    <row r="523" customFormat="false" ht="35.05" hidden="false" customHeight="false" outlineLevel="0" collapsed="false">
      <c r="A523" s="7" t="s">
        <v>2697</v>
      </c>
      <c r="B523" s="7" t="s">
        <v>291</v>
      </c>
      <c r="C523" s="7" t="s">
        <v>303</v>
      </c>
      <c r="D523" s="7" t="s">
        <v>2698</v>
      </c>
      <c r="E523" s="7" t="s">
        <v>1179</v>
      </c>
      <c r="F523" s="7" t="s">
        <v>943</v>
      </c>
      <c r="G523" s="7" t="s">
        <v>1424</v>
      </c>
      <c r="H523" s="8" t="s">
        <v>2699</v>
      </c>
      <c r="I523" s="8" t="s">
        <v>306</v>
      </c>
      <c r="J523" s="7" t="s">
        <v>133</v>
      </c>
      <c r="K523" s="7" t="s">
        <v>2700</v>
      </c>
      <c r="L523" s="7" t="n">
        <v>3</v>
      </c>
      <c r="M523" s="7" t="s">
        <v>304</v>
      </c>
      <c r="N523" s="7"/>
      <c r="O523" s="7" t="s">
        <v>1421</v>
      </c>
      <c r="P523" s="7" t="s">
        <v>1183</v>
      </c>
      <c r="Q523" s="7" t="s">
        <v>1152</v>
      </c>
      <c r="R523" s="8"/>
      <c r="S523" s="12"/>
      <c r="T523" s="12"/>
    </row>
    <row r="524" customFormat="false" ht="35.05" hidden="false" customHeight="false" outlineLevel="0" collapsed="false">
      <c r="A524" s="7" t="s">
        <v>2701</v>
      </c>
      <c r="B524" s="7" t="s">
        <v>291</v>
      </c>
      <c r="C524" s="7" t="s">
        <v>303</v>
      </c>
      <c r="D524" s="7" t="s">
        <v>2702</v>
      </c>
      <c r="E524" s="7" t="s">
        <v>1179</v>
      </c>
      <c r="F524" s="7" t="s">
        <v>943</v>
      </c>
      <c r="G524" s="7" t="s">
        <v>1424</v>
      </c>
      <c r="H524" s="8" t="s">
        <v>2699</v>
      </c>
      <c r="I524" s="8" t="s">
        <v>306</v>
      </c>
      <c r="J524" s="7" t="s">
        <v>133</v>
      </c>
      <c r="K524" s="7" t="s">
        <v>2703</v>
      </c>
      <c r="L524" s="7" t="n">
        <v>3</v>
      </c>
      <c r="M524" s="7" t="s">
        <v>304</v>
      </c>
      <c r="N524" s="7"/>
      <c r="O524" s="7" t="s">
        <v>1421</v>
      </c>
      <c r="P524" s="7" t="s">
        <v>1183</v>
      </c>
      <c r="Q524" s="7" t="s">
        <v>1152</v>
      </c>
      <c r="R524" s="8"/>
      <c r="S524" s="12"/>
      <c r="T524" s="12"/>
    </row>
    <row r="525" customFormat="false" ht="23.85" hidden="false" customHeight="false" outlineLevel="0" collapsed="false">
      <c r="A525" s="7" t="s">
        <v>2704</v>
      </c>
      <c r="B525" s="7" t="s">
        <v>291</v>
      </c>
      <c r="C525" s="7" t="s">
        <v>303</v>
      </c>
      <c r="D525" s="7" t="s">
        <v>2705</v>
      </c>
      <c r="E525" s="7" t="s">
        <v>1179</v>
      </c>
      <c r="F525" s="7" t="s">
        <v>943</v>
      </c>
      <c r="G525" s="7" t="s">
        <v>1424</v>
      </c>
      <c r="H525" s="8" t="s">
        <v>305</v>
      </c>
      <c r="I525" s="8" t="s">
        <v>306</v>
      </c>
      <c r="J525" s="7" t="s">
        <v>133</v>
      </c>
      <c r="K525" s="7" t="s">
        <v>2706</v>
      </c>
      <c r="L525" s="7" t="n">
        <v>3</v>
      </c>
      <c r="M525" s="7" t="s">
        <v>304</v>
      </c>
      <c r="N525" s="7"/>
      <c r="O525" s="7" t="s">
        <v>1421</v>
      </c>
      <c r="P525" s="7" t="s">
        <v>1183</v>
      </c>
      <c r="Q525" s="7" t="s">
        <v>1152</v>
      </c>
      <c r="R525" s="8"/>
      <c r="S525" s="12"/>
      <c r="T525" s="12"/>
    </row>
    <row r="526" customFormat="false" ht="23.85" hidden="false" customHeight="false" outlineLevel="0" collapsed="false">
      <c r="A526" s="7" t="s">
        <v>2707</v>
      </c>
      <c r="B526" s="7" t="s">
        <v>291</v>
      </c>
      <c r="C526" s="7" t="s">
        <v>303</v>
      </c>
      <c r="D526" s="7" t="s">
        <v>2708</v>
      </c>
      <c r="E526" s="7" t="s">
        <v>1179</v>
      </c>
      <c r="F526" s="7" t="s">
        <v>943</v>
      </c>
      <c r="G526" s="7" t="s">
        <v>1424</v>
      </c>
      <c r="H526" s="8" t="s">
        <v>305</v>
      </c>
      <c r="I526" s="8" t="s">
        <v>306</v>
      </c>
      <c r="J526" s="7" t="s">
        <v>133</v>
      </c>
      <c r="K526" s="7" t="s">
        <v>2709</v>
      </c>
      <c r="L526" s="7" t="n">
        <v>3</v>
      </c>
      <c r="M526" s="7" t="s">
        <v>304</v>
      </c>
      <c r="N526" s="7"/>
      <c r="O526" s="7" t="s">
        <v>1421</v>
      </c>
      <c r="P526" s="7" t="s">
        <v>1183</v>
      </c>
      <c r="Q526" s="7" t="s">
        <v>1152</v>
      </c>
      <c r="R526" s="8"/>
      <c r="S526" s="12"/>
      <c r="T526" s="12"/>
    </row>
    <row r="527" customFormat="false" ht="23.85" hidden="false" customHeight="false" outlineLevel="0" collapsed="false">
      <c r="A527" s="7" t="s">
        <v>2710</v>
      </c>
      <c r="B527" s="7" t="s">
        <v>291</v>
      </c>
      <c r="C527" s="7" t="s">
        <v>303</v>
      </c>
      <c r="D527" s="7" t="s">
        <v>2711</v>
      </c>
      <c r="E527" s="7" t="s">
        <v>1179</v>
      </c>
      <c r="F527" s="7" t="s">
        <v>943</v>
      </c>
      <c r="G527" s="7" t="s">
        <v>1424</v>
      </c>
      <c r="H527" s="8" t="s">
        <v>305</v>
      </c>
      <c r="I527" s="8" t="s">
        <v>306</v>
      </c>
      <c r="J527" s="7" t="s">
        <v>133</v>
      </c>
      <c r="K527" s="7" t="s">
        <v>2712</v>
      </c>
      <c r="L527" s="7" t="n">
        <v>3</v>
      </c>
      <c r="M527" s="7" t="s">
        <v>304</v>
      </c>
      <c r="N527" s="7"/>
      <c r="O527" s="7" t="s">
        <v>1421</v>
      </c>
      <c r="P527" s="7" t="s">
        <v>1183</v>
      </c>
      <c r="Q527" s="7" t="s">
        <v>1152</v>
      </c>
      <c r="R527" s="8"/>
      <c r="S527" s="12"/>
      <c r="T527" s="12"/>
    </row>
    <row r="528" customFormat="false" ht="23.85" hidden="false" customHeight="false" outlineLevel="0" collapsed="false">
      <c r="A528" s="7" t="s">
        <v>2713</v>
      </c>
      <c r="B528" s="7" t="s">
        <v>291</v>
      </c>
      <c r="C528" s="7" t="s">
        <v>303</v>
      </c>
      <c r="D528" s="7" t="s">
        <v>2714</v>
      </c>
      <c r="E528" s="7" t="s">
        <v>1179</v>
      </c>
      <c r="F528" s="7" t="s">
        <v>943</v>
      </c>
      <c r="G528" s="7" t="s">
        <v>1424</v>
      </c>
      <c r="H528" s="8" t="s">
        <v>305</v>
      </c>
      <c r="I528" s="8" t="s">
        <v>306</v>
      </c>
      <c r="J528" s="7" t="s">
        <v>133</v>
      </c>
      <c r="K528" s="7" t="s">
        <v>2715</v>
      </c>
      <c r="L528" s="7" t="n">
        <v>3</v>
      </c>
      <c r="M528" s="7" t="s">
        <v>304</v>
      </c>
      <c r="N528" s="7"/>
      <c r="O528" s="7" t="s">
        <v>1421</v>
      </c>
      <c r="P528" s="7" t="s">
        <v>1151</v>
      </c>
      <c r="Q528" s="13" t="s">
        <v>1790</v>
      </c>
      <c r="R528" s="8"/>
      <c r="S528" s="12"/>
      <c r="T528" s="12"/>
    </row>
    <row r="529" customFormat="false" ht="35.05" hidden="false" customHeight="false" outlineLevel="0" collapsed="false">
      <c r="A529" s="7" t="s">
        <v>2716</v>
      </c>
      <c r="B529" s="7" t="s">
        <v>309</v>
      </c>
      <c r="C529" s="7" t="s">
        <v>313</v>
      </c>
      <c r="D529" s="7" t="s">
        <v>313</v>
      </c>
      <c r="E529" s="7" t="s">
        <v>1137</v>
      </c>
      <c r="F529" s="7" t="s">
        <v>928</v>
      </c>
      <c r="G529" s="7" t="s">
        <v>1148</v>
      </c>
      <c r="H529" s="8" t="s">
        <v>2717</v>
      </c>
      <c r="I529" s="8" t="s">
        <v>316</v>
      </c>
      <c r="J529" s="7" t="s">
        <v>87</v>
      </c>
      <c r="K529" s="7" t="s">
        <v>314</v>
      </c>
      <c r="L529" s="7" t="n">
        <v>2</v>
      </c>
      <c r="M529" s="7" t="s">
        <v>310</v>
      </c>
      <c r="N529" s="7"/>
      <c r="O529" s="7" t="s">
        <v>1150</v>
      </c>
      <c r="P529" s="7" t="s">
        <v>1151</v>
      </c>
      <c r="Q529" s="7" t="s">
        <v>1152</v>
      </c>
      <c r="R529" s="8"/>
      <c r="S529" s="12"/>
      <c r="T529" s="12"/>
    </row>
    <row r="530" customFormat="false" ht="35.05" hidden="false" customHeight="false" outlineLevel="0" collapsed="false">
      <c r="A530" s="7" t="s">
        <v>2718</v>
      </c>
      <c r="B530" s="7" t="s">
        <v>309</v>
      </c>
      <c r="C530" s="7" t="s">
        <v>313</v>
      </c>
      <c r="D530" s="7" t="s">
        <v>2719</v>
      </c>
      <c r="E530" s="7" t="s">
        <v>1179</v>
      </c>
      <c r="F530" s="7" t="s">
        <v>928</v>
      </c>
      <c r="G530" s="7" t="s">
        <v>1148</v>
      </c>
      <c r="H530" s="8" t="s">
        <v>315</v>
      </c>
      <c r="I530" s="8" t="s">
        <v>316</v>
      </c>
      <c r="J530" s="7" t="s">
        <v>133</v>
      </c>
      <c r="K530" s="7" t="s">
        <v>2720</v>
      </c>
      <c r="L530" s="7" t="n">
        <v>3</v>
      </c>
      <c r="M530" s="7" t="s">
        <v>314</v>
      </c>
      <c r="N530" s="7"/>
      <c r="O530" s="7" t="s">
        <v>1150</v>
      </c>
      <c r="P530" s="7" t="s">
        <v>1151</v>
      </c>
      <c r="Q530" s="7" t="s">
        <v>1184</v>
      </c>
      <c r="R530" s="8"/>
      <c r="S530" s="12"/>
      <c r="T530" s="12"/>
    </row>
    <row r="531" customFormat="false" ht="35.05" hidden="false" customHeight="false" outlineLevel="0" collapsed="false">
      <c r="A531" s="7" t="s">
        <v>2721</v>
      </c>
      <c r="B531" s="7" t="s">
        <v>309</v>
      </c>
      <c r="C531" s="7" t="s">
        <v>313</v>
      </c>
      <c r="D531" s="7" t="s">
        <v>2722</v>
      </c>
      <c r="E531" s="7" t="s">
        <v>1179</v>
      </c>
      <c r="F531" s="7" t="s">
        <v>928</v>
      </c>
      <c r="G531" s="7" t="s">
        <v>1148</v>
      </c>
      <c r="H531" s="8" t="s">
        <v>315</v>
      </c>
      <c r="I531" s="8" t="s">
        <v>316</v>
      </c>
      <c r="J531" s="7" t="s">
        <v>133</v>
      </c>
      <c r="K531" s="7" t="s">
        <v>2723</v>
      </c>
      <c r="L531" s="7" t="n">
        <v>3</v>
      </c>
      <c r="M531" s="7" t="s">
        <v>314</v>
      </c>
      <c r="N531" s="7"/>
      <c r="O531" s="7" t="s">
        <v>1150</v>
      </c>
      <c r="P531" s="7" t="s">
        <v>1183</v>
      </c>
      <c r="Q531" s="7" t="s">
        <v>1184</v>
      </c>
      <c r="R531" s="8"/>
      <c r="S531" s="12"/>
      <c r="T531" s="12"/>
    </row>
    <row r="532" customFormat="false" ht="35.05" hidden="false" customHeight="false" outlineLevel="0" collapsed="false">
      <c r="A532" s="7" t="s">
        <v>2724</v>
      </c>
      <c r="B532" s="7" t="s">
        <v>309</v>
      </c>
      <c r="C532" s="7" t="s">
        <v>313</v>
      </c>
      <c r="D532" s="7" t="s">
        <v>2725</v>
      </c>
      <c r="E532" s="7" t="s">
        <v>1179</v>
      </c>
      <c r="F532" s="7" t="s">
        <v>928</v>
      </c>
      <c r="G532" s="7" t="s">
        <v>1148</v>
      </c>
      <c r="H532" s="8" t="s">
        <v>315</v>
      </c>
      <c r="I532" s="8" t="s">
        <v>316</v>
      </c>
      <c r="J532" s="7" t="s">
        <v>133</v>
      </c>
      <c r="K532" s="7" t="s">
        <v>2726</v>
      </c>
      <c r="L532" s="7" t="n">
        <v>3</v>
      </c>
      <c r="M532" s="7" t="s">
        <v>314</v>
      </c>
      <c r="N532" s="7"/>
      <c r="O532" s="7" t="s">
        <v>1150</v>
      </c>
      <c r="P532" s="7" t="s">
        <v>1183</v>
      </c>
      <c r="Q532" s="7" t="s">
        <v>1184</v>
      </c>
      <c r="R532" s="8"/>
      <c r="S532" s="12"/>
      <c r="T532" s="12"/>
    </row>
    <row r="533" customFormat="false" ht="35.05" hidden="false" customHeight="false" outlineLevel="0" collapsed="false">
      <c r="A533" s="7" t="s">
        <v>2727</v>
      </c>
      <c r="B533" s="7" t="s">
        <v>309</v>
      </c>
      <c r="C533" s="7" t="s">
        <v>313</v>
      </c>
      <c r="D533" s="7" t="s">
        <v>2728</v>
      </c>
      <c r="E533" s="7" t="s">
        <v>1179</v>
      </c>
      <c r="F533" s="7" t="s">
        <v>928</v>
      </c>
      <c r="G533" s="7" t="s">
        <v>1148</v>
      </c>
      <c r="H533" s="8" t="s">
        <v>2729</v>
      </c>
      <c r="I533" s="8" t="s">
        <v>316</v>
      </c>
      <c r="J533" s="7" t="s">
        <v>133</v>
      </c>
      <c r="K533" s="7" t="s">
        <v>2730</v>
      </c>
      <c r="L533" s="7" t="n">
        <v>3</v>
      </c>
      <c r="M533" s="7" t="s">
        <v>314</v>
      </c>
      <c r="N533" s="7"/>
      <c r="O533" s="7" t="s">
        <v>1150</v>
      </c>
      <c r="P533" s="7" t="s">
        <v>1151</v>
      </c>
      <c r="Q533" s="13" t="s">
        <v>1790</v>
      </c>
      <c r="R533" s="8"/>
      <c r="S533" s="12"/>
      <c r="T533" s="12"/>
    </row>
    <row r="534" customFormat="false" ht="35.05" hidden="false" customHeight="false" outlineLevel="0" collapsed="false">
      <c r="A534" s="7" t="s">
        <v>2731</v>
      </c>
      <c r="B534" s="7" t="s">
        <v>309</v>
      </c>
      <c r="C534" s="7" t="s">
        <v>313</v>
      </c>
      <c r="D534" s="7" t="s">
        <v>2732</v>
      </c>
      <c r="E534" s="7" t="s">
        <v>1179</v>
      </c>
      <c r="F534" s="7" t="s">
        <v>928</v>
      </c>
      <c r="G534" s="7" t="s">
        <v>1148</v>
      </c>
      <c r="H534" s="8" t="s">
        <v>315</v>
      </c>
      <c r="I534" s="8" t="s">
        <v>316</v>
      </c>
      <c r="J534" s="7" t="s">
        <v>133</v>
      </c>
      <c r="K534" s="7" t="s">
        <v>2733</v>
      </c>
      <c r="L534" s="7" t="n">
        <v>3</v>
      </c>
      <c r="M534" s="7" t="s">
        <v>314</v>
      </c>
      <c r="N534" s="7"/>
      <c r="O534" s="7" t="s">
        <v>1150</v>
      </c>
      <c r="P534" s="7" t="s">
        <v>1151</v>
      </c>
      <c r="Q534" s="13" t="s">
        <v>1790</v>
      </c>
      <c r="R534" s="8"/>
      <c r="S534" s="12"/>
      <c r="T534" s="12"/>
    </row>
    <row r="535" customFormat="false" ht="35.05" hidden="false" customHeight="false" outlineLevel="0" collapsed="false">
      <c r="A535" s="7" t="s">
        <v>2734</v>
      </c>
      <c r="B535" s="7" t="s">
        <v>309</v>
      </c>
      <c r="C535" s="7" t="s">
        <v>313</v>
      </c>
      <c r="D535" s="7" t="s">
        <v>2735</v>
      </c>
      <c r="E535" s="7" t="s">
        <v>1179</v>
      </c>
      <c r="F535" s="7" t="s">
        <v>928</v>
      </c>
      <c r="G535" s="7" t="s">
        <v>1148</v>
      </c>
      <c r="H535" s="8" t="s">
        <v>315</v>
      </c>
      <c r="I535" s="8" t="s">
        <v>316</v>
      </c>
      <c r="J535" s="7" t="s">
        <v>133</v>
      </c>
      <c r="K535" s="7" t="s">
        <v>2736</v>
      </c>
      <c r="L535" s="7" t="n">
        <v>3</v>
      </c>
      <c r="M535" s="7" t="s">
        <v>314</v>
      </c>
      <c r="N535" s="7"/>
      <c r="O535" s="7" t="s">
        <v>1150</v>
      </c>
      <c r="P535" s="7" t="s">
        <v>1151</v>
      </c>
      <c r="Q535" s="13" t="s">
        <v>1790</v>
      </c>
      <c r="R535" s="8"/>
      <c r="S535" s="12"/>
      <c r="T535" s="12"/>
    </row>
    <row r="536" customFormat="false" ht="35.05" hidden="false" customHeight="false" outlineLevel="0" collapsed="false">
      <c r="A536" s="7" t="s">
        <v>2737</v>
      </c>
      <c r="B536" s="7" t="s">
        <v>309</v>
      </c>
      <c r="C536" s="7" t="s">
        <v>313</v>
      </c>
      <c r="D536" s="7" t="s">
        <v>2738</v>
      </c>
      <c r="E536" s="7" t="s">
        <v>1179</v>
      </c>
      <c r="F536" s="7" t="s">
        <v>928</v>
      </c>
      <c r="G536" s="7" t="s">
        <v>1148</v>
      </c>
      <c r="H536" s="8" t="s">
        <v>315</v>
      </c>
      <c r="I536" s="8" t="s">
        <v>316</v>
      </c>
      <c r="J536" s="7" t="s">
        <v>949</v>
      </c>
      <c r="K536" s="7" t="s">
        <v>2739</v>
      </c>
      <c r="L536" s="7" t="s">
        <v>952</v>
      </c>
      <c r="M536" s="7" t="s">
        <v>2720</v>
      </c>
      <c r="N536" s="7" t="s">
        <v>2719</v>
      </c>
      <c r="O536" s="7" t="s">
        <v>1150</v>
      </c>
      <c r="P536" s="7" t="s">
        <v>1183</v>
      </c>
      <c r="Q536" s="7" t="s">
        <v>1184</v>
      </c>
      <c r="R536" s="8" t="s">
        <v>1185</v>
      </c>
      <c r="S536" s="12"/>
      <c r="T536" s="12"/>
    </row>
    <row r="537" customFormat="false" ht="35.05" hidden="false" customHeight="false" outlineLevel="0" collapsed="false">
      <c r="A537" s="7" t="s">
        <v>2740</v>
      </c>
      <c r="B537" s="7" t="s">
        <v>309</v>
      </c>
      <c r="C537" s="7" t="s">
        <v>313</v>
      </c>
      <c r="D537" s="7" t="s">
        <v>2741</v>
      </c>
      <c r="E537" s="7" t="s">
        <v>1179</v>
      </c>
      <c r="F537" s="7" t="s">
        <v>928</v>
      </c>
      <c r="G537" s="7" t="s">
        <v>1148</v>
      </c>
      <c r="H537" s="8" t="s">
        <v>315</v>
      </c>
      <c r="I537" s="8" t="s">
        <v>316</v>
      </c>
      <c r="J537" s="7" t="s">
        <v>133</v>
      </c>
      <c r="K537" s="7" t="s">
        <v>2742</v>
      </c>
      <c r="L537" s="7" t="n">
        <v>3</v>
      </c>
      <c r="M537" s="7" t="s">
        <v>314</v>
      </c>
      <c r="N537" s="7"/>
      <c r="O537" s="7" t="s">
        <v>1150</v>
      </c>
      <c r="P537" s="7" t="s">
        <v>1183</v>
      </c>
      <c r="Q537" s="7" t="s">
        <v>1152</v>
      </c>
      <c r="R537" s="8"/>
      <c r="S537" s="12"/>
      <c r="T537" s="12"/>
    </row>
    <row r="538" customFormat="false" ht="35.05" hidden="false" customHeight="false" outlineLevel="0" collapsed="false">
      <c r="A538" s="7" t="s">
        <v>2743</v>
      </c>
      <c r="B538" s="7" t="s">
        <v>309</v>
      </c>
      <c r="C538" s="7" t="s">
        <v>313</v>
      </c>
      <c r="D538" s="7" t="s">
        <v>2744</v>
      </c>
      <c r="E538" s="7" t="s">
        <v>1179</v>
      </c>
      <c r="F538" s="7" t="s">
        <v>928</v>
      </c>
      <c r="G538" s="7" t="s">
        <v>1148</v>
      </c>
      <c r="H538" s="8" t="s">
        <v>315</v>
      </c>
      <c r="I538" s="8" t="s">
        <v>316</v>
      </c>
      <c r="J538" s="7" t="s">
        <v>133</v>
      </c>
      <c r="K538" s="7" t="s">
        <v>2745</v>
      </c>
      <c r="L538" s="7" t="n">
        <v>3</v>
      </c>
      <c r="M538" s="7" t="s">
        <v>314</v>
      </c>
      <c r="N538" s="7"/>
      <c r="O538" s="7" t="s">
        <v>1150</v>
      </c>
      <c r="P538" s="7" t="s">
        <v>1151</v>
      </c>
      <c r="Q538" s="7" t="s">
        <v>1184</v>
      </c>
      <c r="R538" s="8"/>
      <c r="S538" s="12"/>
      <c r="T538" s="12"/>
    </row>
    <row r="539" customFormat="false" ht="35.05" hidden="false" customHeight="false" outlineLevel="0" collapsed="false">
      <c r="A539" s="7" t="s">
        <v>2746</v>
      </c>
      <c r="B539" s="7" t="s">
        <v>309</v>
      </c>
      <c r="C539" s="7" t="s">
        <v>313</v>
      </c>
      <c r="D539" s="7" t="s">
        <v>2747</v>
      </c>
      <c r="E539" s="7" t="s">
        <v>1179</v>
      </c>
      <c r="F539" s="7" t="s">
        <v>928</v>
      </c>
      <c r="G539" s="7" t="s">
        <v>1148</v>
      </c>
      <c r="H539" s="8" t="s">
        <v>315</v>
      </c>
      <c r="I539" s="8" t="s">
        <v>316</v>
      </c>
      <c r="J539" s="7" t="s">
        <v>949</v>
      </c>
      <c r="K539" s="7" t="s">
        <v>2748</v>
      </c>
      <c r="L539" s="7" t="s">
        <v>952</v>
      </c>
      <c r="M539" s="7" t="s">
        <v>2745</v>
      </c>
      <c r="N539" s="7" t="s">
        <v>2744</v>
      </c>
      <c r="O539" s="7" t="s">
        <v>1150</v>
      </c>
      <c r="P539" s="7" t="s">
        <v>1183</v>
      </c>
      <c r="Q539" s="7" t="s">
        <v>1152</v>
      </c>
      <c r="R539" s="8" t="s">
        <v>1185</v>
      </c>
      <c r="S539" s="12"/>
      <c r="T539" s="12"/>
    </row>
    <row r="540" customFormat="false" ht="35.05" hidden="false" customHeight="false" outlineLevel="0" collapsed="false">
      <c r="A540" s="7" t="s">
        <v>2749</v>
      </c>
      <c r="B540" s="7" t="s">
        <v>309</v>
      </c>
      <c r="C540" s="7" t="s">
        <v>313</v>
      </c>
      <c r="D540" s="7" t="s">
        <v>2750</v>
      </c>
      <c r="E540" s="7" t="s">
        <v>1179</v>
      </c>
      <c r="F540" s="7" t="s">
        <v>928</v>
      </c>
      <c r="G540" s="7" t="s">
        <v>1148</v>
      </c>
      <c r="H540" s="8" t="s">
        <v>315</v>
      </c>
      <c r="I540" s="8" t="s">
        <v>316</v>
      </c>
      <c r="J540" s="7" t="s">
        <v>949</v>
      </c>
      <c r="K540" s="7" t="s">
        <v>2751</v>
      </c>
      <c r="L540" s="7" t="s">
        <v>952</v>
      </c>
      <c r="M540" s="7" t="s">
        <v>2745</v>
      </c>
      <c r="N540" s="7" t="s">
        <v>2744</v>
      </c>
      <c r="O540" s="7" t="s">
        <v>1150</v>
      </c>
      <c r="P540" s="7" t="s">
        <v>1183</v>
      </c>
      <c r="Q540" s="7" t="s">
        <v>1152</v>
      </c>
      <c r="R540" s="8" t="s">
        <v>1185</v>
      </c>
      <c r="S540" s="12"/>
      <c r="T540" s="12"/>
    </row>
    <row r="541" customFormat="false" ht="35.05" hidden="false" customHeight="false" outlineLevel="0" collapsed="false">
      <c r="A541" s="7" t="s">
        <v>2752</v>
      </c>
      <c r="B541" s="7" t="s">
        <v>309</v>
      </c>
      <c r="C541" s="7" t="s">
        <v>317</v>
      </c>
      <c r="D541" s="7" t="s">
        <v>317</v>
      </c>
      <c r="E541" s="7" t="s">
        <v>1137</v>
      </c>
      <c r="F541" s="7" t="s">
        <v>928</v>
      </c>
      <c r="G541" s="7" t="s">
        <v>1148</v>
      </c>
      <c r="H541" s="8" t="s">
        <v>2753</v>
      </c>
      <c r="I541" s="8" t="s">
        <v>320</v>
      </c>
      <c r="J541" s="7" t="s">
        <v>87</v>
      </c>
      <c r="K541" s="7" t="s">
        <v>318</v>
      </c>
      <c r="L541" s="7" t="n">
        <v>2</v>
      </c>
      <c r="M541" s="7" t="s">
        <v>310</v>
      </c>
      <c r="N541" s="7"/>
      <c r="O541" s="7" t="s">
        <v>1150</v>
      </c>
      <c r="P541" s="7" t="s">
        <v>1151</v>
      </c>
      <c r="Q541" s="7" t="s">
        <v>1152</v>
      </c>
      <c r="R541" s="8"/>
      <c r="S541" s="12"/>
      <c r="T541" s="12"/>
    </row>
    <row r="542" customFormat="false" ht="35.05" hidden="false" customHeight="false" outlineLevel="0" collapsed="false">
      <c r="A542" s="7" t="s">
        <v>2754</v>
      </c>
      <c r="B542" s="7" t="s">
        <v>309</v>
      </c>
      <c r="C542" s="7" t="s">
        <v>317</v>
      </c>
      <c r="D542" s="7" t="s">
        <v>2755</v>
      </c>
      <c r="E542" s="7" t="s">
        <v>1179</v>
      </c>
      <c r="F542" s="7" t="s">
        <v>943</v>
      </c>
      <c r="G542" s="7" t="s">
        <v>1424</v>
      </c>
      <c r="H542" s="8" t="s">
        <v>319</v>
      </c>
      <c r="I542" s="8" t="s">
        <v>320</v>
      </c>
      <c r="J542" s="7" t="s">
        <v>133</v>
      </c>
      <c r="K542" s="7" t="s">
        <v>2756</v>
      </c>
      <c r="L542" s="7" t="n">
        <v>3</v>
      </c>
      <c r="M542" s="7" t="s">
        <v>318</v>
      </c>
      <c r="N542" s="7"/>
      <c r="O542" s="7" t="s">
        <v>1150</v>
      </c>
      <c r="P542" s="7" t="s">
        <v>1183</v>
      </c>
      <c r="Q542" s="7" t="s">
        <v>1184</v>
      </c>
      <c r="R542" s="8"/>
      <c r="S542" s="12"/>
      <c r="T542" s="12"/>
    </row>
    <row r="543" customFormat="false" ht="35.05" hidden="false" customHeight="false" outlineLevel="0" collapsed="false">
      <c r="A543" s="7" t="s">
        <v>2757</v>
      </c>
      <c r="B543" s="7" t="s">
        <v>309</v>
      </c>
      <c r="C543" s="7" t="s">
        <v>317</v>
      </c>
      <c r="D543" s="7" t="s">
        <v>2758</v>
      </c>
      <c r="E543" s="7" t="s">
        <v>1179</v>
      </c>
      <c r="F543" s="7" t="s">
        <v>943</v>
      </c>
      <c r="G543" s="7" t="s">
        <v>1424</v>
      </c>
      <c r="H543" s="8" t="s">
        <v>319</v>
      </c>
      <c r="I543" s="8" t="s">
        <v>320</v>
      </c>
      <c r="J543" s="7" t="s">
        <v>133</v>
      </c>
      <c r="K543" s="7" t="s">
        <v>2759</v>
      </c>
      <c r="L543" s="7" t="n">
        <v>3</v>
      </c>
      <c r="M543" s="7" t="s">
        <v>318</v>
      </c>
      <c r="N543" s="7"/>
      <c r="O543" s="7" t="s">
        <v>1150</v>
      </c>
      <c r="P543" s="7" t="s">
        <v>1183</v>
      </c>
      <c r="Q543" s="7" t="s">
        <v>1152</v>
      </c>
      <c r="R543" s="8"/>
      <c r="S543" s="12"/>
      <c r="T543" s="12"/>
    </row>
    <row r="544" customFormat="false" ht="35.05" hidden="false" customHeight="false" outlineLevel="0" collapsed="false">
      <c r="A544" s="7" t="s">
        <v>2760</v>
      </c>
      <c r="B544" s="7" t="s">
        <v>309</v>
      </c>
      <c r="C544" s="7" t="s">
        <v>317</v>
      </c>
      <c r="D544" s="7" t="s">
        <v>2761</v>
      </c>
      <c r="E544" s="7" t="s">
        <v>1179</v>
      </c>
      <c r="F544" s="7" t="s">
        <v>943</v>
      </c>
      <c r="G544" s="7" t="s">
        <v>1424</v>
      </c>
      <c r="H544" s="8" t="s">
        <v>319</v>
      </c>
      <c r="I544" s="8" t="s">
        <v>320</v>
      </c>
      <c r="J544" s="7" t="s">
        <v>133</v>
      </c>
      <c r="K544" s="7" t="s">
        <v>2762</v>
      </c>
      <c r="L544" s="7" t="n">
        <v>3</v>
      </c>
      <c r="M544" s="7" t="s">
        <v>318</v>
      </c>
      <c r="N544" s="7"/>
      <c r="O544" s="7" t="s">
        <v>1150</v>
      </c>
      <c r="P544" s="7" t="s">
        <v>1183</v>
      </c>
      <c r="Q544" s="7" t="s">
        <v>1152</v>
      </c>
      <c r="R544" s="8"/>
      <c r="S544" s="12"/>
      <c r="T544" s="12"/>
    </row>
    <row r="545" customFormat="false" ht="35.05" hidden="false" customHeight="false" outlineLevel="0" collapsed="false">
      <c r="A545" s="7" t="s">
        <v>2763</v>
      </c>
      <c r="B545" s="7" t="s">
        <v>309</v>
      </c>
      <c r="C545" s="7" t="s">
        <v>317</v>
      </c>
      <c r="D545" s="7" t="s">
        <v>2764</v>
      </c>
      <c r="E545" s="7" t="s">
        <v>1179</v>
      </c>
      <c r="F545" s="7" t="s">
        <v>943</v>
      </c>
      <c r="G545" s="7" t="s">
        <v>1424</v>
      </c>
      <c r="H545" s="8" t="s">
        <v>319</v>
      </c>
      <c r="I545" s="8" t="s">
        <v>320</v>
      </c>
      <c r="J545" s="7" t="s">
        <v>133</v>
      </c>
      <c r="K545" s="7" t="s">
        <v>2765</v>
      </c>
      <c r="L545" s="7" t="n">
        <v>3</v>
      </c>
      <c r="M545" s="7" t="s">
        <v>318</v>
      </c>
      <c r="N545" s="7"/>
      <c r="O545" s="7" t="s">
        <v>1150</v>
      </c>
      <c r="P545" s="7" t="s">
        <v>1183</v>
      </c>
      <c r="Q545" s="7" t="s">
        <v>1152</v>
      </c>
      <c r="R545" s="8"/>
      <c r="S545" s="12"/>
      <c r="T545" s="12"/>
    </row>
    <row r="546" customFormat="false" ht="35.05" hidden="false" customHeight="false" outlineLevel="0" collapsed="false">
      <c r="A546" s="7" t="s">
        <v>2766</v>
      </c>
      <c r="B546" s="7" t="s">
        <v>309</v>
      </c>
      <c r="C546" s="7" t="s">
        <v>317</v>
      </c>
      <c r="D546" s="7" t="s">
        <v>2767</v>
      </c>
      <c r="E546" s="7" t="s">
        <v>1179</v>
      </c>
      <c r="F546" s="7" t="s">
        <v>943</v>
      </c>
      <c r="G546" s="7" t="s">
        <v>1424</v>
      </c>
      <c r="H546" s="8" t="s">
        <v>319</v>
      </c>
      <c r="I546" s="8" t="s">
        <v>320</v>
      </c>
      <c r="J546" s="7" t="s">
        <v>133</v>
      </c>
      <c r="K546" s="7" t="s">
        <v>2768</v>
      </c>
      <c r="L546" s="7" t="n">
        <v>3</v>
      </c>
      <c r="M546" s="7" t="s">
        <v>318</v>
      </c>
      <c r="N546" s="7"/>
      <c r="O546" s="7" t="s">
        <v>1150</v>
      </c>
      <c r="P546" s="7" t="s">
        <v>1183</v>
      </c>
      <c r="Q546" s="7" t="s">
        <v>1152</v>
      </c>
      <c r="R546" s="8"/>
      <c r="S546" s="12"/>
      <c r="T546" s="12"/>
    </row>
    <row r="547" customFormat="false" ht="35.05" hidden="false" customHeight="false" outlineLevel="0" collapsed="false">
      <c r="A547" s="7" t="s">
        <v>2769</v>
      </c>
      <c r="B547" s="7" t="s">
        <v>309</v>
      </c>
      <c r="C547" s="7" t="s">
        <v>317</v>
      </c>
      <c r="D547" s="7" t="s">
        <v>2770</v>
      </c>
      <c r="E547" s="7" t="s">
        <v>1179</v>
      </c>
      <c r="F547" s="7" t="s">
        <v>943</v>
      </c>
      <c r="G547" s="7" t="s">
        <v>1424</v>
      </c>
      <c r="H547" s="8" t="s">
        <v>319</v>
      </c>
      <c r="I547" s="8" t="s">
        <v>320</v>
      </c>
      <c r="J547" s="7" t="s">
        <v>949</v>
      </c>
      <c r="K547" s="7" t="s">
        <v>2771</v>
      </c>
      <c r="L547" s="7" t="s">
        <v>952</v>
      </c>
      <c r="M547" s="7" t="s">
        <v>2768</v>
      </c>
      <c r="N547" s="7" t="s">
        <v>2767</v>
      </c>
      <c r="O547" s="7" t="s">
        <v>1150</v>
      </c>
      <c r="P547" s="7" t="s">
        <v>1183</v>
      </c>
      <c r="Q547" s="7" t="s">
        <v>1152</v>
      </c>
      <c r="R547" s="8" t="s">
        <v>1185</v>
      </c>
      <c r="S547" s="12"/>
      <c r="T547" s="12"/>
    </row>
    <row r="548" customFormat="false" ht="35.05" hidden="false" customHeight="false" outlineLevel="0" collapsed="false">
      <c r="A548" s="7" t="s">
        <v>2772</v>
      </c>
      <c r="B548" s="7" t="s">
        <v>309</v>
      </c>
      <c r="C548" s="7" t="s">
        <v>317</v>
      </c>
      <c r="D548" s="7" t="s">
        <v>2773</v>
      </c>
      <c r="E548" s="7" t="s">
        <v>1179</v>
      </c>
      <c r="F548" s="7" t="s">
        <v>943</v>
      </c>
      <c r="G548" s="7" t="s">
        <v>1424</v>
      </c>
      <c r="H548" s="8" t="s">
        <v>319</v>
      </c>
      <c r="I548" s="8" t="s">
        <v>320</v>
      </c>
      <c r="J548" s="7" t="s">
        <v>133</v>
      </c>
      <c r="K548" s="7" t="s">
        <v>2774</v>
      </c>
      <c r="L548" s="7" t="n">
        <v>3</v>
      </c>
      <c r="M548" s="7" t="s">
        <v>318</v>
      </c>
      <c r="N548" s="7"/>
      <c r="O548" s="7" t="s">
        <v>1150</v>
      </c>
      <c r="P548" s="7" t="s">
        <v>1183</v>
      </c>
      <c r="Q548" s="7" t="s">
        <v>1184</v>
      </c>
      <c r="R548" s="8"/>
      <c r="S548" s="12"/>
      <c r="T548" s="12"/>
    </row>
    <row r="549" customFormat="false" ht="35.05" hidden="false" customHeight="false" outlineLevel="0" collapsed="false">
      <c r="A549" s="7" t="s">
        <v>2775</v>
      </c>
      <c r="B549" s="7" t="s">
        <v>309</v>
      </c>
      <c r="C549" s="7" t="s">
        <v>317</v>
      </c>
      <c r="D549" s="7" t="s">
        <v>2776</v>
      </c>
      <c r="E549" s="7" t="s">
        <v>1179</v>
      </c>
      <c r="F549" s="7" t="s">
        <v>943</v>
      </c>
      <c r="G549" s="7" t="s">
        <v>1424</v>
      </c>
      <c r="H549" s="8" t="s">
        <v>319</v>
      </c>
      <c r="I549" s="8" t="s">
        <v>320</v>
      </c>
      <c r="J549" s="7" t="s">
        <v>133</v>
      </c>
      <c r="K549" s="7" t="s">
        <v>2777</v>
      </c>
      <c r="L549" s="7" t="n">
        <v>3</v>
      </c>
      <c r="M549" s="7" t="s">
        <v>318</v>
      </c>
      <c r="N549" s="7"/>
      <c r="O549" s="7" t="s">
        <v>1150</v>
      </c>
      <c r="P549" s="7" t="s">
        <v>1183</v>
      </c>
      <c r="Q549" s="7" t="s">
        <v>1152</v>
      </c>
      <c r="R549" s="8"/>
      <c r="S549" s="12"/>
      <c r="T549" s="12"/>
    </row>
    <row r="550" customFormat="false" ht="35.05" hidden="false" customHeight="false" outlineLevel="0" collapsed="false">
      <c r="A550" s="7" t="s">
        <v>2778</v>
      </c>
      <c r="B550" s="7" t="s">
        <v>309</v>
      </c>
      <c r="C550" s="7" t="s">
        <v>317</v>
      </c>
      <c r="D550" s="7" t="s">
        <v>2779</v>
      </c>
      <c r="E550" s="7" t="s">
        <v>1179</v>
      </c>
      <c r="F550" s="7" t="s">
        <v>943</v>
      </c>
      <c r="G550" s="7" t="s">
        <v>1424</v>
      </c>
      <c r="H550" s="8" t="s">
        <v>319</v>
      </c>
      <c r="I550" s="8" t="s">
        <v>320</v>
      </c>
      <c r="J550" s="7" t="s">
        <v>133</v>
      </c>
      <c r="K550" s="7" t="s">
        <v>2780</v>
      </c>
      <c r="L550" s="7" t="n">
        <v>3</v>
      </c>
      <c r="M550" s="7" t="s">
        <v>318</v>
      </c>
      <c r="N550" s="7"/>
      <c r="O550" s="7" t="s">
        <v>1150</v>
      </c>
      <c r="P550" s="7" t="s">
        <v>1183</v>
      </c>
      <c r="Q550" s="7" t="s">
        <v>1184</v>
      </c>
      <c r="R550" s="8"/>
      <c r="S550" s="12"/>
      <c r="T550" s="12"/>
    </row>
    <row r="551" customFormat="false" ht="35.05" hidden="false" customHeight="false" outlineLevel="0" collapsed="false">
      <c r="A551" s="7" t="s">
        <v>2781</v>
      </c>
      <c r="B551" s="7" t="s">
        <v>309</v>
      </c>
      <c r="C551" s="7" t="s">
        <v>317</v>
      </c>
      <c r="D551" s="7" t="s">
        <v>2782</v>
      </c>
      <c r="E551" s="7" t="s">
        <v>1179</v>
      </c>
      <c r="F551" s="7" t="s">
        <v>943</v>
      </c>
      <c r="G551" s="7" t="s">
        <v>1424</v>
      </c>
      <c r="H551" s="8" t="s">
        <v>319</v>
      </c>
      <c r="I551" s="8" t="s">
        <v>320</v>
      </c>
      <c r="J551" s="7" t="s">
        <v>133</v>
      </c>
      <c r="K551" s="7" t="s">
        <v>2783</v>
      </c>
      <c r="L551" s="7" t="n">
        <v>3</v>
      </c>
      <c r="M551" s="7" t="s">
        <v>318</v>
      </c>
      <c r="N551" s="7"/>
      <c r="O551" s="7" t="s">
        <v>1150</v>
      </c>
      <c r="P551" s="7" t="s">
        <v>1183</v>
      </c>
      <c r="Q551" s="7" t="s">
        <v>1184</v>
      </c>
      <c r="R551" s="8"/>
      <c r="S551" s="12"/>
      <c r="T551" s="12"/>
    </row>
    <row r="552" customFormat="false" ht="35.05" hidden="false" customHeight="false" outlineLevel="0" collapsed="false">
      <c r="A552" s="7" t="s">
        <v>2784</v>
      </c>
      <c r="B552" s="7" t="s">
        <v>309</v>
      </c>
      <c r="C552" s="7" t="s">
        <v>317</v>
      </c>
      <c r="D552" s="7" t="s">
        <v>2785</v>
      </c>
      <c r="E552" s="7" t="s">
        <v>1179</v>
      </c>
      <c r="F552" s="7" t="s">
        <v>943</v>
      </c>
      <c r="G552" s="7" t="s">
        <v>1424</v>
      </c>
      <c r="H552" s="8" t="s">
        <v>319</v>
      </c>
      <c r="I552" s="8" t="s">
        <v>320</v>
      </c>
      <c r="J552" s="7" t="s">
        <v>133</v>
      </c>
      <c r="K552" s="7" t="s">
        <v>2786</v>
      </c>
      <c r="L552" s="7" t="n">
        <v>3</v>
      </c>
      <c r="M552" s="7" t="s">
        <v>318</v>
      </c>
      <c r="N552" s="7"/>
      <c r="O552" s="7" t="s">
        <v>1150</v>
      </c>
      <c r="P552" s="7" t="s">
        <v>1183</v>
      </c>
      <c r="Q552" s="7" t="s">
        <v>1152</v>
      </c>
      <c r="R552" s="8"/>
      <c r="S552" s="12"/>
      <c r="T552" s="12"/>
    </row>
    <row r="553" customFormat="false" ht="35.05" hidden="false" customHeight="false" outlineLevel="0" collapsed="false">
      <c r="A553" s="7" t="s">
        <v>2787</v>
      </c>
      <c r="B553" s="7" t="s">
        <v>309</v>
      </c>
      <c r="C553" s="7" t="s">
        <v>317</v>
      </c>
      <c r="D553" s="7" t="s">
        <v>2788</v>
      </c>
      <c r="E553" s="7" t="s">
        <v>1179</v>
      </c>
      <c r="F553" s="7" t="s">
        <v>943</v>
      </c>
      <c r="G553" s="7" t="s">
        <v>1424</v>
      </c>
      <c r="H553" s="8" t="s">
        <v>319</v>
      </c>
      <c r="I553" s="8" t="s">
        <v>320</v>
      </c>
      <c r="J553" s="7" t="s">
        <v>133</v>
      </c>
      <c r="K553" s="7" t="s">
        <v>2789</v>
      </c>
      <c r="L553" s="7" t="n">
        <v>3</v>
      </c>
      <c r="M553" s="7" t="s">
        <v>318</v>
      </c>
      <c r="N553" s="7"/>
      <c r="O553" s="7" t="s">
        <v>1150</v>
      </c>
      <c r="P553" s="7" t="s">
        <v>1183</v>
      </c>
      <c r="Q553" s="7" t="s">
        <v>1152</v>
      </c>
      <c r="R553" s="8"/>
      <c r="S553" s="12"/>
      <c r="T553" s="12"/>
    </row>
    <row r="554" customFormat="false" ht="35.05" hidden="false" customHeight="false" outlineLevel="0" collapsed="false">
      <c r="A554" s="7" t="s">
        <v>2790</v>
      </c>
      <c r="B554" s="7" t="s">
        <v>309</v>
      </c>
      <c r="C554" s="7" t="s">
        <v>317</v>
      </c>
      <c r="D554" s="7" t="s">
        <v>2791</v>
      </c>
      <c r="E554" s="7" t="s">
        <v>1179</v>
      </c>
      <c r="F554" s="7" t="s">
        <v>943</v>
      </c>
      <c r="G554" s="7" t="s">
        <v>1424</v>
      </c>
      <c r="H554" s="8" t="s">
        <v>319</v>
      </c>
      <c r="I554" s="8" t="s">
        <v>320</v>
      </c>
      <c r="J554" s="7" t="s">
        <v>133</v>
      </c>
      <c r="K554" s="7" t="s">
        <v>2792</v>
      </c>
      <c r="L554" s="7" t="n">
        <v>3</v>
      </c>
      <c r="M554" s="7" t="s">
        <v>318</v>
      </c>
      <c r="N554" s="7"/>
      <c r="O554" s="7" t="s">
        <v>1150</v>
      </c>
      <c r="P554" s="7" t="s">
        <v>1183</v>
      </c>
      <c r="Q554" s="7" t="s">
        <v>1152</v>
      </c>
      <c r="R554" s="8"/>
      <c r="S554" s="12"/>
      <c r="T554" s="12"/>
    </row>
    <row r="555" customFormat="false" ht="35.05" hidden="false" customHeight="false" outlineLevel="0" collapsed="false">
      <c r="A555" s="7" t="s">
        <v>2793</v>
      </c>
      <c r="B555" s="7" t="s">
        <v>309</v>
      </c>
      <c r="C555" s="7" t="s">
        <v>321</v>
      </c>
      <c r="D555" s="7" t="s">
        <v>321</v>
      </c>
      <c r="E555" s="7" t="s">
        <v>1137</v>
      </c>
      <c r="F555" s="7" t="s">
        <v>928</v>
      </c>
      <c r="G555" s="7" t="s">
        <v>1148</v>
      </c>
      <c r="H555" s="8" t="s">
        <v>2794</v>
      </c>
      <c r="I555" s="8" t="s">
        <v>324</v>
      </c>
      <c r="J555" s="7" t="s">
        <v>87</v>
      </c>
      <c r="K555" s="7" t="s">
        <v>322</v>
      </c>
      <c r="L555" s="7" t="n">
        <v>2</v>
      </c>
      <c r="M555" s="7" t="s">
        <v>310</v>
      </c>
      <c r="N555" s="7"/>
      <c r="O555" s="7" t="s">
        <v>1150</v>
      </c>
      <c r="P555" s="7" t="s">
        <v>1183</v>
      </c>
      <c r="Q555" s="7" t="s">
        <v>1152</v>
      </c>
      <c r="R555" s="8"/>
      <c r="S555" s="12"/>
      <c r="T555" s="12"/>
    </row>
    <row r="556" customFormat="false" ht="23.85" hidden="false" customHeight="false" outlineLevel="0" collapsed="false">
      <c r="A556" s="7" t="s">
        <v>2795</v>
      </c>
      <c r="B556" s="7" t="s">
        <v>309</v>
      </c>
      <c r="C556" s="7" t="s">
        <v>321</v>
      </c>
      <c r="D556" s="7" t="s">
        <v>2796</v>
      </c>
      <c r="E556" s="7" t="s">
        <v>1179</v>
      </c>
      <c r="F556" s="7" t="s">
        <v>928</v>
      </c>
      <c r="G556" s="7" t="s">
        <v>1148</v>
      </c>
      <c r="H556" s="8" t="s">
        <v>323</v>
      </c>
      <c r="I556" s="8" t="s">
        <v>324</v>
      </c>
      <c r="J556" s="7" t="s">
        <v>133</v>
      </c>
      <c r="K556" s="7" t="s">
        <v>2797</v>
      </c>
      <c r="L556" s="7" t="n">
        <v>3</v>
      </c>
      <c r="M556" s="7" t="s">
        <v>322</v>
      </c>
      <c r="N556" s="7"/>
      <c r="O556" s="7" t="s">
        <v>1150</v>
      </c>
      <c r="P556" s="7" t="s">
        <v>1183</v>
      </c>
      <c r="Q556" s="7" t="s">
        <v>1152</v>
      </c>
      <c r="R556" s="8"/>
      <c r="S556" s="12"/>
      <c r="T556" s="12"/>
    </row>
    <row r="557" customFormat="false" ht="23.85" hidden="false" customHeight="false" outlineLevel="0" collapsed="false">
      <c r="A557" s="7" t="s">
        <v>2798</v>
      </c>
      <c r="B557" s="7" t="s">
        <v>309</v>
      </c>
      <c r="C557" s="7" t="s">
        <v>321</v>
      </c>
      <c r="D557" s="7" t="s">
        <v>2799</v>
      </c>
      <c r="E557" s="7" t="s">
        <v>1179</v>
      </c>
      <c r="F557" s="7" t="s">
        <v>928</v>
      </c>
      <c r="G557" s="7" t="s">
        <v>1148</v>
      </c>
      <c r="H557" s="8" t="s">
        <v>323</v>
      </c>
      <c r="I557" s="8" t="s">
        <v>324</v>
      </c>
      <c r="J557" s="7" t="s">
        <v>133</v>
      </c>
      <c r="K557" s="7" t="s">
        <v>2800</v>
      </c>
      <c r="L557" s="7" t="n">
        <v>3</v>
      </c>
      <c r="M557" s="7" t="s">
        <v>322</v>
      </c>
      <c r="N557" s="7"/>
      <c r="O557" s="7" t="s">
        <v>1150</v>
      </c>
      <c r="P557" s="7" t="s">
        <v>1183</v>
      </c>
      <c r="Q557" s="7" t="s">
        <v>1152</v>
      </c>
      <c r="R557" s="8"/>
      <c r="S557" s="12"/>
      <c r="T557" s="12"/>
    </row>
    <row r="558" customFormat="false" ht="23.85" hidden="false" customHeight="false" outlineLevel="0" collapsed="false">
      <c r="A558" s="7" t="s">
        <v>2801</v>
      </c>
      <c r="B558" s="7" t="s">
        <v>309</v>
      </c>
      <c r="C558" s="7" t="s">
        <v>321</v>
      </c>
      <c r="D558" s="7" t="s">
        <v>2802</v>
      </c>
      <c r="E558" s="7" t="s">
        <v>1179</v>
      </c>
      <c r="F558" s="7" t="s">
        <v>928</v>
      </c>
      <c r="G558" s="7" t="s">
        <v>1148</v>
      </c>
      <c r="H558" s="8" t="s">
        <v>323</v>
      </c>
      <c r="I558" s="8" t="s">
        <v>324</v>
      </c>
      <c r="J558" s="7" t="s">
        <v>133</v>
      </c>
      <c r="K558" s="7" t="s">
        <v>2803</v>
      </c>
      <c r="L558" s="7" t="n">
        <v>3</v>
      </c>
      <c r="M558" s="7" t="s">
        <v>322</v>
      </c>
      <c r="N558" s="7"/>
      <c r="O558" s="7" t="s">
        <v>1150</v>
      </c>
      <c r="P558" s="7" t="s">
        <v>1183</v>
      </c>
      <c r="Q558" s="7" t="s">
        <v>1152</v>
      </c>
      <c r="R558" s="8"/>
      <c r="S558" s="12"/>
      <c r="T558" s="12"/>
    </row>
    <row r="559" customFormat="false" ht="23.85" hidden="false" customHeight="false" outlineLevel="0" collapsed="false">
      <c r="A559" s="7" t="s">
        <v>2804</v>
      </c>
      <c r="B559" s="7" t="s">
        <v>309</v>
      </c>
      <c r="C559" s="7" t="s">
        <v>321</v>
      </c>
      <c r="D559" s="7" t="s">
        <v>2805</v>
      </c>
      <c r="E559" s="7" t="s">
        <v>1179</v>
      </c>
      <c r="F559" s="7" t="s">
        <v>928</v>
      </c>
      <c r="G559" s="7" t="s">
        <v>1148</v>
      </c>
      <c r="H559" s="8" t="s">
        <v>323</v>
      </c>
      <c r="I559" s="8" t="s">
        <v>324</v>
      </c>
      <c r="J559" s="7" t="s">
        <v>133</v>
      </c>
      <c r="K559" s="7" t="s">
        <v>2806</v>
      </c>
      <c r="L559" s="7" t="n">
        <v>3</v>
      </c>
      <c r="M559" s="7" t="s">
        <v>322</v>
      </c>
      <c r="N559" s="7"/>
      <c r="O559" s="7" t="s">
        <v>1150</v>
      </c>
      <c r="P559" s="7" t="s">
        <v>1183</v>
      </c>
      <c r="Q559" s="7" t="s">
        <v>1152</v>
      </c>
      <c r="R559" s="8"/>
      <c r="S559" s="12"/>
      <c r="T559" s="12"/>
    </row>
    <row r="560" customFormat="false" ht="23.85" hidden="false" customHeight="false" outlineLevel="0" collapsed="false">
      <c r="A560" s="7" t="s">
        <v>2807</v>
      </c>
      <c r="B560" s="7" t="s">
        <v>309</v>
      </c>
      <c r="C560" s="7" t="s">
        <v>321</v>
      </c>
      <c r="D560" s="7" t="s">
        <v>2808</v>
      </c>
      <c r="E560" s="7" t="s">
        <v>1179</v>
      </c>
      <c r="F560" s="7" t="s">
        <v>928</v>
      </c>
      <c r="G560" s="7" t="s">
        <v>1148</v>
      </c>
      <c r="H560" s="8" t="s">
        <v>323</v>
      </c>
      <c r="I560" s="8" t="s">
        <v>324</v>
      </c>
      <c r="J560" s="7" t="s">
        <v>133</v>
      </c>
      <c r="K560" s="7" t="s">
        <v>2809</v>
      </c>
      <c r="L560" s="7" t="n">
        <v>3</v>
      </c>
      <c r="M560" s="7" t="s">
        <v>322</v>
      </c>
      <c r="N560" s="7"/>
      <c r="O560" s="7" t="s">
        <v>1150</v>
      </c>
      <c r="P560" s="7" t="s">
        <v>1183</v>
      </c>
      <c r="Q560" s="7" t="s">
        <v>1152</v>
      </c>
      <c r="R560" s="8"/>
      <c r="S560" s="12"/>
      <c r="T560" s="12"/>
    </row>
    <row r="561" customFormat="false" ht="23.85" hidden="false" customHeight="false" outlineLevel="0" collapsed="false">
      <c r="A561" s="7" t="s">
        <v>2810</v>
      </c>
      <c r="B561" s="7" t="s">
        <v>309</v>
      </c>
      <c r="C561" s="7" t="s">
        <v>321</v>
      </c>
      <c r="D561" s="7" t="s">
        <v>2811</v>
      </c>
      <c r="E561" s="7" t="s">
        <v>1179</v>
      </c>
      <c r="F561" s="7" t="s">
        <v>928</v>
      </c>
      <c r="G561" s="7" t="s">
        <v>1148</v>
      </c>
      <c r="H561" s="8" t="s">
        <v>323</v>
      </c>
      <c r="I561" s="8" t="s">
        <v>324</v>
      </c>
      <c r="J561" s="7" t="s">
        <v>133</v>
      </c>
      <c r="K561" s="7" t="s">
        <v>2812</v>
      </c>
      <c r="L561" s="7" t="n">
        <v>3</v>
      </c>
      <c r="M561" s="7" t="s">
        <v>322</v>
      </c>
      <c r="N561" s="7"/>
      <c r="O561" s="7" t="s">
        <v>1150</v>
      </c>
      <c r="P561" s="7" t="s">
        <v>1183</v>
      </c>
      <c r="Q561" s="7" t="s">
        <v>1152</v>
      </c>
      <c r="R561" s="8"/>
      <c r="S561" s="12"/>
      <c r="T561" s="12"/>
    </row>
    <row r="562" customFormat="false" ht="23.85" hidden="false" customHeight="false" outlineLevel="0" collapsed="false">
      <c r="A562" s="7" t="s">
        <v>2813</v>
      </c>
      <c r="B562" s="7" t="s">
        <v>309</v>
      </c>
      <c r="C562" s="7" t="s">
        <v>321</v>
      </c>
      <c r="D562" s="7" t="s">
        <v>2814</v>
      </c>
      <c r="E562" s="7" t="s">
        <v>1179</v>
      </c>
      <c r="F562" s="7" t="s">
        <v>928</v>
      </c>
      <c r="G562" s="7" t="s">
        <v>1148</v>
      </c>
      <c r="H562" s="8" t="s">
        <v>323</v>
      </c>
      <c r="I562" s="8" t="s">
        <v>324</v>
      </c>
      <c r="J562" s="7" t="s">
        <v>133</v>
      </c>
      <c r="K562" s="7" t="s">
        <v>2815</v>
      </c>
      <c r="L562" s="7" t="n">
        <v>3</v>
      </c>
      <c r="M562" s="7" t="s">
        <v>322</v>
      </c>
      <c r="N562" s="7"/>
      <c r="O562" s="7" t="s">
        <v>1150</v>
      </c>
      <c r="P562" s="7" t="s">
        <v>1183</v>
      </c>
      <c r="Q562" s="7" t="s">
        <v>1152</v>
      </c>
      <c r="R562" s="8"/>
      <c r="S562" s="12"/>
      <c r="T562" s="12"/>
    </row>
    <row r="563" customFormat="false" ht="23.85" hidden="false" customHeight="false" outlineLevel="0" collapsed="false">
      <c r="A563" s="7" t="s">
        <v>2816</v>
      </c>
      <c r="B563" s="7" t="s">
        <v>309</v>
      </c>
      <c r="C563" s="7" t="s">
        <v>321</v>
      </c>
      <c r="D563" s="7" t="s">
        <v>2817</v>
      </c>
      <c r="E563" s="7" t="s">
        <v>1179</v>
      </c>
      <c r="F563" s="7" t="s">
        <v>928</v>
      </c>
      <c r="G563" s="7" t="s">
        <v>1148</v>
      </c>
      <c r="H563" s="8" t="s">
        <v>323</v>
      </c>
      <c r="I563" s="8" t="s">
        <v>324</v>
      </c>
      <c r="J563" s="7" t="s">
        <v>133</v>
      </c>
      <c r="K563" s="7" t="s">
        <v>2818</v>
      </c>
      <c r="L563" s="7" t="n">
        <v>3</v>
      </c>
      <c r="M563" s="7" t="s">
        <v>322</v>
      </c>
      <c r="N563" s="7"/>
      <c r="O563" s="7" t="s">
        <v>1150</v>
      </c>
      <c r="P563" s="7" t="s">
        <v>1183</v>
      </c>
      <c r="Q563" s="7" t="s">
        <v>1152</v>
      </c>
      <c r="R563" s="8"/>
      <c r="S563" s="12"/>
      <c r="T563" s="12"/>
    </row>
    <row r="564" customFormat="false" ht="23.85" hidden="false" customHeight="false" outlineLevel="0" collapsed="false">
      <c r="A564" s="7" t="s">
        <v>2819</v>
      </c>
      <c r="B564" s="7" t="s">
        <v>309</v>
      </c>
      <c r="C564" s="7" t="s">
        <v>321</v>
      </c>
      <c r="D564" s="7" t="s">
        <v>2820</v>
      </c>
      <c r="E564" s="7" t="s">
        <v>1179</v>
      </c>
      <c r="F564" s="7" t="s">
        <v>928</v>
      </c>
      <c r="G564" s="7" t="s">
        <v>1148</v>
      </c>
      <c r="H564" s="8" t="s">
        <v>323</v>
      </c>
      <c r="I564" s="8" t="s">
        <v>324</v>
      </c>
      <c r="J564" s="7" t="s">
        <v>133</v>
      </c>
      <c r="K564" s="7" t="s">
        <v>2821</v>
      </c>
      <c r="L564" s="7" t="n">
        <v>3</v>
      </c>
      <c r="M564" s="7" t="s">
        <v>322</v>
      </c>
      <c r="N564" s="7"/>
      <c r="O564" s="7" t="s">
        <v>1150</v>
      </c>
      <c r="P564" s="7" t="s">
        <v>1183</v>
      </c>
      <c r="Q564" s="7" t="s">
        <v>1152</v>
      </c>
      <c r="R564" s="8"/>
      <c r="S564" s="12"/>
      <c r="T564" s="12"/>
    </row>
    <row r="565" customFormat="false" ht="23.85" hidden="false" customHeight="false" outlineLevel="0" collapsed="false">
      <c r="A565" s="7" t="s">
        <v>2822</v>
      </c>
      <c r="B565" s="7" t="s">
        <v>309</v>
      </c>
      <c r="C565" s="7" t="s">
        <v>321</v>
      </c>
      <c r="D565" s="7" t="s">
        <v>2823</v>
      </c>
      <c r="E565" s="7" t="s">
        <v>1179</v>
      </c>
      <c r="F565" s="7" t="s">
        <v>928</v>
      </c>
      <c r="G565" s="7" t="s">
        <v>1148</v>
      </c>
      <c r="H565" s="8" t="s">
        <v>323</v>
      </c>
      <c r="I565" s="8" t="s">
        <v>324</v>
      </c>
      <c r="J565" s="7" t="s">
        <v>133</v>
      </c>
      <c r="K565" s="7" t="s">
        <v>2824</v>
      </c>
      <c r="L565" s="7" t="n">
        <v>3</v>
      </c>
      <c r="M565" s="7" t="s">
        <v>322</v>
      </c>
      <c r="N565" s="7"/>
      <c r="O565" s="7" t="s">
        <v>1150</v>
      </c>
      <c r="P565" s="7" t="s">
        <v>1183</v>
      </c>
      <c r="Q565" s="7" t="s">
        <v>1152</v>
      </c>
      <c r="R565" s="8"/>
      <c r="S565" s="12"/>
      <c r="T565" s="12"/>
    </row>
    <row r="566" customFormat="false" ht="23.85" hidden="false" customHeight="false" outlineLevel="0" collapsed="false">
      <c r="A566" s="7" t="s">
        <v>2825</v>
      </c>
      <c r="B566" s="7" t="s">
        <v>309</v>
      </c>
      <c r="C566" s="7" t="s">
        <v>321</v>
      </c>
      <c r="D566" s="7" t="s">
        <v>2826</v>
      </c>
      <c r="E566" s="7" t="s">
        <v>1179</v>
      </c>
      <c r="F566" s="7" t="s">
        <v>928</v>
      </c>
      <c r="G566" s="7" t="s">
        <v>1148</v>
      </c>
      <c r="H566" s="8" t="s">
        <v>323</v>
      </c>
      <c r="I566" s="8" t="s">
        <v>324</v>
      </c>
      <c r="J566" s="7" t="s">
        <v>133</v>
      </c>
      <c r="K566" s="7" t="s">
        <v>2827</v>
      </c>
      <c r="L566" s="7" t="n">
        <v>3</v>
      </c>
      <c r="M566" s="7" t="s">
        <v>322</v>
      </c>
      <c r="N566" s="7"/>
      <c r="O566" s="7" t="s">
        <v>1150</v>
      </c>
      <c r="P566" s="7" t="s">
        <v>1183</v>
      </c>
      <c r="Q566" s="7" t="s">
        <v>1152</v>
      </c>
      <c r="R566" s="8"/>
      <c r="S566" s="12"/>
      <c r="T566" s="12"/>
    </row>
    <row r="567" customFormat="false" ht="35.05" hidden="false" customHeight="false" outlineLevel="0" collapsed="false">
      <c r="A567" s="7" t="s">
        <v>2828</v>
      </c>
      <c r="B567" s="7" t="s">
        <v>309</v>
      </c>
      <c r="C567" s="7" t="s">
        <v>325</v>
      </c>
      <c r="D567" s="7" t="s">
        <v>325</v>
      </c>
      <c r="E567" s="7" t="s">
        <v>1137</v>
      </c>
      <c r="F567" s="7" t="s">
        <v>928</v>
      </c>
      <c r="G567" s="7" t="s">
        <v>1148</v>
      </c>
      <c r="H567" s="8" t="s">
        <v>2829</v>
      </c>
      <c r="I567" s="8" t="s">
        <v>328</v>
      </c>
      <c r="J567" s="7" t="s">
        <v>87</v>
      </c>
      <c r="K567" s="7" t="s">
        <v>326</v>
      </c>
      <c r="L567" s="7" t="n">
        <v>2</v>
      </c>
      <c r="M567" s="7" t="s">
        <v>310</v>
      </c>
      <c r="N567" s="7"/>
      <c r="O567" s="7" t="s">
        <v>1150</v>
      </c>
      <c r="P567" s="7" t="s">
        <v>1183</v>
      </c>
      <c r="Q567" s="7" t="s">
        <v>1152</v>
      </c>
      <c r="R567" s="8"/>
      <c r="S567" s="12"/>
      <c r="T567" s="12"/>
    </row>
    <row r="568" customFormat="false" ht="35.05" hidden="false" customHeight="false" outlineLevel="0" collapsed="false">
      <c r="A568" s="7" t="s">
        <v>2830</v>
      </c>
      <c r="B568" s="7" t="s">
        <v>309</v>
      </c>
      <c r="C568" s="7" t="s">
        <v>325</v>
      </c>
      <c r="D568" s="7" t="s">
        <v>2831</v>
      </c>
      <c r="E568" s="7" t="s">
        <v>1179</v>
      </c>
      <c r="F568" s="7" t="s">
        <v>943</v>
      </c>
      <c r="G568" s="7" t="s">
        <v>1424</v>
      </c>
      <c r="H568" s="8" t="s">
        <v>327</v>
      </c>
      <c r="I568" s="8" t="s">
        <v>328</v>
      </c>
      <c r="J568" s="7" t="s">
        <v>133</v>
      </c>
      <c r="K568" s="7" t="s">
        <v>2832</v>
      </c>
      <c r="L568" s="7" t="n">
        <v>3</v>
      </c>
      <c r="M568" s="7" t="s">
        <v>326</v>
      </c>
      <c r="N568" s="7"/>
      <c r="O568" s="7" t="s">
        <v>1150</v>
      </c>
      <c r="P568" s="7" t="s">
        <v>1183</v>
      </c>
      <c r="Q568" s="7" t="s">
        <v>1152</v>
      </c>
      <c r="R568" s="8"/>
      <c r="S568" s="12"/>
      <c r="T568" s="12"/>
    </row>
    <row r="569" customFormat="false" ht="35.05" hidden="false" customHeight="false" outlineLevel="0" collapsed="false">
      <c r="A569" s="7" t="s">
        <v>2833</v>
      </c>
      <c r="B569" s="7" t="s">
        <v>309</v>
      </c>
      <c r="C569" s="7" t="s">
        <v>325</v>
      </c>
      <c r="D569" s="7" t="s">
        <v>2834</v>
      </c>
      <c r="E569" s="7" t="s">
        <v>1179</v>
      </c>
      <c r="F569" s="7" t="s">
        <v>943</v>
      </c>
      <c r="G569" s="7" t="s">
        <v>1424</v>
      </c>
      <c r="H569" s="8" t="s">
        <v>327</v>
      </c>
      <c r="I569" s="8" t="s">
        <v>328</v>
      </c>
      <c r="J569" s="7" t="s">
        <v>133</v>
      </c>
      <c r="K569" s="7" t="s">
        <v>2835</v>
      </c>
      <c r="L569" s="7" t="n">
        <v>3</v>
      </c>
      <c r="M569" s="7" t="s">
        <v>326</v>
      </c>
      <c r="N569" s="7"/>
      <c r="O569" s="7" t="s">
        <v>1150</v>
      </c>
      <c r="P569" s="7" t="s">
        <v>1183</v>
      </c>
      <c r="Q569" s="7" t="s">
        <v>1152</v>
      </c>
      <c r="R569" s="8"/>
      <c r="S569" s="12"/>
      <c r="T569" s="12"/>
    </row>
    <row r="570" customFormat="false" ht="35.05" hidden="false" customHeight="false" outlineLevel="0" collapsed="false">
      <c r="A570" s="7" t="s">
        <v>2836</v>
      </c>
      <c r="B570" s="7" t="s">
        <v>309</v>
      </c>
      <c r="C570" s="7" t="s">
        <v>325</v>
      </c>
      <c r="D570" s="7" t="s">
        <v>2837</v>
      </c>
      <c r="E570" s="7" t="s">
        <v>1179</v>
      </c>
      <c r="F570" s="7" t="s">
        <v>943</v>
      </c>
      <c r="G570" s="7" t="s">
        <v>1424</v>
      </c>
      <c r="H570" s="8" t="s">
        <v>327</v>
      </c>
      <c r="I570" s="8" t="s">
        <v>328</v>
      </c>
      <c r="J570" s="7" t="s">
        <v>949</v>
      </c>
      <c r="K570" s="7" t="s">
        <v>2838</v>
      </c>
      <c r="L570" s="7" t="s">
        <v>952</v>
      </c>
      <c r="M570" s="7" t="s">
        <v>2832</v>
      </c>
      <c r="N570" s="7" t="s">
        <v>2831</v>
      </c>
      <c r="O570" s="7" t="s">
        <v>1150</v>
      </c>
      <c r="P570" s="7" t="s">
        <v>1183</v>
      </c>
      <c r="Q570" s="7" t="s">
        <v>1152</v>
      </c>
      <c r="R570" s="8" t="s">
        <v>1185</v>
      </c>
      <c r="S570" s="12"/>
      <c r="T570" s="12"/>
    </row>
    <row r="571" customFormat="false" ht="35.05" hidden="false" customHeight="false" outlineLevel="0" collapsed="false">
      <c r="A571" s="7" t="s">
        <v>2839</v>
      </c>
      <c r="B571" s="7" t="s">
        <v>309</v>
      </c>
      <c r="C571" s="7" t="s">
        <v>325</v>
      </c>
      <c r="D571" s="7" t="s">
        <v>2840</v>
      </c>
      <c r="E571" s="7" t="s">
        <v>1179</v>
      </c>
      <c r="F571" s="7" t="s">
        <v>943</v>
      </c>
      <c r="G571" s="7" t="s">
        <v>1424</v>
      </c>
      <c r="H571" s="8" t="s">
        <v>327</v>
      </c>
      <c r="I571" s="8" t="s">
        <v>328</v>
      </c>
      <c r="J571" s="7" t="s">
        <v>133</v>
      </c>
      <c r="K571" s="7" t="s">
        <v>2841</v>
      </c>
      <c r="L571" s="7" t="n">
        <v>3</v>
      </c>
      <c r="M571" s="7" t="s">
        <v>326</v>
      </c>
      <c r="N571" s="7"/>
      <c r="O571" s="7" t="s">
        <v>1150</v>
      </c>
      <c r="P571" s="7" t="s">
        <v>1183</v>
      </c>
      <c r="Q571" s="7" t="s">
        <v>1184</v>
      </c>
      <c r="R571" s="8"/>
      <c r="S571" s="12"/>
      <c r="T571" s="12"/>
    </row>
    <row r="572" customFormat="false" ht="35.05" hidden="false" customHeight="false" outlineLevel="0" collapsed="false">
      <c r="A572" s="7" t="s">
        <v>2842</v>
      </c>
      <c r="B572" s="7" t="s">
        <v>309</v>
      </c>
      <c r="C572" s="7" t="s">
        <v>329</v>
      </c>
      <c r="D572" s="7" t="s">
        <v>329</v>
      </c>
      <c r="E572" s="7" t="s">
        <v>1137</v>
      </c>
      <c r="F572" s="7" t="s">
        <v>928</v>
      </c>
      <c r="G572" s="7" t="s">
        <v>1148</v>
      </c>
      <c r="H572" s="8" t="s">
        <v>2843</v>
      </c>
      <c r="I572" s="8" t="s">
        <v>332</v>
      </c>
      <c r="J572" s="7" t="s">
        <v>87</v>
      </c>
      <c r="K572" s="7" t="s">
        <v>330</v>
      </c>
      <c r="L572" s="7" t="n">
        <v>2</v>
      </c>
      <c r="M572" s="7" t="s">
        <v>310</v>
      </c>
      <c r="N572" s="7"/>
      <c r="O572" s="7" t="s">
        <v>1150</v>
      </c>
      <c r="P572" s="7" t="s">
        <v>1151</v>
      </c>
      <c r="Q572" s="7" t="s">
        <v>1152</v>
      </c>
      <c r="R572" s="8"/>
      <c r="S572" s="12"/>
      <c r="T572" s="12"/>
    </row>
    <row r="573" customFormat="false" ht="23.85" hidden="false" customHeight="false" outlineLevel="0" collapsed="false">
      <c r="A573" s="7" t="s">
        <v>2844</v>
      </c>
      <c r="B573" s="7" t="s">
        <v>309</v>
      </c>
      <c r="C573" s="7" t="s">
        <v>329</v>
      </c>
      <c r="D573" s="7" t="s">
        <v>2845</v>
      </c>
      <c r="E573" s="7" t="s">
        <v>1179</v>
      </c>
      <c r="F573" s="7" t="s">
        <v>943</v>
      </c>
      <c r="G573" s="7" t="s">
        <v>1424</v>
      </c>
      <c r="H573" s="8" t="s">
        <v>331</v>
      </c>
      <c r="I573" s="8" t="s">
        <v>332</v>
      </c>
      <c r="J573" s="7" t="s">
        <v>133</v>
      </c>
      <c r="K573" s="7" t="s">
        <v>2846</v>
      </c>
      <c r="L573" s="7" t="n">
        <v>3</v>
      </c>
      <c r="M573" s="7" t="s">
        <v>330</v>
      </c>
      <c r="N573" s="7"/>
      <c r="O573" s="7" t="s">
        <v>1150</v>
      </c>
      <c r="P573" s="7" t="s">
        <v>1151</v>
      </c>
      <c r="Q573" s="13" t="s">
        <v>1790</v>
      </c>
      <c r="R573" s="8"/>
      <c r="S573" s="12"/>
      <c r="T573" s="12"/>
    </row>
    <row r="574" customFormat="false" ht="23.85" hidden="false" customHeight="false" outlineLevel="0" collapsed="false">
      <c r="A574" s="7" t="s">
        <v>2847</v>
      </c>
      <c r="B574" s="7" t="s">
        <v>309</v>
      </c>
      <c r="C574" s="7" t="s">
        <v>329</v>
      </c>
      <c r="D574" s="7" t="s">
        <v>2848</v>
      </c>
      <c r="E574" s="7" t="s">
        <v>1179</v>
      </c>
      <c r="F574" s="7" t="s">
        <v>943</v>
      </c>
      <c r="G574" s="7" t="s">
        <v>1424</v>
      </c>
      <c r="H574" s="8" t="s">
        <v>331</v>
      </c>
      <c r="I574" s="8" t="s">
        <v>332</v>
      </c>
      <c r="J574" s="7" t="s">
        <v>133</v>
      </c>
      <c r="K574" s="7" t="s">
        <v>2849</v>
      </c>
      <c r="L574" s="7" t="n">
        <v>3</v>
      </c>
      <c r="M574" s="7" t="s">
        <v>330</v>
      </c>
      <c r="N574" s="7"/>
      <c r="O574" s="7" t="s">
        <v>1150</v>
      </c>
      <c r="P574" s="7" t="s">
        <v>1183</v>
      </c>
      <c r="Q574" s="13" t="s">
        <v>1790</v>
      </c>
      <c r="R574" s="8"/>
      <c r="S574" s="12"/>
      <c r="T574" s="12"/>
    </row>
    <row r="575" customFormat="false" ht="23.85" hidden="false" customHeight="false" outlineLevel="0" collapsed="false">
      <c r="A575" s="7" t="s">
        <v>2850</v>
      </c>
      <c r="B575" s="7" t="s">
        <v>309</v>
      </c>
      <c r="C575" s="7" t="s">
        <v>329</v>
      </c>
      <c r="D575" s="7" t="s">
        <v>2851</v>
      </c>
      <c r="E575" s="7" t="s">
        <v>1179</v>
      </c>
      <c r="F575" s="7" t="s">
        <v>943</v>
      </c>
      <c r="G575" s="7" t="s">
        <v>1424</v>
      </c>
      <c r="H575" s="8" t="s">
        <v>331</v>
      </c>
      <c r="I575" s="8" t="s">
        <v>332</v>
      </c>
      <c r="J575" s="7" t="s">
        <v>133</v>
      </c>
      <c r="K575" s="7" t="s">
        <v>2852</v>
      </c>
      <c r="L575" s="7" t="n">
        <v>3</v>
      </c>
      <c r="M575" s="7" t="s">
        <v>330</v>
      </c>
      <c r="N575" s="7"/>
      <c r="O575" s="7" t="s">
        <v>1150</v>
      </c>
      <c r="P575" s="7" t="s">
        <v>1183</v>
      </c>
      <c r="Q575" s="7" t="s">
        <v>1152</v>
      </c>
      <c r="R575" s="8"/>
      <c r="S575" s="12"/>
      <c r="T575" s="12"/>
    </row>
    <row r="576" customFormat="false" ht="35.05" hidden="false" customHeight="false" outlineLevel="0" collapsed="false">
      <c r="A576" s="7" t="s">
        <v>2853</v>
      </c>
      <c r="B576" s="7" t="s">
        <v>309</v>
      </c>
      <c r="C576" s="7" t="s">
        <v>333</v>
      </c>
      <c r="D576" s="7" t="s">
        <v>333</v>
      </c>
      <c r="E576" s="7" t="s">
        <v>1137</v>
      </c>
      <c r="F576" s="7" t="s">
        <v>928</v>
      </c>
      <c r="G576" s="7" t="s">
        <v>1148</v>
      </c>
      <c r="H576" s="8" t="s">
        <v>2854</v>
      </c>
      <c r="I576" s="8" t="s">
        <v>336</v>
      </c>
      <c r="J576" s="7" t="s">
        <v>87</v>
      </c>
      <c r="K576" s="7" t="s">
        <v>334</v>
      </c>
      <c r="L576" s="7" t="n">
        <v>2</v>
      </c>
      <c r="M576" s="7" t="s">
        <v>310</v>
      </c>
      <c r="N576" s="7"/>
      <c r="O576" s="7" t="s">
        <v>1479</v>
      </c>
      <c r="P576" s="7" t="s">
        <v>1480</v>
      </c>
      <c r="Q576" s="7" t="s">
        <v>1152</v>
      </c>
      <c r="R576" s="8"/>
      <c r="S576" s="12"/>
      <c r="T576" s="12"/>
    </row>
    <row r="577" customFormat="false" ht="23.85" hidden="false" customHeight="false" outlineLevel="0" collapsed="false">
      <c r="A577" s="7" t="s">
        <v>2855</v>
      </c>
      <c r="B577" s="7" t="s">
        <v>309</v>
      </c>
      <c r="C577" s="7" t="s">
        <v>333</v>
      </c>
      <c r="D577" s="7" t="s">
        <v>2856</v>
      </c>
      <c r="E577" s="7" t="s">
        <v>1179</v>
      </c>
      <c r="F577" s="7" t="s">
        <v>943</v>
      </c>
      <c r="G577" s="7" t="s">
        <v>1424</v>
      </c>
      <c r="H577" s="8" t="s">
        <v>335</v>
      </c>
      <c r="I577" s="8" t="s">
        <v>336</v>
      </c>
      <c r="J577" s="7" t="s">
        <v>133</v>
      </c>
      <c r="K577" s="7" t="s">
        <v>2857</v>
      </c>
      <c r="L577" s="7" t="n">
        <v>3</v>
      </c>
      <c r="M577" s="7" t="s">
        <v>334</v>
      </c>
      <c r="N577" s="7"/>
      <c r="O577" s="7" t="s">
        <v>1479</v>
      </c>
      <c r="P577" s="7" t="s">
        <v>1480</v>
      </c>
      <c r="Q577" s="7" t="s">
        <v>1152</v>
      </c>
      <c r="R577" s="8"/>
      <c r="S577" s="12"/>
      <c r="T577" s="12"/>
    </row>
    <row r="578" customFormat="false" ht="23.85" hidden="false" customHeight="false" outlineLevel="0" collapsed="false">
      <c r="A578" s="7" t="s">
        <v>2858</v>
      </c>
      <c r="B578" s="7" t="s">
        <v>309</v>
      </c>
      <c r="C578" s="7" t="s">
        <v>333</v>
      </c>
      <c r="D578" s="7" t="s">
        <v>2859</v>
      </c>
      <c r="E578" s="7" t="s">
        <v>1179</v>
      </c>
      <c r="F578" s="7" t="s">
        <v>943</v>
      </c>
      <c r="G578" s="7" t="s">
        <v>1424</v>
      </c>
      <c r="H578" s="8" t="s">
        <v>335</v>
      </c>
      <c r="I578" s="8" t="s">
        <v>336</v>
      </c>
      <c r="J578" s="7" t="s">
        <v>133</v>
      </c>
      <c r="K578" s="7" t="s">
        <v>2860</v>
      </c>
      <c r="L578" s="7" t="n">
        <v>3</v>
      </c>
      <c r="M578" s="7" t="s">
        <v>334</v>
      </c>
      <c r="N578" s="7"/>
      <c r="O578" s="7" t="s">
        <v>1479</v>
      </c>
      <c r="P578" s="7" t="s">
        <v>1480</v>
      </c>
      <c r="Q578" s="7" t="s">
        <v>1152</v>
      </c>
      <c r="R578" s="8"/>
      <c r="S578" s="12"/>
      <c r="T578" s="12"/>
    </row>
    <row r="579" customFormat="false" ht="23.85" hidden="false" customHeight="false" outlineLevel="0" collapsed="false">
      <c r="A579" s="7" t="s">
        <v>2861</v>
      </c>
      <c r="B579" s="7" t="s">
        <v>309</v>
      </c>
      <c r="C579" s="7" t="s">
        <v>333</v>
      </c>
      <c r="D579" s="7" t="s">
        <v>2862</v>
      </c>
      <c r="E579" s="7" t="s">
        <v>1179</v>
      </c>
      <c r="F579" s="7" t="s">
        <v>943</v>
      </c>
      <c r="G579" s="7" t="s">
        <v>1424</v>
      </c>
      <c r="H579" s="8" t="s">
        <v>335</v>
      </c>
      <c r="I579" s="8" t="s">
        <v>336</v>
      </c>
      <c r="J579" s="7" t="s">
        <v>133</v>
      </c>
      <c r="K579" s="7" t="s">
        <v>2863</v>
      </c>
      <c r="L579" s="7" t="n">
        <v>3</v>
      </c>
      <c r="M579" s="7" t="s">
        <v>334</v>
      </c>
      <c r="N579" s="7"/>
      <c r="O579" s="7" t="s">
        <v>1479</v>
      </c>
      <c r="P579" s="7" t="s">
        <v>1480</v>
      </c>
      <c r="Q579" s="7" t="s">
        <v>1152</v>
      </c>
      <c r="R579" s="8"/>
      <c r="S579" s="12"/>
      <c r="T579" s="12"/>
    </row>
    <row r="580" customFormat="false" ht="23.85" hidden="false" customHeight="false" outlineLevel="0" collapsed="false">
      <c r="A580" s="7" t="s">
        <v>2864</v>
      </c>
      <c r="B580" s="7" t="s">
        <v>309</v>
      </c>
      <c r="C580" s="7" t="s">
        <v>333</v>
      </c>
      <c r="D580" s="7" t="s">
        <v>2865</v>
      </c>
      <c r="E580" s="7" t="s">
        <v>1179</v>
      </c>
      <c r="F580" s="7" t="s">
        <v>943</v>
      </c>
      <c r="G580" s="7" t="s">
        <v>1424</v>
      </c>
      <c r="H580" s="8" t="s">
        <v>335</v>
      </c>
      <c r="I580" s="8" t="s">
        <v>336</v>
      </c>
      <c r="J580" s="7" t="s">
        <v>133</v>
      </c>
      <c r="K580" s="7" t="s">
        <v>2866</v>
      </c>
      <c r="L580" s="7" t="n">
        <v>3</v>
      </c>
      <c r="M580" s="7" t="s">
        <v>334</v>
      </c>
      <c r="N580" s="7"/>
      <c r="O580" s="7" t="s">
        <v>1479</v>
      </c>
      <c r="P580" s="7" t="s">
        <v>1480</v>
      </c>
      <c r="Q580" s="7" t="s">
        <v>1152</v>
      </c>
      <c r="R580" s="8"/>
      <c r="S580" s="12"/>
      <c r="T580" s="12"/>
    </row>
    <row r="581" customFormat="false" ht="23.85" hidden="false" customHeight="false" outlineLevel="0" collapsed="false">
      <c r="A581" s="7" t="s">
        <v>2867</v>
      </c>
      <c r="B581" s="7" t="s">
        <v>309</v>
      </c>
      <c r="C581" s="7" t="s">
        <v>333</v>
      </c>
      <c r="D581" s="7" t="s">
        <v>2868</v>
      </c>
      <c r="E581" s="7" t="s">
        <v>1179</v>
      </c>
      <c r="F581" s="7" t="s">
        <v>943</v>
      </c>
      <c r="G581" s="7" t="s">
        <v>1424</v>
      </c>
      <c r="H581" s="8" t="s">
        <v>335</v>
      </c>
      <c r="I581" s="8" t="s">
        <v>336</v>
      </c>
      <c r="J581" s="7" t="s">
        <v>133</v>
      </c>
      <c r="K581" s="7" t="s">
        <v>2869</v>
      </c>
      <c r="L581" s="7" t="n">
        <v>3</v>
      </c>
      <c r="M581" s="7" t="s">
        <v>334</v>
      </c>
      <c r="N581" s="7"/>
      <c r="O581" s="7" t="s">
        <v>1479</v>
      </c>
      <c r="P581" s="7" t="s">
        <v>1480</v>
      </c>
      <c r="Q581" s="7" t="s">
        <v>1152</v>
      </c>
      <c r="R581" s="8"/>
      <c r="S581" s="12"/>
      <c r="T581" s="12"/>
    </row>
    <row r="582" customFormat="false" ht="35.05" hidden="false" customHeight="false" outlineLevel="0" collapsed="false">
      <c r="A582" s="7" t="s">
        <v>2870</v>
      </c>
      <c r="B582" s="7" t="s">
        <v>309</v>
      </c>
      <c r="C582" s="7" t="s">
        <v>337</v>
      </c>
      <c r="D582" s="7" t="s">
        <v>337</v>
      </c>
      <c r="E582" s="7" t="s">
        <v>1137</v>
      </c>
      <c r="F582" s="7" t="s">
        <v>928</v>
      </c>
      <c r="G582" s="7" t="s">
        <v>1148</v>
      </c>
      <c r="H582" s="8" t="s">
        <v>2871</v>
      </c>
      <c r="I582" s="8" t="s">
        <v>126</v>
      </c>
      <c r="J582" s="7" t="s">
        <v>87</v>
      </c>
      <c r="K582" s="7" t="s">
        <v>338</v>
      </c>
      <c r="L582" s="7" t="n">
        <v>2</v>
      </c>
      <c r="M582" s="7" t="s">
        <v>310</v>
      </c>
      <c r="N582" s="7"/>
      <c r="O582" s="7" t="s">
        <v>1150</v>
      </c>
      <c r="P582" s="7" t="s">
        <v>1183</v>
      </c>
      <c r="Q582" s="7" t="s">
        <v>1152</v>
      </c>
      <c r="R582" s="8"/>
      <c r="S582" s="12"/>
      <c r="T582" s="12"/>
    </row>
    <row r="583" customFormat="false" ht="23.85" hidden="false" customHeight="false" outlineLevel="0" collapsed="false">
      <c r="A583" s="7" t="s">
        <v>2872</v>
      </c>
      <c r="B583" s="7" t="s">
        <v>309</v>
      </c>
      <c r="C583" s="7" t="s">
        <v>337</v>
      </c>
      <c r="D583" s="7" t="s">
        <v>2873</v>
      </c>
      <c r="E583" s="7" t="s">
        <v>1179</v>
      </c>
      <c r="F583" s="7" t="s">
        <v>928</v>
      </c>
      <c r="G583" s="7" t="s">
        <v>1148</v>
      </c>
      <c r="H583" s="8" t="s">
        <v>339</v>
      </c>
      <c r="I583" s="8" t="s">
        <v>126</v>
      </c>
      <c r="J583" s="7" t="s">
        <v>133</v>
      </c>
      <c r="K583" s="7" t="s">
        <v>2874</v>
      </c>
      <c r="L583" s="7" t="n">
        <v>3</v>
      </c>
      <c r="M583" s="7" t="s">
        <v>338</v>
      </c>
      <c r="N583" s="7"/>
      <c r="O583" s="7" t="s">
        <v>1150</v>
      </c>
      <c r="P583" s="7" t="s">
        <v>1183</v>
      </c>
      <c r="Q583" s="7" t="s">
        <v>1152</v>
      </c>
      <c r="R583" s="8"/>
      <c r="S583" s="12"/>
      <c r="T583" s="12"/>
    </row>
    <row r="584" customFormat="false" ht="23.85" hidden="false" customHeight="false" outlineLevel="0" collapsed="false">
      <c r="A584" s="7" t="s">
        <v>2875</v>
      </c>
      <c r="B584" s="7" t="s">
        <v>309</v>
      </c>
      <c r="C584" s="7" t="s">
        <v>337</v>
      </c>
      <c r="D584" s="7" t="s">
        <v>2876</v>
      </c>
      <c r="E584" s="7" t="s">
        <v>1179</v>
      </c>
      <c r="F584" s="7" t="s">
        <v>928</v>
      </c>
      <c r="G584" s="7" t="s">
        <v>1148</v>
      </c>
      <c r="H584" s="8" t="s">
        <v>339</v>
      </c>
      <c r="I584" s="8" t="s">
        <v>126</v>
      </c>
      <c r="J584" s="7" t="s">
        <v>133</v>
      </c>
      <c r="K584" s="7" t="s">
        <v>2877</v>
      </c>
      <c r="L584" s="7" t="n">
        <v>3</v>
      </c>
      <c r="M584" s="7" t="s">
        <v>338</v>
      </c>
      <c r="N584" s="7"/>
      <c r="O584" s="7" t="s">
        <v>1150</v>
      </c>
      <c r="P584" s="7" t="s">
        <v>1183</v>
      </c>
      <c r="Q584" s="7" t="s">
        <v>1152</v>
      </c>
      <c r="R584" s="8"/>
      <c r="S584" s="12"/>
      <c r="T584" s="12"/>
    </row>
    <row r="585" customFormat="false" ht="23.85" hidden="false" customHeight="false" outlineLevel="0" collapsed="false">
      <c r="A585" s="7" t="s">
        <v>2878</v>
      </c>
      <c r="B585" s="7" t="s">
        <v>309</v>
      </c>
      <c r="C585" s="7" t="s">
        <v>337</v>
      </c>
      <c r="D585" s="7" t="s">
        <v>2879</v>
      </c>
      <c r="E585" s="7" t="s">
        <v>1179</v>
      </c>
      <c r="F585" s="7" t="s">
        <v>928</v>
      </c>
      <c r="G585" s="7" t="s">
        <v>1148</v>
      </c>
      <c r="H585" s="8" t="s">
        <v>339</v>
      </c>
      <c r="I585" s="8" t="s">
        <v>126</v>
      </c>
      <c r="J585" s="7" t="s">
        <v>133</v>
      </c>
      <c r="K585" s="7" t="s">
        <v>2880</v>
      </c>
      <c r="L585" s="7" t="n">
        <v>3</v>
      </c>
      <c r="M585" s="7" t="s">
        <v>338</v>
      </c>
      <c r="N585" s="7"/>
      <c r="O585" s="7" t="s">
        <v>1150</v>
      </c>
      <c r="P585" s="7" t="s">
        <v>1183</v>
      </c>
      <c r="Q585" s="7" t="s">
        <v>1152</v>
      </c>
      <c r="R585" s="8"/>
      <c r="S585" s="12"/>
      <c r="T585" s="12"/>
    </row>
    <row r="586" customFormat="false" ht="23.85" hidden="false" customHeight="false" outlineLevel="0" collapsed="false">
      <c r="A586" s="7" t="s">
        <v>2881</v>
      </c>
      <c r="B586" s="7" t="s">
        <v>309</v>
      </c>
      <c r="C586" s="7" t="s">
        <v>337</v>
      </c>
      <c r="D586" s="7" t="s">
        <v>2882</v>
      </c>
      <c r="E586" s="7" t="s">
        <v>1179</v>
      </c>
      <c r="F586" s="7" t="s">
        <v>928</v>
      </c>
      <c r="G586" s="7" t="s">
        <v>1148</v>
      </c>
      <c r="H586" s="8" t="s">
        <v>339</v>
      </c>
      <c r="I586" s="8" t="s">
        <v>126</v>
      </c>
      <c r="J586" s="7" t="s">
        <v>133</v>
      </c>
      <c r="K586" s="7" t="s">
        <v>2883</v>
      </c>
      <c r="L586" s="7" t="n">
        <v>3</v>
      </c>
      <c r="M586" s="7" t="s">
        <v>338</v>
      </c>
      <c r="N586" s="7"/>
      <c r="O586" s="7" t="s">
        <v>1150</v>
      </c>
      <c r="P586" s="7" t="s">
        <v>1183</v>
      </c>
      <c r="Q586" s="7" t="s">
        <v>1152</v>
      </c>
      <c r="R586" s="8"/>
      <c r="S586" s="12"/>
      <c r="T586" s="12"/>
    </row>
    <row r="587" customFormat="false" ht="23.85" hidden="false" customHeight="false" outlineLevel="0" collapsed="false">
      <c r="A587" s="7" t="s">
        <v>2884</v>
      </c>
      <c r="B587" s="7" t="s">
        <v>309</v>
      </c>
      <c r="C587" s="7" t="s">
        <v>337</v>
      </c>
      <c r="D587" s="7" t="s">
        <v>2885</v>
      </c>
      <c r="E587" s="7" t="s">
        <v>1179</v>
      </c>
      <c r="F587" s="7" t="s">
        <v>928</v>
      </c>
      <c r="G587" s="7" t="s">
        <v>1148</v>
      </c>
      <c r="H587" s="8" t="s">
        <v>339</v>
      </c>
      <c r="I587" s="8" t="s">
        <v>126</v>
      </c>
      <c r="J587" s="7" t="s">
        <v>133</v>
      </c>
      <c r="K587" s="7" t="s">
        <v>2886</v>
      </c>
      <c r="L587" s="7" t="n">
        <v>3</v>
      </c>
      <c r="M587" s="7" t="s">
        <v>338</v>
      </c>
      <c r="N587" s="7"/>
      <c r="O587" s="7" t="s">
        <v>1150</v>
      </c>
      <c r="P587" s="7" t="s">
        <v>1183</v>
      </c>
      <c r="Q587" s="7" t="s">
        <v>1152</v>
      </c>
      <c r="R587" s="8"/>
      <c r="S587" s="12"/>
      <c r="T587" s="12"/>
    </row>
    <row r="588" customFormat="false" ht="23.85" hidden="false" customHeight="false" outlineLevel="0" collapsed="false">
      <c r="A588" s="7" t="s">
        <v>2887</v>
      </c>
      <c r="B588" s="7" t="s">
        <v>309</v>
      </c>
      <c r="C588" s="7" t="s">
        <v>337</v>
      </c>
      <c r="D588" s="7" t="s">
        <v>2888</v>
      </c>
      <c r="E588" s="7" t="s">
        <v>1179</v>
      </c>
      <c r="F588" s="7" t="s">
        <v>928</v>
      </c>
      <c r="G588" s="7" t="s">
        <v>1148</v>
      </c>
      <c r="H588" s="8" t="s">
        <v>339</v>
      </c>
      <c r="I588" s="8" t="s">
        <v>126</v>
      </c>
      <c r="J588" s="7" t="s">
        <v>133</v>
      </c>
      <c r="K588" s="7" t="s">
        <v>2889</v>
      </c>
      <c r="L588" s="7" t="n">
        <v>3</v>
      </c>
      <c r="M588" s="7" t="s">
        <v>338</v>
      </c>
      <c r="N588" s="7"/>
      <c r="O588" s="7" t="s">
        <v>1150</v>
      </c>
      <c r="P588" s="7" t="s">
        <v>1183</v>
      </c>
      <c r="Q588" s="13" t="s">
        <v>1790</v>
      </c>
      <c r="R588" s="8"/>
      <c r="S588" s="12"/>
      <c r="T588" s="12"/>
    </row>
    <row r="589" customFormat="false" ht="23.85" hidden="false" customHeight="false" outlineLevel="0" collapsed="false">
      <c r="A589" s="7" t="s">
        <v>2890</v>
      </c>
      <c r="B589" s="7" t="s">
        <v>309</v>
      </c>
      <c r="C589" s="7" t="s">
        <v>337</v>
      </c>
      <c r="D589" s="7" t="s">
        <v>2891</v>
      </c>
      <c r="E589" s="7" t="s">
        <v>1179</v>
      </c>
      <c r="F589" s="7" t="s">
        <v>928</v>
      </c>
      <c r="G589" s="7" t="s">
        <v>1148</v>
      </c>
      <c r="H589" s="8" t="s">
        <v>339</v>
      </c>
      <c r="I589" s="8" t="s">
        <v>126</v>
      </c>
      <c r="J589" s="7" t="s">
        <v>133</v>
      </c>
      <c r="K589" s="7" t="s">
        <v>2892</v>
      </c>
      <c r="L589" s="7" t="n">
        <v>3</v>
      </c>
      <c r="M589" s="7" t="s">
        <v>338</v>
      </c>
      <c r="N589" s="7"/>
      <c r="O589" s="7" t="s">
        <v>1150</v>
      </c>
      <c r="P589" s="7" t="s">
        <v>1183</v>
      </c>
      <c r="Q589" s="7" t="s">
        <v>1152</v>
      </c>
      <c r="R589" s="8"/>
      <c r="S589" s="12"/>
      <c r="T589" s="12"/>
    </row>
    <row r="590" customFormat="false" ht="23.85" hidden="false" customHeight="false" outlineLevel="0" collapsed="false">
      <c r="A590" s="7" t="s">
        <v>2893</v>
      </c>
      <c r="B590" s="7" t="s">
        <v>309</v>
      </c>
      <c r="C590" s="7" t="s">
        <v>337</v>
      </c>
      <c r="D590" s="7" t="s">
        <v>2894</v>
      </c>
      <c r="E590" s="7" t="s">
        <v>1179</v>
      </c>
      <c r="F590" s="7" t="s">
        <v>928</v>
      </c>
      <c r="G590" s="7" t="s">
        <v>1148</v>
      </c>
      <c r="H590" s="8" t="s">
        <v>339</v>
      </c>
      <c r="I590" s="8" t="s">
        <v>126</v>
      </c>
      <c r="J590" s="7" t="s">
        <v>133</v>
      </c>
      <c r="K590" s="7" t="s">
        <v>2895</v>
      </c>
      <c r="L590" s="7" t="n">
        <v>3</v>
      </c>
      <c r="M590" s="7" t="s">
        <v>338</v>
      </c>
      <c r="N590" s="7"/>
      <c r="O590" s="7" t="s">
        <v>1150</v>
      </c>
      <c r="P590" s="7" t="s">
        <v>1183</v>
      </c>
      <c r="Q590" s="7" t="s">
        <v>1152</v>
      </c>
      <c r="R590" s="8"/>
      <c r="S590" s="12"/>
      <c r="T590" s="12"/>
    </row>
    <row r="591" customFormat="false" ht="23.85" hidden="false" customHeight="false" outlineLevel="0" collapsed="false">
      <c r="A591" s="7" t="s">
        <v>2896</v>
      </c>
      <c r="B591" s="7" t="s">
        <v>309</v>
      </c>
      <c r="C591" s="7" t="s">
        <v>337</v>
      </c>
      <c r="D591" s="7" t="s">
        <v>2897</v>
      </c>
      <c r="E591" s="7" t="s">
        <v>1179</v>
      </c>
      <c r="F591" s="7" t="s">
        <v>928</v>
      </c>
      <c r="G591" s="7" t="s">
        <v>1148</v>
      </c>
      <c r="H591" s="8" t="s">
        <v>339</v>
      </c>
      <c r="I591" s="8" t="s">
        <v>126</v>
      </c>
      <c r="J591" s="7" t="s">
        <v>133</v>
      </c>
      <c r="K591" s="7" t="s">
        <v>2898</v>
      </c>
      <c r="L591" s="7" t="n">
        <v>3</v>
      </c>
      <c r="M591" s="7" t="s">
        <v>338</v>
      </c>
      <c r="N591" s="7"/>
      <c r="O591" s="7" t="s">
        <v>1150</v>
      </c>
      <c r="P591" s="7" t="s">
        <v>1183</v>
      </c>
      <c r="Q591" s="7" t="s">
        <v>1152</v>
      </c>
      <c r="R591" s="8"/>
      <c r="S591" s="12"/>
      <c r="T591" s="12"/>
    </row>
    <row r="592" customFormat="false" ht="23.85" hidden="false" customHeight="false" outlineLevel="0" collapsed="false">
      <c r="A592" s="7" t="s">
        <v>2899</v>
      </c>
      <c r="B592" s="7" t="s">
        <v>309</v>
      </c>
      <c r="C592" s="7" t="s">
        <v>337</v>
      </c>
      <c r="D592" s="7" t="s">
        <v>2900</v>
      </c>
      <c r="E592" s="7" t="s">
        <v>1179</v>
      </c>
      <c r="F592" s="7" t="s">
        <v>928</v>
      </c>
      <c r="G592" s="7" t="s">
        <v>1148</v>
      </c>
      <c r="H592" s="8" t="s">
        <v>339</v>
      </c>
      <c r="I592" s="8" t="s">
        <v>126</v>
      </c>
      <c r="J592" s="7" t="s">
        <v>133</v>
      </c>
      <c r="K592" s="7" t="s">
        <v>2901</v>
      </c>
      <c r="L592" s="7" t="n">
        <v>3</v>
      </c>
      <c r="M592" s="7" t="s">
        <v>338</v>
      </c>
      <c r="N592" s="7"/>
      <c r="O592" s="7" t="s">
        <v>1150</v>
      </c>
      <c r="P592" s="7" t="s">
        <v>1183</v>
      </c>
      <c r="Q592" s="7" t="s">
        <v>1152</v>
      </c>
      <c r="R592" s="8"/>
      <c r="S592" s="12"/>
      <c r="T592" s="12"/>
    </row>
    <row r="593" customFormat="false" ht="35.05" hidden="false" customHeight="false" outlineLevel="0" collapsed="false">
      <c r="A593" s="7" t="s">
        <v>2902</v>
      </c>
      <c r="B593" s="7" t="s">
        <v>309</v>
      </c>
      <c r="C593" s="7" t="s">
        <v>340</v>
      </c>
      <c r="D593" s="7" t="s">
        <v>340</v>
      </c>
      <c r="E593" s="7" t="s">
        <v>1137</v>
      </c>
      <c r="F593" s="7" t="s">
        <v>928</v>
      </c>
      <c r="G593" s="7" t="s">
        <v>1148</v>
      </c>
      <c r="H593" s="8" t="s">
        <v>2903</v>
      </c>
      <c r="I593" s="8" t="s">
        <v>126</v>
      </c>
      <c r="J593" s="7" t="s">
        <v>87</v>
      </c>
      <c r="K593" s="7" t="s">
        <v>341</v>
      </c>
      <c r="L593" s="7" t="n">
        <v>2</v>
      </c>
      <c r="M593" s="7" t="s">
        <v>310</v>
      </c>
      <c r="N593" s="7"/>
      <c r="O593" s="7" t="s">
        <v>1421</v>
      </c>
      <c r="P593" s="7" t="s">
        <v>1480</v>
      </c>
      <c r="Q593" s="7" t="s">
        <v>1152</v>
      </c>
      <c r="R593" s="8"/>
      <c r="S593" s="12"/>
      <c r="T593" s="12"/>
    </row>
    <row r="594" customFormat="false" ht="23.85" hidden="false" customHeight="false" outlineLevel="0" collapsed="false">
      <c r="A594" s="7" t="s">
        <v>2904</v>
      </c>
      <c r="B594" s="7" t="s">
        <v>309</v>
      </c>
      <c r="C594" s="7" t="s">
        <v>340</v>
      </c>
      <c r="D594" s="7" t="s">
        <v>2905</v>
      </c>
      <c r="E594" s="7" t="s">
        <v>1179</v>
      </c>
      <c r="F594" s="7" t="s">
        <v>928</v>
      </c>
      <c r="G594" s="7" t="s">
        <v>1148</v>
      </c>
      <c r="H594" s="8" t="s">
        <v>342</v>
      </c>
      <c r="I594" s="8" t="s">
        <v>126</v>
      </c>
      <c r="J594" s="7" t="s">
        <v>133</v>
      </c>
      <c r="K594" s="7" t="s">
        <v>2906</v>
      </c>
      <c r="L594" s="7" t="n">
        <v>3</v>
      </c>
      <c r="M594" s="7" t="s">
        <v>341</v>
      </c>
      <c r="N594" s="7"/>
      <c r="O594" s="7" t="s">
        <v>1421</v>
      </c>
      <c r="P594" s="7" t="s">
        <v>1480</v>
      </c>
      <c r="Q594" s="7" t="s">
        <v>1152</v>
      </c>
      <c r="R594" s="8"/>
      <c r="S594" s="12"/>
      <c r="T594" s="12"/>
    </row>
    <row r="595" customFormat="false" ht="23.85" hidden="false" customHeight="false" outlineLevel="0" collapsed="false">
      <c r="A595" s="7" t="s">
        <v>2907</v>
      </c>
      <c r="B595" s="7" t="s">
        <v>309</v>
      </c>
      <c r="C595" s="7" t="s">
        <v>340</v>
      </c>
      <c r="D595" s="7" t="s">
        <v>2908</v>
      </c>
      <c r="E595" s="7" t="s">
        <v>1179</v>
      </c>
      <c r="F595" s="7" t="s">
        <v>928</v>
      </c>
      <c r="G595" s="7" t="s">
        <v>1148</v>
      </c>
      <c r="H595" s="8" t="s">
        <v>342</v>
      </c>
      <c r="I595" s="8" t="s">
        <v>126</v>
      </c>
      <c r="J595" s="7" t="s">
        <v>133</v>
      </c>
      <c r="K595" s="7" t="s">
        <v>2909</v>
      </c>
      <c r="L595" s="7" t="n">
        <v>3</v>
      </c>
      <c r="M595" s="7" t="s">
        <v>341</v>
      </c>
      <c r="N595" s="7"/>
      <c r="O595" s="7" t="s">
        <v>1421</v>
      </c>
      <c r="P595" s="7" t="s">
        <v>1480</v>
      </c>
      <c r="Q595" s="7" t="s">
        <v>1152</v>
      </c>
      <c r="R595" s="8"/>
      <c r="S595" s="12"/>
      <c r="T595" s="12"/>
    </row>
    <row r="596" customFormat="false" ht="23.85" hidden="false" customHeight="false" outlineLevel="0" collapsed="false">
      <c r="A596" s="7" t="s">
        <v>2910</v>
      </c>
      <c r="B596" s="7" t="s">
        <v>309</v>
      </c>
      <c r="C596" s="7" t="s">
        <v>340</v>
      </c>
      <c r="D596" s="7" t="s">
        <v>2911</v>
      </c>
      <c r="E596" s="7" t="s">
        <v>1179</v>
      </c>
      <c r="F596" s="7" t="s">
        <v>928</v>
      </c>
      <c r="G596" s="7" t="s">
        <v>1148</v>
      </c>
      <c r="H596" s="8" t="s">
        <v>342</v>
      </c>
      <c r="I596" s="8" t="s">
        <v>126</v>
      </c>
      <c r="J596" s="7" t="s">
        <v>133</v>
      </c>
      <c r="K596" s="7" t="s">
        <v>2912</v>
      </c>
      <c r="L596" s="7" t="n">
        <v>3</v>
      </c>
      <c r="M596" s="7" t="s">
        <v>341</v>
      </c>
      <c r="N596" s="7"/>
      <c r="O596" s="7" t="s">
        <v>1421</v>
      </c>
      <c r="P596" s="7" t="s">
        <v>1480</v>
      </c>
      <c r="Q596" s="7" t="s">
        <v>1152</v>
      </c>
      <c r="R596" s="8"/>
      <c r="S596" s="12"/>
      <c r="T596" s="12"/>
    </row>
    <row r="597" customFormat="false" ht="35.05" hidden="false" customHeight="false" outlineLevel="0" collapsed="false">
      <c r="A597" s="7" t="s">
        <v>2913</v>
      </c>
      <c r="B597" s="7" t="s">
        <v>345</v>
      </c>
      <c r="C597" s="7" t="s">
        <v>348</v>
      </c>
      <c r="D597" s="7" t="s">
        <v>348</v>
      </c>
      <c r="E597" s="7" t="s">
        <v>1137</v>
      </c>
      <c r="F597" s="7" t="s">
        <v>928</v>
      </c>
      <c r="G597" s="7" t="s">
        <v>1148</v>
      </c>
      <c r="H597" s="8" t="s">
        <v>2914</v>
      </c>
      <c r="I597" s="8" t="s">
        <v>164</v>
      </c>
      <c r="J597" s="7" t="s">
        <v>87</v>
      </c>
      <c r="K597" s="7" t="s">
        <v>349</v>
      </c>
      <c r="L597" s="7" t="n">
        <v>2</v>
      </c>
      <c r="M597" s="7" t="s">
        <v>346</v>
      </c>
      <c r="N597" s="7"/>
      <c r="O597" s="7" t="s">
        <v>1150</v>
      </c>
      <c r="P597" s="7" t="s">
        <v>1151</v>
      </c>
      <c r="Q597" s="7" t="s">
        <v>1152</v>
      </c>
      <c r="R597" s="8"/>
      <c r="S597" s="12"/>
      <c r="T597" s="12"/>
    </row>
    <row r="598" customFormat="false" ht="35.05" hidden="false" customHeight="false" outlineLevel="0" collapsed="false">
      <c r="A598" s="7" t="s">
        <v>2915</v>
      </c>
      <c r="B598" s="7" t="s">
        <v>345</v>
      </c>
      <c r="C598" s="7" t="s">
        <v>348</v>
      </c>
      <c r="D598" s="7" t="s">
        <v>2916</v>
      </c>
      <c r="E598" s="7" t="s">
        <v>1179</v>
      </c>
      <c r="F598" s="7" t="s">
        <v>928</v>
      </c>
      <c r="G598" s="7" t="s">
        <v>1148</v>
      </c>
      <c r="H598" s="8" t="s">
        <v>2917</v>
      </c>
      <c r="I598" s="8" t="s">
        <v>164</v>
      </c>
      <c r="J598" s="7" t="s">
        <v>133</v>
      </c>
      <c r="K598" s="7" t="s">
        <v>2918</v>
      </c>
      <c r="L598" s="7" t="n">
        <v>3</v>
      </c>
      <c r="M598" s="7" t="s">
        <v>349</v>
      </c>
      <c r="N598" s="7"/>
      <c r="O598" s="7" t="s">
        <v>1150</v>
      </c>
      <c r="P598" s="7" t="s">
        <v>1183</v>
      </c>
      <c r="Q598" s="7" t="s">
        <v>1152</v>
      </c>
      <c r="R598" s="8"/>
      <c r="S598" s="12"/>
      <c r="T598" s="12"/>
    </row>
    <row r="599" customFormat="false" ht="35.05" hidden="false" customHeight="false" outlineLevel="0" collapsed="false">
      <c r="A599" s="7" t="s">
        <v>2919</v>
      </c>
      <c r="B599" s="7" t="s">
        <v>345</v>
      </c>
      <c r="C599" s="7" t="s">
        <v>348</v>
      </c>
      <c r="D599" s="7" t="s">
        <v>2920</v>
      </c>
      <c r="E599" s="7" t="s">
        <v>1179</v>
      </c>
      <c r="F599" s="7" t="s">
        <v>928</v>
      </c>
      <c r="G599" s="7" t="s">
        <v>1148</v>
      </c>
      <c r="H599" s="8" t="s">
        <v>2917</v>
      </c>
      <c r="I599" s="8" t="s">
        <v>164</v>
      </c>
      <c r="J599" s="7" t="s">
        <v>133</v>
      </c>
      <c r="K599" s="7" t="s">
        <v>2921</v>
      </c>
      <c r="L599" s="7" t="n">
        <v>3</v>
      </c>
      <c r="M599" s="7" t="s">
        <v>349</v>
      </c>
      <c r="N599" s="7"/>
      <c r="O599" s="7" t="s">
        <v>1150</v>
      </c>
      <c r="P599" s="7" t="s">
        <v>1151</v>
      </c>
      <c r="Q599" s="7" t="s">
        <v>1152</v>
      </c>
      <c r="R599" s="8"/>
      <c r="S599" s="12"/>
      <c r="T599" s="12"/>
    </row>
    <row r="600" customFormat="false" ht="35.05" hidden="false" customHeight="false" outlineLevel="0" collapsed="false">
      <c r="A600" s="7" t="s">
        <v>2922</v>
      </c>
      <c r="B600" s="7" t="s">
        <v>345</v>
      </c>
      <c r="C600" s="7" t="s">
        <v>348</v>
      </c>
      <c r="D600" s="7" t="s">
        <v>2923</v>
      </c>
      <c r="E600" s="7" t="s">
        <v>1179</v>
      </c>
      <c r="F600" s="7" t="s">
        <v>928</v>
      </c>
      <c r="G600" s="7" t="s">
        <v>1148</v>
      </c>
      <c r="H600" s="8" t="s">
        <v>2917</v>
      </c>
      <c r="I600" s="8" t="s">
        <v>164</v>
      </c>
      <c r="J600" s="7" t="s">
        <v>949</v>
      </c>
      <c r="K600" s="7" t="s">
        <v>2924</v>
      </c>
      <c r="L600" s="7" t="s">
        <v>952</v>
      </c>
      <c r="M600" s="7" t="s">
        <v>2921</v>
      </c>
      <c r="N600" s="7" t="s">
        <v>2920</v>
      </c>
      <c r="O600" s="7" t="s">
        <v>1150</v>
      </c>
      <c r="P600" s="7" t="s">
        <v>1183</v>
      </c>
      <c r="Q600" s="7" t="s">
        <v>1152</v>
      </c>
      <c r="R600" s="8" t="s">
        <v>1185</v>
      </c>
      <c r="S600" s="12"/>
      <c r="T600" s="12"/>
    </row>
    <row r="601" customFormat="false" ht="23.85" hidden="false" customHeight="false" outlineLevel="0" collapsed="false">
      <c r="A601" s="7" t="s">
        <v>2925</v>
      </c>
      <c r="B601" s="7" t="s">
        <v>345</v>
      </c>
      <c r="C601" s="7" t="s">
        <v>348</v>
      </c>
      <c r="D601" s="7" t="s">
        <v>2926</v>
      </c>
      <c r="E601" s="7" t="s">
        <v>1179</v>
      </c>
      <c r="F601" s="7" t="s">
        <v>928</v>
      </c>
      <c r="G601" s="7" t="s">
        <v>1148</v>
      </c>
      <c r="H601" s="8" t="s">
        <v>350</v>
      </c>
      <c r="I601" s="8" t="s">
        <v>164</v>
      </c>
      <c r="J601" s="7" t="s">
        <v>133</v>
      </c>
      <c r="K601" s="7" t="s">
        <v>2927</v>
      </c>
      <c r="L601" s="7" t="n">
        <v>3</v>
      </c>
      <c r="M601" s="7" t="s">
        <v>349</v>
      </c>
      <c r="N601" s="7"/>
      <c r="O601" s="7" t="s">
        <v>1150</v>
      </c>
      <c r="P601" s="7" t="s">
        <v>1183</v>
      </c>
      <c r="Q601" s="7" t="s">
        <v>1152</v>
      </c>
      <c r="R601" s="8"/>
      <c r="S601" s="12"/>
      <c r="T601" s="12"/>
    </row>
    <row r="602" customFormat="false" ht="35.05" hidden="false" customHeight="false" outlineLevel="0" collapsed="false">
      <c r="A602" s="7" t="s">
        <v>2928</v>
      </c>
      <c r="B602" s="7" t="s">
        <v>345</v>
      </c>
      <c r="C602" s="7" t="s">
        <v>348</v>
      </c>
      <c r="D602" s="7" t="s">
        <v>2929</v>
      </c>
      <c r="E602" s="7" t="s">
        <v>1179</v>
      </c>
      <c r="F602" s="7" t="s">
        <v>928</v>
      </c>
      <c r="G602" s="7" t="s">
        <v>1148</v>
      </c>
      <c r="H602" s="8" t="s">
        <v>2917</v>
      </c>
      <c r="I602" s="8" t="s">
        <v>164</v>
      </c>
      <c r="J602" s="7" t="s">
        <v>133</v>
      </c>
      <c r="K602" s="7" t="s">
        <v>2930</v>
      </c>
      <c r="L602" s="7" t="n">
        <v>3</v>
      </c>
      <c r="M602" s="7" t="s">
        <v>349</v>
      </c>
      <c r="N602" s="7"/>
      <c r="O602" s="7" t="s">
        <v>1150</v>
      </c>
      <c r="P602" s="7" t="s">
        <v>1183</v>
      </c>
      <c r="Q602" s="7" t="s">
        <v>1152</v>
      </c>
      <c r="R602" s="8"/>
      <c r="S602" s="12"/>
      <c r="T602" s="12"/>
    </row>
    <row r="603" customFormat="false" ht="23.85" hidden="false" customHeight="false" outlineLevel="0" collapsed="false">
      <c r="A603" s="7" t="s">
        <v>2931</v>
      </c>
      <c r="B603" s="7" t="s">
        <v>345</v>
      </c>
      <c r="C603" s="7" t="s">
        <v>348</v>
      </c>
      <c r="D603" s="7" t="s">
        <v>2932</v>
      </c>
      <c r="E603" s="7" t="s">
        <v>1179</v>
      </c>
      <c r="F603" s="7" t="s">
        <v>928</v>
      </c>
      <c r="G603" s="7" t="s">
        <v>1148</v>
      </c>
      <c r="H603" s="8" t="s">
        <v>350</v>
      </c>
      <c r="I603" s="8" t="s">
        <v>164</v>
      </c>
      <c r="J603" s="7" t="s">
        <v>133</v>
      </c>
      <c r="K603" s="7" t="s">
        <v>2933</v>
      </c>
      <c r="L603" s="7" t="n">
        <v>3</v>
      </c>
      <c r="M603" s="7" t="s">
        <v>349</v>
      </c>
      <c r="N603" s="7"/>
      <c r="O603" s="7" t="s">
        <v>1150</v>
      </c>
      <c r="P603" s="7" t="s">
        <v>1151</v>
      </c>
      <c r="Q603" s="13" t="s">
        <v>1790</v>
      </c>
      <c r="R603" s="8"/>
      <c r="S603" s="12"/>
      <c r="T603" s="12"/>
    </row>
    <row r="604" customFormat="false" ht="23.85" hidden="false" customHeight="false" outlineLevel="0" collapsed="false">
      <c r="A604" s="7" t="s">
        <v>2934</v>
      </c>
      <c r="B604" s="7" t="s">
        <v>345</v>
      </c>
      <c r="C604" s="7" t="s">
        <v>348</v>
      </c>
      <c r="D604" s="7" t="s">
        <v>2935</v>
      </c>
      <c r="E604" s="7" t="s">
        <v>1179</v>
      </c>
      <c r="F604" s="7" t="s">
        <v>928</v>
      </c>
      <c r="G604" s="7" t="s">
        <v>1148</v>
      </c>
      <c r="H604" s="8" t="s">
        <v>350</v>
      </c>
      <c r="I604" s="8" t="s">
        <v>164</v>
      </c>
      <c r="J604" s="7" t="s">
        <v>133</v>
      </c>
      <c r="K604" s="7" t="s">
        <v>2936</v>
      </c>
      <c r="L604" s="7" t="n">
        <v>3</v>
      </c>
      <c r="M604" s="7" t="s">
        <v>349</v>
      </c>
      <c r="N604" s="7"/>
      <c r="O604" s="7" t="s">
        <v>1150</v>
      </c>
      <c r="P604" s="7" t="s">
        <v>1183</v>
      </c>
      <c r="Q604" s="13" t="s">
        <v>1790</v>
      </c>
      <c r="R604" s="8"/>
      <c r="S604" s="12"/>
      <c r="T604" s="12"/>
    </row>
    <row r="605" customFormat="false" ht="23.85" hidden="false" customHeight="false" outlineLevel="0" collapsed="false">
      <c r="A605" s="7" t="s">
        <v>2937</v>
      </c>
      <c r="B605" s="7" t="s">
        <v>345</v>
      </c>
      <c r="C605" s="7" t="s">
        <v>348</v>
      </c>
      <c r="D605" s="7" t="s">
        <v>2938</v>
      </c>
      <c r="E605" s="7" t="s">
        <v>1179</v>
      </c>
      <c r="F605" s="7" t="s">
        <v>928</v>
      </c>
      <c r="G605" s="7" t="s">
        <v>1148</v>
      </c>
      <c r="H605" s="8" t="s">
        <v>350</v>
      </c>
      <c r="I605" s="8" t="s">
        <v>164</v>
      </c>
      <c r="J605" s="7" t="s">
        <v>133</v>
      </c>
      <c r="K605" s="7" t="s">
        <v>2939</v>
      </c>
      <c r="L605" s="7" t="n">
        <v>3</v>
      </c>
      <c r="M605" s="7" t="s">
        <v>349</v>
      </c>
      <c r="N605" s="7"/>
      <c r="O605" s="7" t="s">
        <v>1150</v>
      </c>
      <c r="P605" s="7" t="s">
        <v>1183</v>
      </c>
      <c r="Q605" s="7" t="s">
        <v>1152</v>
      </c>
      <c r="R605" s="8"/>
      <c r="S605" s="12"/>
      <c r="T605" s="12"/>
    </row>
    <row r="606" customFormat="false" ht="35.05" hidden="false" customHeight="false" outlineLevel="0" collapsed="false">
      <c r="A606" s="7" t="s">
        <v>2940</v>
      </c>
      <c r="B606" s="7" t="s">
        <v>345</v>
      </c>
      <c r="C606" s="7" t="s">
        <v>351</v>
      </c>
      <c r="D606" s="7" t="s">
        <v>351</v>
      </c>
      <c r="E606" s="7" t="s">
        <v>1137</v>
      </c>
      <c r="F606" s="7" t="s">
        <v>928</v>
      </c>
      <c r="G606" s="7" t="s">
        <v>1148</v>
      </c>
      <c r="H606" s="8" t="s">
        <v>2941</v>
      </c>
      <c r="I606" s="8" t="s">
        <v>354</v>
      </c>
      <c r="J606" s="7" t="s">
        <v>87</v>
      </c>
      <c r="K606" s="7" t="s">
        <v>352</v>
      </c>
      <c r="L606" s="7" t="n">
        <v>2</v>
      </c>
      <c r="M606" s="7" t="s">
        <v>346</v>
      </c>
      <c r="N606" s="7"/>
      <c r="O606" s="7" t="s">
        <v>1150</v>
      </c>
      <c r="P606" s="7" t="s">
        <v>1151</v>
      </c>
      <c r="Q606" s="7" t="s">
        <v>1152</v>
      </c>
      <c r="R606" s="8"/>
      <c r="S606" s="12"/>
      <c r="T606" s="12"/>
    </row>
    <row r="607" customFormat="false" ht="35.05" hidden="false" customHeight="false" outlineLevel="0" collapsed="false">
      <c r="A607" s="7" t="s">
        <v>2942</v>
      </c>
      <c r="B607" s="7" t="s">
        <v>345</v>
      </c>
      <c r="C607" s="7" t="s">
        <v>351</v>
      </c>
      <c r="D607" s="7" t="s">
        <v>2943</v>
      </c>
      <c r="E607" s="7" t="s">
        <v>1179</v>
      </c>
      <c r="F607" s="7" t="s">
        <v>943</v>
      </c>
      <c r="G607" s="7" t="s">
        <v>1424</v>
      </c>
      <c r="H607" s="8" t="s">
        <v>2944</v>
      </c>
      <c r="I607" s="8" t="s">
        <v>354</v>
      </c>
      <c r="J607" s="7" t="s">
        <v>133</v>
      </c>
      <c r="K607" s="7" t="s">
        <v>2945</v>
      </c>
      <c r="L607" s="7" t="n">
        <v>3</v>
      </c>
      <c r="M607" s="7" t="s">
        <v>352</v>
      </c>
      <c r="N607" s="7"/>
      <c r="O607" s="7" t="s">
        <v>1150</v>
      </c>
      <c r="P607" s="7" t="s">
        <v>1151</v>
      </c>
      <c r="Q607" s="7" t="s">
        <v>1184</v>
      </c>
      <c r="R607" s="8"/>
      <c r="S607" s="12"/>
      <c r="T607" s="12"/>
    </row>
    <row r="608" customFormat="false" ht="23.85" hidden="false" customHeight="false" outlineLevel="0" collapsed="false">
      <c r="A608" s="7" t="s">
        <v>2946</v>
      </c>
      <c r="B608" s="7" t="s">
        <v>345</v>
      </c>
      <c r="C608" s="7" t="s">
        <v>351</v>
      </c>
      <c r="D608" s="7" t="s">
        <v>2947</v>
      </c>
      <c r="E608" s="7" t="s">
        <v>1179</v>
      </c>
      <c r="F608" s="7" t="s">
        <v>943</v>
      </c>
      <c r="G608" s="7" t="s">
        <v>1424</v>
      </c>
      <c r="H608" s="8" t="s">
        <v>353</v>
      </c>
      <c r="I608" s="8" t="s">
        <v>354</v>
      </c>
      <c r="J608" s="7" t="s">
        <v>133</v>
      </c>
      <c r="K608" s="7" t="s">
        <v>2948</v>
      </c>
      <c r="L608" s="7" t="n">
        <v>3</v>
      </c>
      <c r="M608" s="7" t="s">
        <v>352</v>
      </c>
      <c r="N608" s="7"/>
      <c r="O608" s="7" t="s">
        <v>1150</v>
      </c>
      <c r="P608" s="7" t="s">
        <v>1151</v>
      </c>
      <c r="Q608" s="7" t="s">
        <v>1152</v>
      </c>
      <c r="R608" s="8"/>
      <c r="S608" s="12"/>
      <c r="T608" s="12"/>
    </row>
    <row r="609" customFormat="false" ht="23.85" hidden="false" customHeight="false" outlineLevel="0" collapsed="false">
      <c r="A609" s="7" t="s">
        <v>2949</v>
      </c>
      <c r="B609" s="7" t="s">
        <v>345</v>
      </c>
      <c r="C609" s="7" t="s">
        <v>351</v>
      </c>
      <c r="D609" s="7" t="s">
        <v>2950</v>
      </c>
      <c r="E609" s="7" t="s">
        <v>1179</v>
      </c>
      <c r="F609" s="7" t="s">
        <v>943</v>
      </c>
      <c r="G609" s="7" t="s">
        <v>1424</v>
      </c>
      <c r="H609" s="8" t="s">
        <v>353</v>
      </c>
      <c r="I609" s="8" t="s">
        <v>354</v>
      </c>
      <c r="J609" s="7" t="s">
        <v>133</v>
      </c>
      <c r="K609" s="7" t="s">
        <v>2951</v>
      </c>
      <c r="L609" s="7" t="n">
        <v>3</v>
      </c>
      <c r="M609" s="7" t="s">
        <v>352</v>
      </c>
      <c r="N609" s="7"/>
      <c r="O609" s="7" t="s">
        <v>1150</v>
      </c>
      <c r="P609" s="7" t="s">
        <v>1183</v>
      </c>
      <c r="Q609" s="7" t="s">
        <v>1152</v>
      </c>
      <c r="R609" s="8"/>
      <c r="S609" s="12"/>
      <c r="T609" s="12"/>
    </row>
    <row r="610" customFormat="false" ht="23.85" hidden="false" customHeight="false" outlineLevel="0" collapsed="false">
      <c r="A610" s="7" t="s">
        <v>2952</v>
      </c>
      <c r="B610" s="7" t="s">
        <v>345</v>
      </c>
      <c r="C610" s="7" t="s">
        <v>351</v>
      </c>
      <c r="D610" s="7" t="s">
        <v>2953</v>
      </c>
      <c r="E610" s="7" t="s">
        <v>1179</v>
      </c>
      <c r="F610" s="7" t="s">
        <v>943</v>
      </c>
      <c r="G610" s="7" t="s">
        <v>1424</v>
      </c>
      <c r="H610" s="8" t="s">
        <v>353</v>
      </c>
      <c r="I610" s="8" t="s">
        <v>354</v>
      </c>
      <c r="J610" s="7" t="s">
        <v>133</v>
      </c>
      <c r="K610" s="7" t="s">
        <v>2954</v>
      </c>
      <c r="L610" s="7" t="n">
        <v>3</v>
      </c>
      <c r="M610" s="7" t="s">
        <v>352</v>
      </c>
      <c r="N610" s="7"/>
      <c r="O610" s="7" t="s">
        <v>1150</v>
      </c>
      <c r="P610" s="7" t="s">
        <v>1183</v>
      </c>
      <c r="Q610" s="7" t="s">
        <v>1152</v>
      </c>
      <c r="R610" s="8"/>
      <c r="S610" s="12"/>
      <c r="T610" s="12"/>
    </row>
    <row r="611" customFormat="false" ht="35.05" hidden="false" customHeight="false" outlineLevel="0" collapsed="false">
      <c r="A611" s="7" t="s">
        <v>2955</v>
      </c>
      <c r="B611" s="7" t="s">
        <v>345</v>
      </c>
      <c r="C611" s="7" t="s">
        <v>355</v>
      </c>
      <c r="D611" s="7" t="s">
        <v>355</v>
      </c>
      <c r="E611" s="7" t="s">
        <v>1137</v>
      </c>
      <c r="F611" s="7" t="s">
        <v>928</v>
      </c>
      <c r="G611" s="7" t="s">
        <v>1148</v>
      </c>
      <c r="H611" s="8" t="s">
        <v>2956</v>
      </c>
      <c r="I611" s="8" t="s">
        <v>164</v>
      </c>
      <c r="J611" s="7" t="s">
        <v>87</v>
      </c>
      <c r="K611" s="7" t="s">
        <v>356</v>
      </c>
      <c r="L611" s="7" t="n">
        <v>2</v>
      </c>
      <c r="M611" s="7" t="s">
        <v>346</v>
      </c>
      <c r="N611" s="7"/>
      <c r="O611" s="7" t="s">
        <v>1150</v>
      </c>
      <c r="P611" s="7" t="s">
        <v>1151</v>
      </c>
      <c r="Q611" s="7" t="s">
        <v>1152</v>
      </c>
      <c r="R611" s="8"/>
      <c r="S611" s="12"/>
      <c r="T611" s="12"/>
    </row>
    <row r="612" customFormat="false" ht="23.85" hidden="false" customHeight="false" outlineLevel="0" collapsed="false">
      <c r="A612" s="7" t="s">
        <v>2957</v>
      </c>
      <c r="B612" s="7" t="s">
        <v>345</v>
      </c>
      <c r="C612" s="7" t="s">
        <v>355</v>
      </c>
      <c r="D612" s="7" t="s">
        <v>2958</v>
      </c>
      <c r="E612" s="7" t="s">
        <v>1179</v>
      </c>
      <c r="F612" s="7" t="s">
        <v>943</v>
      </c>
      <c r="G612" s="7" t="s">
        <v>1424</v>
      </c>
      <c r="H612" s="8" t="s">
        <v>357</v>
      </c>
      <c r="I612" s="8" t="s">
        <v>164</v>
      </c>
      <c r="J612" s="7" t="s">
        <v>133</v>
      </c>
      <c r="K612" s="7" t="s">
        <v>2959</v>
      </c>
      <c r="L612" s="7" t="n">
        <v>3</v>
      </c>
      <c r="M612" s="7" t="s">
        <v>356</v>
      </c>
      <c r="N612" s="7"/>
      <c r="O612" s="7" t="s">
        <v>1150</v>
      </c>
      <c r="P612" s="7" t="s">
        <v>1151</v>
      </c>
      <c r="Q612" s="13" t="s">
        <v>1790</v>
      </c>
      <c r="R612" s="8"/>
      <c r="S612" s="12"/>
      <c r="T612" s="12"/>
    </row>
    <row r="613" customFormat="false" ht="35.05" hidden="false" customHeight="false" outlineLevel="0" collapsed="false">
      <c r="A613" s="7" t="s">
        <v>2960</v>
      </c>
      <c r="B613" s="7" t="s">
        <v>345</v>
      </c>
      <c r="C613" s="7" t="s">
        <v>355</v>
      </c>
      <c r="D613" s="7" t="s">
        <v>2961</v>
      </c>
      <c r="E613" s="7" t="s">
        <v>1179</v>
      </c>
      <c r="F613" s="7" t="s">
        <v>943</v>
      </c>
      <c r="G613" s="7" t="s">
        <v>1424</v>
      </c>
      <c r="H613" s="8" t="s">
        <v>2962</v>
      </c>
      <c r="I613" s="8" t="s">
        <v>164</v>
      </c>
      <c r="J613" s="7" t="s">
        <v>133</v>
      </c>
      <c r="K613" s="7" t="s">
        <v>2963</v>
      </c>
      <c r="L613" s="7" t="n">
        <v>3</v>
      </c>
      <c r="M613" s="7" t="s">
        <v>356</v>
      </c>
      <c r="N613" s="7"/>
      <c r="O613" s="7" t="s">
        <v>1150</v>
      </c>
      <c r="P613" s="7" t="s">
        <v>1183</v>
      </c>
      <c r="Q613" s="13" t="s">
        <v>1790</v>
      </c>
      <c r="R613" s="8"/>
      <c r="S613" s="12"/>
      <c r="T613" s="12"/>
    </row>
    <row r="614" customFormat="false" ht="35.05" hidden="false" customHeight="false" outlineLevel="0" collapsed="false">
      <c r="A614" s="7" t="s">
        <v>2964</v>
      </c>
      <c r="B614" s="7" t="s">
        <v>345</v>
      </c>
      <c r="C614" s="7" t="s">
        <v>358</v>
      </c>
      <c r="D614" s="7" t="s">
        <v>358</v>
      </c>
      <c r="E614" s="7" t="s">
        <v>1137</v>
      </c>
      <c r="F614" s="7" t="s">
        <v>928</v>
      </c>
      <c r="G614" s="7" t="s">
        <v>1148</v>
      </c>
      <c r="H614" s="8" t="s">
        <v>2965</v>
      </c>
      <c r="I614" s="8" t="s">
        <v>164</v>
      </c>
      <c r="J614" s="7" t="s">
        <v>87</v>
      </c>
      <c r="K614" s="7" t="s">
        <v>359</v>
      </c>
      <c r="L614" s="7" t="n">
        <v>2</v>
      </c>
      <c r="M614" s="7" t="s">
        <v>346</v>
      </c>
      <c r="N614" s="7"/>
      <c r="O614" s="7" t="s">
        <v>1150</v>
      </c>
      <c r="P614" s="7" t="s">
        <v>1151</v>
      </c>
      <c r="Q614" s="7" t="s">
        <v>1152</v>
      </c>
      <c r="R614" s="8"/>
      <c r="S614" s="12"/>
      <c r="T614" s="12"/>
    </row>
    <row r="615" customFormat="false" ht="35.05" hidden="false" customHeight="false" outlineLevel="0" collapsed="false">
      <c r="A615" s="7" t="s">
        <v>2966</v>
      </c>
      <c r="B615" s="7" t="s">
        <v>345</v>
      </c>
      <c r="C615" s="7" t="s">
        <v>358</v>
      </c>
      <c r="D615" s="7" t="s">
        <v>2967</v>
      </c>
      <c r="E615" s="7" t="s">
        <v>1179</v>
      </c>
      <c r="F615" s="7" t="s">
        <v>943</v>
      </c>
      <c r="G615" s="7" t="s">
        <v>1424</v>
      </c>
      <c r="H615" s="8" t="s">
        <v>2968</v>
      </c>
      <c r="I615" s="8" t="s">
        <v>164</v>
      </c>
      <c r="J615" s="7" t="s">
        <v>133</v>
      </c>
      <c r="K615" s="7" t="s">
        <v>2969</v>
      </c>
      <c r="L615" s="7" t="n">
        <v>3</v>
      </c>
      <c r="M615" s="7" t="s">
        <v>359</v>
      </c>
      <c r="N615" s="7"/>
      <c r="O615" s="7" t="s">
        <v>1150</v>
      </c>
      <c r="P615" s="7" t="s">
        <v>1151</v>
      </c>
      <c r="Q615" s="13" t="s">
        <v>1790</v>
      </c>
      <c r="R615" s="8"/>
      <c r="S615" s="12"/>
      <c r="T615" s="12"/>
    </row>
    <row r="616" customFormat="false" ht="35.05" hidden="false" customHeight="false" outlineLevel="0" collapsed="false">
      <c r="A616" s="7" t="s">
        <v>2970</v>
      </c>
      <c r="B616" s="7" t="s">
        <v>345</v>
      </c>
      <c r="C616" s="7" t="s">
        <v>358</v>
      </c>
      <c r="D616" s="7" t="s">
        <v>2971</v>
      </c>
      <c r="E616" s="7" t="s">
        <v>1179</v>
      </c>
      <c r="F616" s="7" t="s">
        <v>943</v>
      </c>
      <c r="G616" s="7" t="s">
        <v>1424</v>
      </c>
      <c r="H616" s="8" t="s">
        <v>2968</v>
      </c>
      <c r="I616" s="8" t="s">
        <v>164</v>
      </c>
      <c r="J616" s="7" t="s">
        <v>133</v>
      </c>
      <c r="K616" s="7" t="s">
        <v>2972</v>
      </c>
      <c r="L616" s="7" t="n">
        <v>3</v>
      </c>
      <c r="M616" s="7" t="s">
        <v>359</v>
      </c>
      <c r="N616" s="7"/>
      <c r="O616" s="7" t="s">
        <v>1150</v>
      </c>
      <c r="P616" s="7" t="s">
        <v>1183</v>
      </c>
      <c r="Q616" s="13" t="s">
        <v>1790</v>
      </c>
      <c r="R616" s="8"/>
      <c r="S616" s="12"/>
      <c r="T616" s="12"/>
    </row>
    <row r="617" customFormat="false" ht="35.05" hidden="false" customHeight="false" outlineLevel="0" collapsed="false">
      <c r="A617" s="7" t="s">
        <v>2973</v>
      </c>
      <c r="B617" s="7" t="s">
        <v>345</v>
      </c>
      <c r="C617" s="7" t="s">
        <v>358</v>
      </c>
      <c r="D617" s="7" t="s">
        <v>2974</v>
      </c>
      <c r="E617" s="7" t="s">
        <v>1179</v>
      </c>
      <c r="F617" s="7" t="s">
        <v>943</v>
      </c>
      <c r="G617" s="7" t="s">
        <v>1424</v>
      </c>
      <c r="H617" s="8" t="s">
        <v>2968</v>
      </c>
      <c r="I617" s="8" t="s">
        <v>164</v>
      </c>
      <c r="J617" s="7" t="s">
        <v>133</v>
      </c>
      <c r="K617" s="7" t="s">
        <v>2975</v>
      </c>
      <c r="L617" s="7" t="n">
        <v>3</v>
      </c>
      <c r="M617" s="7" t="s">
        <v>359</v>
      </c>
      <c r="N617" s="7"/>
      <c r="O617" s="7" t="s">
        <v>1150</v>
      </c>
      <c r="P617" s="7" t="s">
        <v>1183</v>
      </c>
      <c r="Q617" s="13" t="s">
        <v>1790</v>
      </c>
      <c r="R617" s="8"/>
      <c r="S617" s="12"/>
      <c r="T617" s="12"/>
    </row>
    <row r="618" customFormat="false" ht="35.05" hidden="false" customHeight="false" outlineLevel="0" collapsed="false">
      <c r="A618" s="7" t="s">
        <v>2976</v>
      </c>
      <c r="B618" s="7" t="s">
        <v>345</v>
      </c>
      <c r="C618" s="7" t="s">
        <v>358</v>
      </c>
      <c r="D618" s="7" t="s">
        <v>2977</v>
      </c>
      <c r="E618" s="7" t="s">
        <v>1179</v>
      </c>
      <c r="F618" s="7" t="s">
        <v>943</v>
      </c>
      <c r="G618" s="7" t="s">
        <v>1424</v>
      </c>
      <c r="H618" s="8" t="s">
        <v>2968</v>
      </c>
      <c r="I618" s="8" t="s">
        <v>164</v>
      </c>
      <c r="J618" s="7" t="s">
        <v>133</v>
      </c>
      <c r="K618" s="7" t="s">
        <v>2978</v>
      </c>
      <c r="L618" s="7" t="n">
        <v>3</v>
      </c>
      <c r="M618" s="7" t="s">
        <v>359</v>
      </c>
      <c r="N618" s="7"/>
      <c r="O618" s="7" t="s">
        <v>1150</v>
      </c>
      <c r="P618" s="7" t="s">
        <v>1183</v>
      </c>
      <c r="Q618" s="7" t="s">
        <v>1152</v>
      </c>
      <c r="R618" s="8"/>
      <c r="S618" s="12"/>
      <c r="T618" s="12"/>
    </row>
    <row r="619" customFormat="false" ht="35.05" hidden="false" customHeight="false" outlineLevel="0" collapsed="false">
      <c r="A619" s="7" t="s">
        <v>2979</v>
      </c>
      <c r="B619" s="7" t="s">
        <v>345</v>
      </c>
      <c r="C619" s="7" t="s">
        <v>361</v>
      </c>
      <c r="D619" s="7" t="s">
        <v>361</v>
      </c>
      <c r="E619" s="7" t="s">
        <v>1137</v>
      </c>
      <c r="F619" s="7" t="s">
        <v>928</v>
      </c>
      <c r="G619" s="7" t="s">
        <v>1148</v>
      </c>
      <c r="H619" s="8" t="s">
        <v>2980</v>
      </c>
      <c r="I619" s="8" t="s">
        <v>364</v>
      </c>
      <c r="J619" s="7" t="s">
        <v>87</v>
      </c>
      <c r="K619" s="7" t="s">
        <v>362</v>
      </c>
      <c r="L619" s="7" t="n">
        <v>2</v>
      </c>
      <c r="M619" s="7" t="s">
        <v>346</v>
      </c>
      <c r="N619" s="7"/>
      <c r="O619" s="7" t="s">
        <v>1150</v>
      </c>
      <c r="P619" s="7" t="s">
        <v>1183</v>
      </c>
      <c r="Q619" s="7" t="s">
        <v>1152</v>
      </c>
      <c r="R619" s="8"/>
      <c r="S619" s="12"/>
      <c r="T619" s="12"/>
    </row>
    <row r="620" customFormat="false" ht="35.05" hidden="false" customHeight="false" outlineLevel="0" collapsed="false">
      <c r="A620" s="7" t="s">
        <v>2981</v>
      </c>
      <c r="B620" s="7" t="s">
        <v>345</v>
      </c>
      <c r="C620" s="7" t="s">
        <v>361</v>
      </c>
      <c r="D620" s="7" t="s">
        <v>2982</v>
      </c>
      <c r="E620" s="7" t="s">
        <v>1179</v>
      </c>
      <c r="F620" s="7" t="s">
        <v>928</v>
      </c>
      <c r="G620" s="7" t="s">
        <v>1148</v>
      </c>
      <c r="H620" s="8" t="s">
        <v>363</v>
      </c>
      <c r="I620" s="8" t="s">
        <v>364</v>
      </c>
      <c r="J620" s="7" t="s">
        <v>133</v>
      </c>
      <c r="K620" s="7" t="s">
        <v>2983</v>
      </c>
      <c r="L620" s="7" t="n">
        <v>3</v>
      </c>
      <c r="M620" s="7" t="s">
        <v>362</v>
      </c>
      <c r="N620" s="7"/>
      <c r="O620" s="7" t="s">
        <v>1150</v>
      </c>
      <c r="P620" s="7" t="s">
        <v>1183</v>
      </c>
      <c r="Q620" s="7" t="s">
        <v>1184</v>
      </c>
      <c r="R620" s="8"/>
      <c r="S620" s="12"/>
      <c r="T620" s="12"/>
    </row>
    <row r="621" customFormat="false" ht="35.05" hidden="false" customHeight="false" outlineLevel="0" collapsed="false">
      <c r="A621" s="7" t="s">
        <v>2984</v>
      </c>
      <c r="B621" s="7" t="s">
        <v>345</v>
      </c>
      <c r="C621" s="7" t="s">
        <v>361</v>
      </c>
      <c r="D621" s="7" t="s">
        <v>2985</v>
      </c>
      <c r="E621" s="7" t="s">
        <v>1179</v>
      </c>
      <c r="F621" s="7" t="s">
        <v>928</v>
      </c>
      <c r="G621" s="7" t="s">
        <v>1148</v>
      </c>
      <c r="H621" s="8" t="s">
        <v>363</v>
      </c>
      <c r="I621" s="8" t="s">
        <v>364</v>
      </c>
      <c r="J621" s="7" t="s">
        <v>133</v>
      </c>
      <c r="K621" s="7" t="s">
        <v>2986</v>
      </c>
      <c r="L621" s="7" t="n">
        <v>3</v>
      </c>
      <c r="M621" s="7" t="s">
        <v>362</v>
      </c>
      <c r="N621" s="7"/>
      <c r="O621" s="7" t="s">
        <v>1150</v>
      </c>
      <c r="P621" s="7" t="s">
        <v>1183</v>
      </c>
      <c r="Q621" s="7" t="s">
        <v>1152</v>
      </c>
      <c r="R621" s="8"/>
      <c r="S621" s="12"/>
      <c r="T621" s="12"/>
    </row>
    <row r="622" customFormat="false" ht="35.05" hidden="false" customHeight="false" outlineLevel="0" collapsed="false">
      <c r="A622" s="7" t="s">
        <v>2987</v>
      </c>
      <c r="B622" s="7" t="s">
        <v>345</v>
      </c>
      <c r="C622" s="7" t="s">
        <v>361</v>
      </c>
      <c r="D622" s="7" t="s">
        <v>2988</v>
      </c>
      <c r="E622" s="7" t="s">
        <v>1179</v>
      </c>
      <c r="F622" s="7" t="s">
        <v>928</v>
      </c>
      <c r="G622" s="7" t="s">
        <v>1148</v>
      </c>
      <c r="H622" s="8" t="s">
        <v>2989</v>
      </c>
      <c r="I622" s="8" t="s">
        <v>364</v>
      </c>
      <c r="J622" s="7" t="s">
        <v>133</v>
      </c>
      <c r="K622" s="7" t="s">
        <v>2990</v>
      </c>
      <c r="L622" s="7" t="n">
        <v>3</v>
      </c>
      <c r="M622" s="7" t="s">
        <v>362</v>
      </c>
      <c r="N622" s="7"/>
      <c r="O622" s="7" t="s">
        <v>1150</v>
      </c>
      <c r="P622" s="7" t="s">
        <v>1183</v>
      </c>
      <c r="Q622" s="7" t="s">
        <v>1152</v>
      </c>
      <c r="R622" s="8"/>
      <c r="S622" s="12"/>
      <c r="T622" s="12"/>
    </row>
    <row r="623" customFormat="false" ht="35.05" hidden="false" customHeight="false" outlineLevel="0" collapsed="false">
      <c r="A623" s="7" t="s">
        <v>2991</v>
      </c>
      <c r="B623" s="7" t="s">
        <v>345</v>
      </c>
      <c r="C623" s="7" t="s">
        <v>361</v>
      </c>
      <c r="D623" s="7" t="s">
        <v>2992</v>
      </c>
      <c r="E623" s="7" t="s">
        <v>1179</v>
      </c>
      <c r="F623" s="7" t="s">
        <v>928</v>
      </c>
      <c r="G623" s="7" t="s">
        <v>1148</v>
      </c>
      <c r="H623" s="8" t="s">
        <v>2989</v>
      </c>
      <c r="I623" s="8" t="s">
        <v>364</v>
      </c>
      <c r="J623" s="7" t="s">
        <v>133</v>
      </c>
      <c r="K623" s="7" t="s">
        <v>2993</v>
      </c>
      <c r="L623" s="7" t="n">
        <v>3</v>
      </c>
      <c r="M623" s="7" t="s">
        <v>362</v>
      </c>
      <c r="N623" s="7"/>
      <c r="O623" s="7" t="s">
        <v>1150</v>
      </c>
      <c r="P623" s="7" t="s">
        <v>1183</v>
      </c>
      <c r="Q623" s="7" t="s">
        <v>1152</v>
      </c>
      <c r="R623" s="8"/>
      <c r="S623" s="12"/>
      <c r="T623" s="12"/>
    </row>
    <row r="624" customFormat="false" ht="35.05" hidden="false" customHeight="false" outlineLevel="0" collapsed="false">
      <c r="A624" s="7" t="s">
        <v>2994</v>
      </c>
      <c r="B624" s="7" t="s">
        <v>345</v>
      </c>
      <c r="C624" s="7" t="s">
        <v>361</v>
      </c>
      <c r="D624" s="7" t="s">
        <v>2995</v>
      </c>
      <c r="E624" s="7" t="s">
        <v>1179</v>
      </c>
      <c r="F624" s="7" t="s">
        <v>928</v>
      </c>
      <c r="G624" s="7" t="s">
        <v>1148</v>
      </c>
      <c r="H624" s="8" t="s">
        <v>2989</v>
      </c>
      <c r="I624" s="8" t="s">
        <v>364</v>
      </c>
      <c r="J624" s="7" t="s">
        <v>133</v>
      </c>
      <c r="K624" s="7" t="s">
        <v>2996</v>
      </c>
      <c r="L624" s="7" t="n">
        <v>3</v>
      </c>
      <c r="M624" s="7" t="s">
        <v>362</v>
      </c>
      <c r="N624" s="7"/>
      <c r="O624" s="7" t="s">
        <v>1150</v>
      </c>
      <c r="P624" s="7" t="s">
        <v>1183</v>
      </c>
      <c r="Q624" s="7" t="s">
        <v>1152</v>
      </c>
      <c r="R624" s="8"/>
      <c r="S624" s="12"/>
      <c r="T624" s="12"/>
    </row>
    <row r="625" customFormat="false" ht="35.05" hidden="false" customHeight="false" outlineLevel="0" collapsed="false">
      <c r="A625" s="7" t="s">
        <v>2997</v>
      </c>
      <c r="B625" s="7" t="s">
        <v>345</v>
      </c>
      <c r="C625" s="7" t="s">
        <v>365</v>
      </c>
      <c r="D625" s="7" t="s">
        <v>365</v>
      </c>
      <c r="E625" s="7" t="s">
        <v>1137</v>
      </c>
      <c r="F625" s="7" t="s">
        <v>928</v>
      </c>
      <c r="G625" s="7" t="s">
        <v>1148</v>
      </c>
      <c r="H625" s="8" t="s">
        <v>2998</v>
      </c>
      <c r="I625" s="8" t="s">
        <v>368</v>
      </c>
      <c r="J625" s="7" t="s">
        <v>87</v>
      </c>
      <c r="K625" s="7" t="s">
        <v>366</v>
      </c>
      <c r="L625" s="7" t="n">
        <v>2</v>
      </c>
      <c r="M625" s="7" t="s">
        <v>346</v>
      </c>
      <c r="N625" s="7"/>
      <c r="O625" s="7" t="s">
        <v>1421</v>
      </c>
      <c r="P625" s="7" t="s">
        <v>1480</v>
      </c>
      <c r="Q625" s="7" t="s">
        <v>1152</v>
      </c>
      <c r="R625" s="8"/>
      <c r="S625" s="12"/>
      <c r="T625" s="12"/>
    </row>
    <row r="626" customFormat="false" ht="23.85" hidden="false" customHeight="false" outlineLevel="0" collapsed="false">
      <c r="A626" s="7" t="s">
        <v>2999</v>
      </c>
      <c r="B626" s="7" t="s">
        <v>345</v>
      </c>
      <c r="C626" s="7" t="s">
        <v>365</v>
      </c>
      <c r="D626" s="7" t="s">
        <v>3000</v>
      </c>
      <c r="E626" s="7" t="s">
        <v>1179</v>
      </c>
      <c r="F626" s="7" t="s">
        <v>928</v>
      </c>
      <c r="G626" s="7" t="s">
        <v>1148</v>
      </c>
      <c r="H626" s="8" t="s">
        <v>3001</v>
      </c>
      <c r="I626" s="8" t="s">
        <v>368</v>
      </c>
      <c r="J626" s="7" t="s">
        <v>133</v>
      </c>
      <c r="K626" s="7" t="s">
        <v>3002</v>
      </c>
      <c r="L626" s="7" t="n">
        <v>3</v>
      </c>
      <c r="M626" s="7" t="s">
        <v>366</v>
      </c>
      <c r="N626" s="7"/>
      <c r="O626" s="7" t="s">
        <v>1421</v>
      </c>
      <c r="P626" s="7" t="s">
        <v>1480</v>
      </c>
      <c r="Q626" s="13" t="s">
        <v>1790</v>
      </c>
      <c r="R626" s="8"/>
      <c r="S626" s="12"/>
      <c r="T626" s="12"/>
    </row>
    <row r="627" customFormat="false" ht="23.85" hidden="false" customHeight="false" outlineLevel="0" collapsed="false">
      <c r="A627" s="7" t="s">
        <v>3003</v>
      </c>
      <c r="B627" s="7" t="s">
        <v>345</v>
      </c>
      <c r="C627" s="7" t="s">
        <v>365</v>
      </c>
      <c r="D627" s="7" t="s">
        <v>3004</v>
      </c>
      <c r="E627" s="7" t="s">
        <v>1179</v>
      </c>
      <c r="F627" s="7" t="s">
        <v>928</v>
      </c>
      <c r="G627" s="7" t="s">
        <v>1148</v>
      </c>
      <c r="H627" s="8" t="s">
        <v>3001</v>
      </c>
      <c r="I627" s="8" t="s">
        <v>368</v>
      </c>
      <c r="J627" s="7" t="s">
        <v>133</v>
      </c>
      <c r="K627" s="7" t="s">
        <v>3005</v>
      </c>
      <c r="L627" s="7" t="n">
        <v>3</v>
      </c>
      <c r="M627" s="7" t="s">
        <v>366</v>
      </c>
      <c r="N627" s="7"/>
      <c r="O627" s="7" t="s">
        <v>1421</v>
      </c>
      <c r="P627" s="7" t="s">
        <v>1480</v>
      </c>
      <c r="Q627" s="7" t="s">
        <v>1152</v>
      </c>
      <c r="R627" s="8"/>
      <c r="S627" s="12"/>
      <c r="T627" s="12"/>
    </row>
    <row r="628" customFormat="false" ht="23.85" hidden="false" customHeight="false" outlineLevel="0" collapsed="false">
      <c r="A628" s="7" t="s">
        <v>3006</v>
      </c>
      <c r="B628" s="7" t="s">
        <v>345</v>
      </c>
      <c r="C628" s="7" t="s">
        <v>365</v>
      </c>
      <c r="D628" s="7" t="s">
        <v>3007</v>
      </c>
      <c r="E628" s="7" t="s">
        <v>1179</v>
      </c>
      <c r="F628" s="7" t="s">
        <v>928</v>
      </c>
      <c r="G628" s="7" t="s">
        <v>1148</v>
      </c>
      <c r="H628" s="8" t="s">
        <v>367</v>
      </c>
      <c r="I628" s="8" t="s">
        <v>368</v>
      </c>
      <c r="J628" s="7" t="s">
        <v>133</v>
      </c>
      <c r="K628" s="7" t="s">
        <v>3008</v>
      </c>
      <c r="L628" s="7" t="n">
        <v>3</v>
      </c>
      <c r="M628" s="7" t="s">
        <v>366</v>
      </c>
      <c r="N628" s="7"/>
      <c r="O628" s="7" t="s">
        <v>1421</v>
      </c>
      <c r="P628" s="7" t="s">
        <v>1480</v>
      </c>
      <c r="Q628" s="7" t="s">
        <v>1152</v>
      </c>
      <c r="R628" s="8"/>
      <c r="S628" s="12"/>
      <c r="T628" s="12"/>
    </row>
    <row r="629" customFormat="false" ht="23.85" hidden="false" customHeight="false" outlineLevel="0" collapsed="false">
      <c r="A629" s="7" t="s">
        <v>3009</v>
      </c>
      <c r="B629" s="7" t="s">
        <v>345</v>
      </c>
      <c r="C629" s="7" t="s">
        <v>365</v>
      </c>
      <c r="D629" s="7" t="s">
        <v>3010</v>
      </c>
      <c r="E629" s="7" t="s">
        <v>1179</v>
      </c>
      <c r="F629" s="7" t="s">
        <v>928</v>
      </c>
      <c r="G629" s="7" t="s">
        <v>1148</v>
      </c>
      <c r="H629" s="8" t="s">
        <v>367</v>
      </c>
      <c r="I629" s="8" t="s">
        <v>368</v>
      </c>
      <c r="J629" s="7" t="s">
        <v>133</v>
      </c>
      <c r="K629" s="7" t="s">
        <v>3011</v>
      </c>
      <c r="L629" s="7" t="n">
        <v>3</v>
      </c>
      <c r="M629" s="7" t="s">
        <v>366</v>
      </c>
      <c r="N629" s="7"/>
      <c r="O629" s="7" t="s">
        <v>1421</v>
      </c>
      <c r="P629" s="7" t="s">
        <v>1480</v>
      </c>
      <c r="Q629" s="7" t="s">
        <v>1152</v>
      </c>
      <c r="R629" s="8"/>
      <c r="S629" s="12"/>
      <c r="T629" s="12"/>
    </row>
    <row r="630" customFormat="false" ht="23.85" hidden="false" customHeight="false" outlineLevel="0" collapsed="false">
      <c r="A630" s="7" t="s">
        <v>3012</v>
      </c>
      <c r="B630" s="7" t="s">
        <v>345</v>
      </c>
      <c r="C630" s="7" t="s">
        <v>365</v>
      </c>
      <c r="D630" s="7" t="s">
        <v>3013</v>
      </c>
      <c r="E630" s="7" t="s">
        <v>1179</v>
      </c>
      <c r="F630" s="7" t="s">
        <v>928</v>
      </c>
      <c r="G630" s="7" t="s">
        <v>1148</v>
      </c>
      <c r="H630" s="8" t="s">
        <v>367</v>
      </c>
      <c r="I630" s="8" t="s">
        <v>368</v>
      </c>
      <c r="J630" s="7" t="s">
        <v>133</v>
      </c>
      <c r="K630" s="7" t="s">
        <v>3014</v>
      </c>
      <c r="L630" s="7" t="n">
        <v>3</v>
      </c>
      <c r="M630" s="7" t="s">
        <v>366</v>
      </c>
      <c r="N630" s="7"/>
      <c r="O630" s="7" t="s">
        <v>1421</v>
      </c>
      <c r="P630" s="7" t="s">
        <v>1480</v>
      </c>
      <c r="Q630" s="13" t="s">
        <v>1790</v>
      </c>
      <c r="R630" s="8"/>
      <c r="S630" s="12"/>
      <c r="T630" s="12"/>
    </row>
    <row r="631" customFormat="false" ht="35.05" hidden="false" customHeight="false" outlineLevel="0" collapsed="false">
      <c r="A631" s="7" t="s">
        <v>3015</v>
      </c>
      <c r="B631" s="7" t="s">
        <v>371</v>
      </c>
      <c r="C631" s="7" t="s">
        <v>375</v>
      </c>
      <c r="D631" s="7" t="s">
        <v>375</v>
      </c>
      <c r="E631" s="7" t="s">
        <v>1137</v>
      </c>
      <c r="F631" s="7" t="s">
        <v>928</v>
      </c>
      <c r="G631" s="7" t="s">
        <v>1148</v>
      </c>
      <c r="H631" s="8" t="s">
        <v>3016</v>
      </c>
      <c r="I631" s="8" t="s">
        <v>378</v>
      </c>
      <c r="J631" s="7" t="s">
        <v>87</v>
      </c>
      <c r="K631" s="7" t="s">
        <v>376</v>
      </c>
      <c r="L631" s="7" t="n">
        <v>2</v>
      </c>
      <c r="M631" s="7" t="s">
        <v>372</v>
      </c>
      <c r="N631" s="7"/>
      <c r="O631" s="7" t="s">
        <v>1150</v>
      </c>
      <c r="P631" s="7" t="s">
        <v>1151</v>
      </c>
      <c r="Q631" s="7" t="s">
        <v>1152</v>
      </c>
      <c r="R631" s="8"/>
      <c r="S631" s="12"/>
      <c r="T631" s="12"/>
    </row>
    <row r="632" customFormat="false" ht="23.85" hidden="false" customHeight="false" outlineLevel="0" collapsed="false">
      <c r="A632" s="7" t="s">
        <v>3017</v>
      </c>
      <c r="B632" s="7" t="s">
        <v>371</v>
      </c>
      <c r="C632" s="7" t="s">
        <v>375</v>
      </c>
      <c r="D632" s="7" t="s">
        <v>3018</v>
      </c>
      <c r="E632" s="7" t="s">
        <v>1179</v>
      </c>
      <c r="F632" s="7" t="s">
        <v>928</v>
      </c>
      <c r="G632" s="7" t="s">
        <v>1148</v>
      </c>
      <c r="H632" s="8" t="s">
        <v>377</v>
      </c>
      <c r="I632" s="8" t="s">
        <v>378</v>
      </c>
      <c r="J632" s="7" t="s">
        <v>133</v>
      </c>
      <c r="K632" s="7" t="s">
        <v>3019</v>
      </c>
      <c r="L632" s="7" t="n">
        <v>3</v>
      </c>
      <c r="M632" s="7" t="s">
        <v>376</v>
      </c>
      <c r="N632" s="7"/>
      <c r="O632" s="7" t="s">
        <v>1150</v>
      </c>
      <c r="P632" s="7" t="s">
        <v>1183</v>
      </c>
      <c r="Q632" s="7" t="s">
        <v>1152</v>
      </c>
      <c r="R632" s="8"/>
      <c r="S632" s="12"/>
      <c r="T632" s="12"/>
    </row>
    <row r="633" customFormat="false" ht="35.05" hidden="false" customHeight="false" outlineLevel="0" collapsed="false">
      <c r="A633" s="7" t="s">
        <v>3020</v>
      </c>
      <c r="B633" s="7" t="s">
        <v>371</v>
      </c>
      <c r="C633" s="7" t="s">
        <v>375</v>
      </c>
      <c r="D633" s="7" t="s">
        <v>3021</v>
      </c>
      <c r="E633" s="7" t="s">
        <v>1179</v>
      </c>
      <c r="F633" s="7" t="s">
        <v>928</v>
      </c>
      <c r="G633" s="7" t="s">
        <v>1148</v>
      </c>
      <c r="H633" s="8" t="s">
        <v>3022</v>
      </c>
      <c r="I633" s="8" t="s">
        <v>378</v>
      </c>
      <c r="J633" s="7" t="s">
        <v>133</v>
      </c>
      <c r="K633" s="7" t="s">
        <v>3023</v>
      </c>
      <c r="L633" s="7" t="n">
        <v>3</v>
      </c>
      <c r="M633" s="7" t="s">
        <v>376</v>
      </c>
      <c r="N633" s="7"/>
      <c r="O633" s="7" t="s">
        <v>1150</v>
      </c>
      <c r="P633" s="7" t="s">
        <v>1151</v>
      </c>
      <c r="Q633" s="13" t="s">
        <v>1790</v>
      </c>
      <c r="R633" s="8"/>
      <c r="S633" s="12"/>
      <c r="T633" s="12"/>
    </row>
    <row r="634" customFormat="false" ht="35.05" hidden="false" customHeight="false" outlineLevel="0" collapsed="false">
      <c r="A634" s="7" t="s">
        <v>3024</v>
      </c>
      <c r="B634" s="7" t="s">
        <v>371</v>
      </c>
      <c r="C634" s="7" t="s">
        <v>375</v>
      </c>
      <c r="D634" s="7" t="s">
        <v>3025</v>
      </c>
      <c r="E634" s="7" t="s">
        <v>1179</v>
      </c>
      <c r="F634" s="7" t="s">
        <v>928</v>
      </c>
      <c r="G634" s="7" t="s">
        <v>1148</v>
      </c>
      <c r="H634" s="8" t="s">
        <v>3022</v>
      </c>
      <c r="I634" s="8" t="s">
        <v>378</v>
      </c>
      <c r="J634" s="7" t="s">
        <v>133</v>
      </c>
      <c r="K634" s="7" t="s">
        <v>3026</v>
      </c>
      <c r="L634" s="7" t="n">
        <v>3</v>
      </c>
      <c r="M634" s="7" t="s">
        <v>376</v>
      </c>
      <c r="N634" s="7"/>
      <c r="O634" s="7" t="s">
        <v>1150</v>
      </c>
      <c r="P634" s="7" t="s">
        <v>1151</v>
      </c>
      <c r="Q634" s="13" t="s">
        <v>1790</v>
      </c>
      <c r="R634" s="8"/>
      <c r="S634" s="12"/>
      <c r="T634" s="12"/>
    </row>
    <row r="635" customFormat="false" ht="35.05" hidden="false" customHeight="false" outlineLevel="0" collapsed="false">
      <c r="A635" s="7" t="s">
        <v>3027</v>
      </c>
      <c r="B635" s="7" t="s">
        <v>371</v>
      </c>
      <c r="C635" s="7" t="s">
        <v>375</v>
      </c>
      <c r="D635" s="7" t="s">
        <v>3028</v>
      </c>
      <c r="E635" s="7" t="s">
        <v>1179</v>
      </c>
      <c r="F635" s="7" t="s">
        <v>928</v>
      </c>
      <c r="G635" s="7" t="s">
        <v>1148</v>
      </c>
      <c r="H635" s="8" t="s">
        <v>3022</v>
      </c>
      <c r="I635" s="8" t="s">
        <v>378</v>
      </c>
      <c r="J635" s="7" t="s">
        <v>949</v>
      </c>
      <c r="K635" s="7" t="s">
        <v>3029</v>
      </c>
      <c r="L635" s="7" t="s">
        <v>952</v>
      </c>
      <c r="M635" s="7" t="s">
        <v>3023</v>
      </c>
      <c r="N635" s="7" t="s">
        <v>3021</v>
      </c>
      <c r="O635" s="7" t="s">
        <v>1150</v>
      </c>
      <c r="P635" s="7" t="s">
        <v>1183</v>
      </c>
      <c r="Q635" s="13" t="s">
        <v>1790</v>
      </c>
      <c r="R635" s="8" t="s">
        <v>1185</v>
      </c>
      <c r="S635" s="12"/>
      <c r="T635" s="12"/>
    </row>
    <row r="636" customFormat="false" ht="23.85" hidden="false" customHeight="false" outlineLevel="0" collapsed="false">
      <c r="A636" s="7" t="s">
        <v>3030</v>
      </c>
      <c r="B636" s="7" t="s">
        <v>371</v>
      </c>
      <c r="C636" s="7" t="s">
        <v>375</v>
      </c>
      <c r="D636" s="7" t="s">
        <v>3031</v>
      </c>
      <c r="E636" s="7" t="s">
        <v>1179</v>
      </c>
      <c r="F636" s="7" t="s">
        <v>928</v>
      </c>
      <c r="G636" s="7" t="s">
        <v>1148</v>
      </c>
      <c r="H636" s="8" t="s">
        <v>377</v>
      </c>
      <c r="I636" s="8" t="s">
        <v>378</v>
      </c>
      <c r="J636" s="7" t="s">
        <v>133</v>
      </c>
      <c r="K636" s="7" t="s">
        <v>3032</v>
      </c>
      <c r="L636" s="7" t="n">
        <v>3</v>
      </c>
      <c r="M636" s="7" t="s">
        <v>376</v>
      </c>
      <c r="N636" s="7"/>
      <c r="O636" s="7" t="s">
        <v>1150</v>
      </c>
      <c r="P636" s="7" t="s">
        <v>1151</v>
      </c>
      <c r="Q636" s="13" t="s">
        <v>1790</v>
      </c>
      <c r="R636" s="8"/>
      <c r="S636" s="12"/>
      <c r="T636" s="12"/>
    </row>
    <row r="637" customFormat="false" ht="23.85" hidden="false" customHeight="false" outlineLevel="0" collapsed="false">
      <c r="A637" s="7" t="s">
        <v>3033</v>
      </c>
      <c r="B637" s="7" t="s">
        <v>371</v>
      </c>
      <c r="C637" s="7" t="s">
        <v>375</v>
      </c>
      <c r="D637" s="7" t="s">
        <v>3034</v>
      </c>
      <c r="E637" s="7" t="s">
        <v>1179</v>
      </c>
      <c r="F637" s="7" t="s">
        <v>928</v>
      </c>
      <c r="G637" s="7" t="s">
        <v>1148</v>
      </c>
      <c r="H637" s="8" t="s">
        <v>377</v>
      </c>
      <c r="I637" s="8" t="s">
        <v>378</v>
      </c>
      <c r="J637" s="7" t="s">
        <v>133</v>
      </c>
      <c r="K637" s="7" t="s">
        <v>3035</v>
      </c>
      <c r="L637" s="7" t="n">
        <v>3</v>
      </c>
      <c r="M637" s="7" t="s">
        <v>376</v>
      </c>
      <c r="N637" s="7"/>
      <c r="O637" s="7" t="s">
        <v>1150</v>
      </c>
      <c r="P637" s="7" t="s">
        <v>1151</v>
      </c>
      <c r="Q637" s="7" t="s">
        <v>1152</v>
      </c>
      <c r="R637" s="8"/>
      <c r="S637" s="12"/>
      <c r="T637" s="12"/>
    </row>
    <row r="638" customFormat="false" ht="35.05" hidden="false" customHeight="false" outlineLevel="0" collapsed="false">
      <c r="A638" s="7" t="s">
        <v>3036</v>
      </c>
      <c r="B638" s="7" t="s">
        <v>371</v>
      </c>
      <c r="C638" s="7" t="s">
        <v>375</v>
      </c>
      <c r="D638" s="7" t="s">
        <v>3037</v>
      </c>
      <c r="E638" s="7" t="s">
        <v>1179</v>
      </c>
      <c r="F638" s="7" t="s">
        <v>928</v>
      </c>
      <c r="G638" s="7" t="s">
        <v>1148</v>
      </c>
      <c r="H638" s="8" t="s">
        <v>377</v>
      </c>
      <c r="I638" s="8" t="s">
        <v>378</v>
      </c>
      <c r="J638" s="7" t="s">
        <v>949</v>
      </c>
      <c r="K638" s="7" t="s">
        <v>3038</v>
      </c>
      <c r="L638" s="7" t="s">
        <v>952</v>
      </c>
      <c r="M638" s="7" t="s">
        <v>3035</v>
      </c>
      <c r="N638" s="7" t="s">
        <v>3034</v>
      </c>
      <c r="O638" s="7" t="s">
        <v>1150</v>
      </c>
      <c r="P638" s="7" t="s">
        <v>1183</v>
      </c>
      <c r="Q638" s="7" t="s">
        <v>1152</v>
      </c>
      <c r="R638" s="8" t="s">
        <v>1185</v>
      </c>
      <c r="S638" s="12"/>
      <c r="T638" s="12"/>
    </row>
    <row r="639" customFormat="false" ht="23.85" hidden="false" customHeight="false" outlineLevel="0" collapsed="false">
      <c r="A639" s="7" t="s">
        <v>3039</v>
      </c>
      <c r="B639" s="7" t="s">
        <v>371</v>
      </c>
      <c r="C639" s="7" t="s">
        <v>375</v>
      </c>
      <c r="D639" s="7" t="s">
        <v>3040</v>
      </c>
      <c r="E639" s="7" t="s">
        <v>1179</v>
      </c>
      <c r="F639" s="7" t="s">
        <v>928</v>
      </c>
      <c r="G639" s="7" t="s">
        <v>1148</v>
      </c>
      <c r="H639" s="8" t="s">
        <v>377</v>
      </c>
      <c r="I639" s="8" t="s">
        <v>378</v>
      </c>
      <c r="J639" s="7" t="s">
        <v>133</v>
      </c>
      <c r="K639" s="7" t="s">
        <v>3041</v>
      </c>
      <c r="L639" s="7" t="n">
        <v>3</v>
      </c>
      <c r="M639" s="7" t="s">
        <v>376</v>
      </c>
      <c r="N639" s="7"/>
      <c r="O639" s="7" t="s">
        <v>1150</v>
      </c>
      <c r="P639" s="7" t="s">
        <v>1183</v>
      </c>
      <c r="Q639" s="13" t="s">
        <v>1790</v>
      </c>
      <c r="R639" s="8"/>
      <c r="S639" s="12"/>
      <c r="T639" s="12"/>
    </row>
    <row r="640" customFormat="false" ht="35.05" hidden="false" customHeight="false" outlineLevel="0" collapsed="false">
      <c r="A640" s="7" t="s">
        <v>3042</v>
      </c>
      <c r="B640" s="7" t="s">
        <v>371</v>
      </c>
      <c r="C640" s="7" t="s">
        <v>379</v>
      </c>
      <c r="D640" s="7" t="s">
        <v>379</v>
      </c>
      <c r="E640" s="7" t="s">
        <v>1137</v>
      </c>
      <c r="F640" s="7" t="s">
        <v>928</v>
      </c>
      <c r="G640" s="7" t="s">
        <v>1148</v>
      </c>
      <c r="H640" s="8" t="s">
        <v>3043</v>
      </c>
      <c r="I640" s="8" t="s">
        <v>382</v>
      </c>
      <c r="J640" s="7" t="s">
        <v>87</v>
      </c>
      <c r="K640" s="7" t="s">
        <v>380</v>
      </c>
      <c r="L640" s="7" t="n">
        <v>2</v>
      </c>
      <c r="M640" s="7" t="s">
        <v>372</v>
      </c>
      <c r="N640" s="7"/>
      <c r="O640" s="7" t="s">
        <v>1150</v>
      </c>
      <c r="P640" s="7" t="s">
        <v>1183</v>
      </c>
      <c r="Q640" s="7" t="s">
        <v>1152</v>
      </c>
      <c r="R640" s="8"/>
      <c r="S640" s="12"/>
      <c r="T640" s="12"/>
    </row>
    <row r="641" customFormat="false" ht="23.85" hidden="false" customHeight="false" outlineLevel="0" collapsed="false">
      <c r="A641" s="7" t="s">
        <v>3044</v>
      </c>
      <c r="B641" s="7" t="s">
        <v>371</v>
      </c>
      <c r="C641" s="7" t="s">
        <v>379</v>
      </c>
      <c r="D641" s="7" t="s">
        <v>3045</v>
      </c>
      <c r="E641" s="7" t="s">
        <v>1179</v>
      </c>
      <c r="F641" s="7" t="s">
        <v>928</v>
      </c>
      <c r="G641" s="7" t="s">
        <v>1148</v>
      </c>
      <c r="H641" s="8" t="s">
        <v>381</v>
      </c>
      <c r="I641" s="8" t="s">
        <v>382</v>
      </c>
      <c r="J641" s="7" t="s">
        <v>133</v>
      </c>
      <c r="K641" s="7" t="s">
        <v>3046</v>
      </c>
      <c r="L641" s="7" t="n">
        <v>3</v>
      </c>
      <c r="M641" s="7" t="s">
        <v>380</v>
      </c>
      <c r="N641" s="7"/>
      <c r="O641" s="7" t="s">
        <v>1150</v>
      </c>
      <c r="P641" s="7" t="s">
        <v>1183</v>
      </c>
      <c r="Q641" s="13" t="s">
        <v>1790</v>
      </c>
      <c r="R641" s="8"/>
      <c r="S641" s="12"/>
      <c r="T641" s="12"/>
    </row>
    <row r="642" customFormat="false" ht="23.85" hidden="false" customHeight="false" outlineLevel="0" collapsed="false">
      <c r="A642" s="7" t="s">
        <v>3047</v>
      </c>
      <c r="B642" s="7" t="s">
        <v>371</v>
      </c>
      <c r="C642" s="7" t="s">
        <v>379</v>
      </c>
      <c r="D642" s="7" t="s">
        <v>3048</v>
      </c>
      <c r="E642" s="7" t="s">
        <v>1179</v>
      </c>
      <c r="F642" s="7" t="s">
        <v>928</v>
      </c>
      <c r="G642" s="7" t="s">
        <v>1148</v>
      </c>
      <c r="H642" s="8" t="s">
        <v>381</v>
      </c>
      <c r="I642" s="8" t="s">
        <v>382</v>
      </c>
      <c r="J642" s="7" t="s">
        <v>133</v>
      </c>
      <c r="K642" s="7" t="s">
        <v>3049</v>
      </c>
      <c r="L642" s="7" t="n">
        <v>3</v>
      </c>
      <c r="M642" s="7" t="s">
        <v>380</v>
      </c>
      <c r="N642" s="7"/>
      <c r="O642" s="7" t="s">
        <v>1150</v>
      </c>
      <c r="P642" s="7" t="s">
        <v>1183</v>
      </c>
      <c r="Q642" s="7" t="s">
        <v>1152</v>
      </c>
      <c r="R642" s="8"/>
      <c r="S642" s="12"/>
      <c r="T642" s="12"/>
    </row>
    <row r="643" customFormat="false" ht="23.85" hidden="false" customHeight="false" outlineLevel="0" collapsed="false">
      <c r="A643" s="7" t="s">
        <v>3050</v>
      </c>
      <c r="B643" s="7" t="s">
        <v>371</v>
      </c>
      <c r="C643" s="7" t="s">
        <v>379</v>
      </c>
      <c r="D643" s="7" t="s">
        <v>3051</v>
      </c>
      <c r="E643" s="7" t="s">
        <v>1179</v>
      </c>
      <c r="F643" s="7" t="s">
        <v>928</v>
      </c>
      <c r="G643" s="7" t="s">
        <v>1148</v>
      </c>
      <c r="H643" s="8" t="s">
        <v>381</v>
      </c>
      <c r="I643" s="8" t="s">
        <v>382</v>
      </c>
      <c r="J643" s="7" t="s">
        <v>133</v>
      </c>
      <c r="K643" s="7" t="s">
        <v>3052</v>
      </c>
      <c r="L643" s="7" t="n">
        <v>3</v>
      </c>
      <c r="M643" s="7" t="s">
        <v>380</v>
      </c>
      <c r="N643" s="7"/>
      <c r="O643" s="7" t="s">
        <v>1150</v>
      </c>
      <c r="P643" s="7" t="s">
        <v>1183</v>
      </c>
      <c r="Q643" s="7" t="s">
        <v>1152</v>
      </c>
      <c r="R643" s="8"/>
      <c r="S643" s="12"/>
      <c r="T643" s="12"/>
    </row>
    <row r="644" customFormat="false" ht="23.85" hidden="false" customHeight="false" outlineLevel="0" collapsed="false">
      <c r="A644" s="7" t="s">
        <v>3053</v>
      </c>
      <c r="B644" s="7" t="s">
        <v>371</v>
      </c>
      <c r="C644" s="7" t="s">
        <v>379</v>
      </c>
      <c r="D644" s="7" t="s">
        <v>3054</v>
      </c>
      <c r="E644" s="7" t="s">
        <v>1179</v>
      </c>
      <c r="F644" s="7" t="s">
        <v>928</v>
      </c>
      <c r="G644" s="7" t="s">
        <v>1148</v>
      </c>
      <c r="H644" s="8" t="s">
        <v>381</v>
      </c>
      <c r="I644" s="8" t="s">
        <v>382</v>
      </c>
      <c r="J644" s="7" t="s">
        <v>133</v>
      </c>
      <c r="K644" s="7" t="s">
        <v>3055</v>
      </c>
      <c r="L644" s="7" t="n">
        <v>3</v>
      </c>
      <c r="M644" s="7" t="s">
        <v>380</v>
      </c>
      <c r="N644" s="7"/>
      <c r="O644" s="7" t="s">
        <v>1150</v>
      </c>
      <c r="P644" s="7" t="s">
        <v>1183</v>
      </c>
      <c r="Q644" s="7" t="s">
        <v>1152</v>
      </c>
      <c r="R644" s="8"/>
      <c r="S644" s="12"/>
      <c r="T644" s="12"/>
    </row>
    <row r="645" customFormat="false" ht="23.85" hidden="false" customHeight="false" outlineLevel="0" collapsed="false">
      <c r="A645" s="7" t="s">
        <v>3056</v>
      </c>
      <c r="B645" s="7" t="s">
        <v>371</v>
      </c>
      <c r="C645" s="7" t="s">
        <v>379</v>
      </c>
      <c r="D645" s="7" t="s">
        <v>3057</v>
      </c>
      <c r="E645" s="7" t="s">
        <v>1179</v>
      </c>
      <c r="F645" s="7" t="s">
        <v>928</v>
      </c>
      <c r="G645" s="7" t="s">
        <v>1148</v>
      </c>
      <c r="H645" s="8" t="s">
        <v>381</v>
      </c>
      <c r="I645" s="8" t="s">
        <v>382</v>
      </c>
      <c r="J645" s="7" t="s">
        <v>133</v>
      </c>
      <c r="K645" s="7" t="s">
        <v>3058</v>
      </c>
      <c r="L645" s="7" t="n">
        <v>3</v>
      </c>
      <c r="M645" s="7" t="s">
        <v>380</v>
      </c>
      <c r="N645" s="7"/>
      <c r="O645" s="7" t="s">
        <v>1150</v>
      </c>
      <c r="P645" s="7" t="s">
        <v>1183</v>
      </c>
      <c r="Q645" s="7" t="s">
        <v>1152</v>
      </c>
      <c r="R645" s="8"/>
      <c r="S645" s="12"/>
      <c r="T645" s="12"/>
    </row>
    <row r="646" customFormat="false" ht="23.85" hidden="false" customHeight="false" outlineLevel="0" collapsed="false">
      <c r="A646" s="7" t="s">
        <v>3059</v>
      </c>
      <c r="B646" s="7" t="s">
        <v>371</v>
      </c>
      <c r="C646" s="7" t="s">
        <v>379</v>
      </c>
      <c r="D646" s="7" t="s">
        <v>3060</v>
      </c>
      <c r="E646" s="7" t="s">
        <v>1179</v>
      </c>
      <c r="F646" s="7" t="s">
        <v>928</v>
      </c>
      <c r="G646" s="7" t="s">
        <v>1148</v>
      </c>
      <c r="H646" s="8" t="s">
        <v>381</v>
      </c>
      <c r="I646" s="8" t="s">
        <v>382</v>
      </c>
      <c r="J646" s="7" t="s">
        <v>133</v>
      </c>
      <c r="K646" s="7" t="s">
        <v>3061</v>
      </c>
      <c r="L646" s="7" t="n">
        <v>3</v>
      </c>
      <c r="M646" s="7" t="s">
        <v>380</v>
      </c>
      <c r="N646" s="7"/>
      <c r="O646" s="7" t="s">
        <v>1150</v>
      </c>
      <c r="P646" s="7" t="s">
        <v>1183</v>
      </c>
      <c r="Q646" s="7" t="s">
        <v>1152</v>
      </c>
      <c r="R646" s="8"/>
      <c r="S646" s="12"/>
      <c r="T646" s="12"/>
    </row>
    <row r="647" customFormat="false" ht="23.85" hidden="false" customHeight="false" outlineLevel="0" collapsed="false">
      <c r="A647" s="7" t="s">
        <v>3062</v>
      </c>
      <c r="B647" s="7" t="s">
        <v>371</v>
      </c>
      <c r="C647" s="7" t="s">
        <v>379</v>
      </c>
      <c r="D647" s="7" t="s">
        <v>3063</v>
      </c>
      <c r="E647" s="7" t="s">
        <v>1179</v>
      </c>
      <c r="F647" s="7" t="s">
        <v>928</v>
      </c>
      <c r="G647" s="7" t="s">
        <v>1148</v>
      </c>
      <c r="H647" s="8" t="s">
        <v>381</v>
      </c>
      <c r="I647" s="8" t="s">
        <v>382</v>
      </c>
      <c r="J647" s="7" t="s">
        <v>133</v>
      </c>
      <c r="K647" s="7" t="s">
        <v>3064</v>
      </c>
      <c r="L647" s="7" t="n">
        <v>3</v>
      </c>
      <c r="M647" s="7" t="s">
        <v>380</v>
      </c>
      <c r="N647" s="7"/>
      <c r="O647" s="7" t="s">
        <v>1150</v>
      </c>
      <c r="P647" s="7" t="s">
        <v>1183</v>
      </c>
      <c r="Q647" s="13" t="s">
        <v>1790</v>
      </c>
      <c r="R647" s="8"/>
      <c r="S647" s="12"/>
      <c r="T647" s="12"/>
    </row>
    <row r="648" customFormat="false" ht="23.85" hidden="false" customHeight="false" outlineLevel="0" collapsed="false">
      <c r="A648" s="7" t="s">
        <v>3065</v>
      </c>
      <c r="B648" s="7" t="s">
        <v>371</v>
      </c>
      <c r="C648" s="7" t="s">
        <v>379</v>
      </c>
      <c r="D648" s="7" t="s">
        <v>3066</v>
      </c>
      <c r="E648" s="7" t="s">
        <v>1179</v>
      </c>
      <c r="F648" s="7" t="s">
        <v>928</v>
      </c>
      <c r="G648" s="7" t="s">
        <v>1148</v>
      </c>
      <c r="H648" s="8" t="s">
        <v>381</v>
      </c>
      <c r="I648" s="8" t="s">
        <v>382</v>
      </c>
      <c r="J648" s="7" t="s">
        <v>133</v>
      </c>
      <c r="K648" s="7" t="s">
        <v>3067</v>
      </c>
      <c r="L648" s="7" t="n">
        <v>3</v>
      </c>
      <c r="M648" s="7" t="s">
        <v>380</v>
      </c>
      <c r="N648" s="7"/>
      <c r="O648" s="7" t="s">
        <v>1150</v>
      </c>
      <c r="P648" s="7" t="s">
        <v>1183</v>
      </c>
      <c r="Q648" s="7" t="s">
        <v>1152</v>
      </c>
      <c r="R648" s="8"/>
      <c r="S648" s="12"/>
      <c r="T648" s="12"/>
    </row>
    <row r="649" customFormat="false" ht="23.85" hidden="false" customHeight="false" outlineLevel="0" collapsed="false">
      <c r="A649" s="7" t="s">
        <v>3068</v>
      </c>
      <c r="B649" s="7" t="s">
        <v>371</v>
      </c>
      <c r="C649" s="7" t="s">
        <v>379</v>
      </c>
      <c r="D649" s="7" t="s">
        <v>3069</v>
      </c>
      <c r="E649" s="7" t="s">
        <v>1179</v>
      </c>
      <c r="F649" s="7" t="s">
        <v>928</v>
      </c>
      <c r="G649" s="7" t="s">
        <v>1148</v>
      </c>
      <c r="H649" s="8" t="s">
        <v>381</v>
      </c>
      <c r="I649" s="8" t="s">
        <v>382</v>
      </c>
      <c r="J649" s="7" t="s">
        <v>133</v>
      </c>
      <c r="K649" s="7" t="s">
        <v>3070</v>
      </c>
      <c r="L649" s="7" t="n">
        <v>3</v>
      </c>
      <c r="M649" s="7" t="s">
        <v>380</v>
      </c>
      <c r="N649" s="7"/>
      <c r="O649" s="7" t="s">
        <v>1150</v>
      </c>
      <c r="P649" s="7" t="s">
        <v>1151</v>
      </c>
      <c r="Q649" s="13" t="s">
        <v>1790</v>
      </c>
      <c r="R649" s="8"/>
      <c r="S649" s="12"/>
      <c r="T649" s="12"/>
    </row>
    <row r="650" customFormat="false" ht="23.85" hidden="false" customHeight="false" outlineLevel="0" collapsed="false">
      <c r="A650" s="7" t="s">
        <v>3071</v>
      </c>
      <c r="B650" s="7" t="s">
        <v>371</v>
      </c>
      <c r="C650" s="7" t="s">
        <v>379</v>
      </c>
      <c r="D650" s="7" t="s">
        <v>3072</v>
      </c>
      <c r="E650" s="7" t="s">
        <v>1179</v>
      </c>
      <c r="F650" s="7" t="s">
        <v>928</v>
      </c>
      <c r="G650" s="7" t="s">
        <v>1148</v>
      </c>
      <c r="H650" s="8" t="s">
        <v>381</v>
      </c>
      <c r="I650" s="8" t="s">
        <v>382</v>
      </c>
      <c r="J650" s="7" t="s">
        <v>133</v>
      </c>
      <c r="K650" s="7" t="s">
        <v>3073</v>
      </c>
      <c r="L650" s="7" t="n">
        <v>3</v>
      </c>
      <c r="M650" s="7" t="s">
        <v>380</v>
      </c>
      <c r="N650" s="7"/>
      <c r="O650" s="7" t="s">
        <v>1150</v>
      </c>
      <c r="P650" s="7" t="s">
        <v>1183</v>
      </c>
      <c r="Q650" s="13" t="s">
        <v>1790</v>
      </c>
      <c r="R650" s="8"/>
      <c r="S650" s="12"/>
      <c r="T650" s="12"/>
    </row>
    <row r="651" customFormat="false" ht="23.85" hidden="false" customHeight="false" outlineLevel="0" collapsed="false">
      <c r="A651" s="7" t="s">
        <v>3074</v>
      </c>
      <c r="B651" s="7" t="s">
        <v>371</v>
      </c>
      <c r="C651" s="7" t="s">
        <v>379</v>
      </c>
      <c r="D651" s="7" t="s">
        <v>3075</v>
      </c>
      <c r="E651" s="7" t="s">
        <v>1179</v>
      </c>
      <c r="F651" s="7" t="s">
        <v>928</v>
      </c>
      <c r="G651" s="7" t="s">
        <v>1148</v>
      </c>
      <c r="H651" s="8" t="s">
        <v>381</v>
      </c>
      <c r="I651" s="8" t="s">
        <v>382</v>
      </c>
      <c r="J651" s="7" t="s">
        <v>133</v>
      </c>
      <c r="K651" s="7" t="s">
        <v>3076</v>
      </c>
      <c r="L651" s="7" t="n">
        <v>3</v>
      </c>
      <c r="M651" s="7" t="s">
        <v>380</v>
      </c>
      <c r="N651" s="7"/>
      <c r="O651" s="7" t="s">
        <v>1150</v>
      </c>
      <c r="P651" s="7" t="s">
        <v>1183</v>
      </c>
      <c r="Q651" s="13" t="s">
        <v>1790</v>
      </c>
      <c r="R651" s="8"/>
      <c r="S651" s="12"/>
      <c r="T651" s="12"/>
    </row>
    <row r="652" customFormat="false" ht="35.05" hidden="false" customHeight="false" outlineLevel="0" collapsed="false">
      <c r="A652" s="7" t="s">
        <v>3077</v>
      </c>
      <c r="B652" s="7" t="s">
        <v>371</v>
      </c>
      <c r="C652" s="7" t="s">
        <v>383</v>
      </c>
      <c r="D652" s="7" t="s">
        <v>383</v>
      </c>
      <c r="E652" s="7" t="s">
        <v>1137</v>
      </c>
      <c r="F652" s="7" t="s">
        <v>928</v>
      </c>
      <c r="G652" s="7" t="s">
        <v>1148</v>
      </c>
      <c r="H652" s="8" t="s">
        <v>3078</v>
      </c>
      <c r="I652" s="8" t="s">
        <v>386</v>
      </c>
      <c r="J652" s="7" t="s">
        <v>87</v>
      </c>
      <c r="K652" s="7" t="s">
        <v>384</v>
      </c>
      <c r="L652" s="7" t="n">
        <v>2</v>
      </c>
      <c r="M652" s="7" t="s">
        <v>372</v>
      </c>
      <c r="N652" s="7"/>
      <c r="O652" s="7" t="s">
        <v>1150</v>
      </c>
      <c r="P652" s="7" t="s">
        <v>1183</v>
      </c>
      <c r="Q652" s="7" t="s">
        <v>1152</v>
      </c>
      <c r="R652" s="8"/>
      <c r="S652" s="12"/>
      <c r="T652" s="12"/>
    </row>
    <row r="653" customFormat="false" ht="35.05" hidden="false" customHeight="false" outlineLevel="0" collapsed="false">
      <c r="A653" s="7" t="s">
        <v>3079</v>
      </c>
      <c r="B653" s="7" t="s">
        <v>371</v>
      </c>
      <c r="C653" s="7" t="s">
        <v>383</v>
      </c>
      <c r="D653" s="7" t="s">
        <v>3080</v>
      </c>
      <c r="E653" s="7" t="s">
        <v>1179</v>
      </c>
      <c r="F653" s="7" t="s">
        <v>928</v>
      </c>
      <c r="G653" s="7" t="s">
        <v>1148</v>
      </c>
      <c r="H653" s="8" t="s">
        <v>385</v>
      </c>
      <c r="I653" s="8" t="s">
        <v>386</v>
      </c>
      <c r="J653" s="7" t="s">
        <v>133</v>
      </c>
      <c r="K653" s="7" t="s">
        <v>3081</v>
      </c>
      <c r="L653" s="7" t="n">
        <v>3</v>
      </c>
      <c r="M653" s="7" t="s">
        <v>384</v>
      </c>
      <c r="N653" s="7"/>
      <c r="O653" s="7" t="s">
        <v>1150</v>
      </c>
      <c r="P653" s="7" t="s">
        <v>1183</v>
      </c>
      <c r="Q653" s="7" t="s">
        <v>1152</v>
      </c>
      <c r="R653" s="8"/>
      <c r="S653" s="12"/>
      <c r="T653" s="12"/>
    </row>
    <row r="654" customFormat="false" ht="35.05" hidden="false" customHeight="false" outlineLevel="0" collapsed="false">
      <c r="A654" s="7" t="s">
        <v>3082</v>
      </c>
      <c r="B654" s="7" t="s">
        <v>371</v>
      </c>
      <c r="C654" s="7" t="s">
        <v>383</v>
      </c>
      <c r="D654" s="7" t="s">
        <v>3083</v>
      </c>
      <c r="E654" s="7" t="s">
        <v>1179</v>
      </c>
      <c r="F654" s="7" t="s">
        <v>928</v>
      </c>
      <c r="G654" s="7" t="s">
        <v>1148</v>
      </c>
      <c r="H654" s="8" t="s">
        <v>385</v>
      </c>
      <c r="I654" s="8" t="s">
        <v>386</v>
      </c>
      <c r="J654" s="7" t="s">
        <v>133</v>
      </c>
      <c r="K654" s="7" t="s">
        <v>3084</v>
      </c>
      <c r="L654" s="7" t="n">
        <v>3</v>
      </c>
      <c r="M654" s="7" t="s">
        <v>384</v>
      </c>
      <c r="N654" s="7"/>
      <c r="O654" s="7" t="s">
        <v>1150</v>
      </c>
      <c r="P654" s="7" t="s">
        <v>1183</v>
      </c>
      <c r="Q654" s="7" t="s">
        <v>1152</v>
      </c>
      <c r="R654" s="8"/>
      <c r="S654" s="12"/>
      <c r="T654" s="12"/>
    </row>
    <row r="655" customFormat="false" ht="35.05" hidden="false" customHeight="false" outlineLevel="0" collapsed="false">
      <c r="A655" s="7" t="s">
        <v>3085</v>
      </c>
      <c r="B655" s="7" t="s">
        <v>371</v>
      </c>
      <c r="C655" s="7" t="s">
        <v>383</v>
      </c>
      <c r="D655" s="7" t="s">
        <v>3086</v>
      </c>
      <c r="E655" s="7" t="s">
        <v>1179</v>
      </c>
      <c r="F655" s="7" t="s">
        <v>928</v>
      </c>
      <c r="G655" s="7" t="s">
        <v>1148</v>
      </c>
      <c r="H655" s="8" t="s">
        <v>3087</v>
      </c>
      <c r="I655" s="8" t="s">
        <v>386</v>
      </c>
      <c r="J655" s="7" t="s">
        <v>133</v>
      </c>
      <c r="K655" s="7" t="s">
        <v>3088</v>
      </c>
      <c r="L655" s="7" t="n">
        <v>3</v>
      </c>
      <c r="M655" s="7" t="s">
        <v>384</v>
      </c>
      <c r="N655" s="7"/>
      <c r="O655" s="7" t="s">
        <v>1150</v>
      </c>
      <c r="P655" s="7" t="s">
        <v>1183</v>
      </c>
      <c r="Q655" s="13" t="s">
        <v>1790</v>
      </c>
      <c r="R655" s="8"/>
      <c r="S655" s="12"/>
      <c r="T655" s="12"/>
    </row>
    <row r="656" customFormat="false" ht="35.05" hidden="false" customHeight="false" outlineLevel="0" collapsed="false">
      <c r="A656" s="7" t="s">
        <v>3089</v>
      </c>
      <c r="B656" s="7" t="s">
        <v>371</v>
      </c>
      <c r="C656" s="7" t="s">
        <v>383</v>
      </c>
      <c r="D656" s="7" t="s">
        <v>3090</v>
      </c>
      <c r="E656" s="7" t="s">
        <v>1179</v>
      </c>
      <c r="F656" s="7" t="s">
        <v>928</v>
      </c>
      <c r="G656" s="7" t="s">
        <v>1148</v>
      </c>
      <c r="H656" s="8" t="s">
        <v>3087</v>
      </c>
      <c r="I656" s="8" t="s">
        <v>386</v>
      </c>
      <c r="J656" s="7" t="s">
        <v>133</v>
      </c>
      <c r="K656" s="7" t="s">
        <v>3091</v>
      </c>
      <c r="L656" s="7" t="n">
        <v>3</v>
      </c>
      <c r="M656" s="7" t="s">
        <v>384</v>
      </c>
      <c r="N656" s="7"/>
      <c r="O656" s="7" t="s">
        <v>1150</v>
      </c>
      <c r="P656" s="7" t="s">
        <v>1183</v>
      </c>
      <c r="Q656" s="13" t="s">
        <v>1790</v>
      </c>
      <c r="R656" s="8"/>
      <c r="S656" s="12"/>
      <c r="T656" s="12"/>
    </row>
    <row r="657" customFormat="false" ht="35.05" hidden="false" customHeight="false" outlineLevel="0" collapsed="false">
      <c r="A657" s="7" t="s">
        <v>3092</v>
      </c>
      <c r="B657" s="7" t="s">
        <v>371</v>
      </c>
      <c r="C657" s="7" t="s">
        <v>383</v>
      </c>
      <c r="D657" s="7" t="s">
        <v>3093</v>
      </c>
      <c r="E657" s="7" t="s">
        <v>1179</v>
      </c>
      <c r="F657" s="7" t="s">
        <v>928</v>
      </c>
      <c r="G657" s="7" t="s">
        <v>1148</v>
      </c>
      <c r="H657" s="8" t="s">
        <v>385</v>
      </c>
      <c r="I657" s="8" t="s">
        <v>386</v>
      </c>
      <c r="J657" s="7" t="s">
        <v>133</v>
      </c>
      <c r="K657" s="7" t="s">
        <v>3094</v>
      </c>
      <c r="L657" s="7" t="n">
        <v>3</v>
      </c>
      <c r="M657" s="7" t="s">
        <v>384</v>
      </c>
      <c r="N657" s="7"/>
      <c r="O657" s="7" t="s">
        <v>1150</v>
      </c>
      <c r="P657" s="7" t="s">
        <v>1183</v>
      </c>
      <c r="Q657" s="7" t="s">
        <v>1152</v>
      </c>
      <c r="R657" s="8"/>
      <c r="S657" s="12"/>
      <c r="T657" s="12"/>
    </row>
    <row r="658" customFormat="false" ht="35.05" hidden="false" customHeight="false" outlineLevel="0" collapsed="false">
      <c r="A658" s="7" t="s">
        <v>3095</v>
      </c>
      <c r="B658" s="7" t="s">
        <v>371</v>
      </c>
      <c r="C658" s="7" t="s">
        <v>383</v>
      </c>
      <c r="D658" s="7" t="s">
        <v>3096</v>
      </c>
      <c r="E658" s="7" t="s">
        <v>1179</v>
      </c>
      <c r="F658" s="7" t="s">
        <v>928</v>
      </c>
      <c r="G658" s="7" t="s">
        <v>1148</v>
      </c>
      <c r="H658" s="8" t="s">
        <v>385</v>
      </c>
      <c r="I658" s="8" t="s">
        <v>386</v>
      </c>
      <c r="J658" s="7" t="s">
        <v>133</v>
      </c>
      <c r="K658" s="7" t="s">
        <v>3097</v>
      </c>
      <c r="L658" s="7" t="n">
        <v>3</v>
      </c>
      <c r="M658" s="7" t="s">
        <v>384</v>
      </c>
      <c r="N658" s="7"/>
      <c r="O658" s="7" t="s">
        <v>1150</v>
      </c>
      <c r="P658" s="7" t="s">
        <v>1183</v>
      </c>
      <c r="Q658" s="7" t="s">
        <v>1152</v>
      </c>
      <c r="R658" s="8"/>
      <c r="S658" s="12"/>
      <c r="T658" s="12"/>
    </row>
    <row r="659" customFormat="false" ht="35.05" hidden="false" customHeight="false" outlineLevel="0" collapsed="false">
      <c r="A659" s="7" t="s">
        <v>3098</v>
      </c>
      <c r="B659" s="7" t="s">
        <v>371</v>
      </c>
      <c r="C659" s="7" t="s">
        <v>383</v>
      </c>
      <c r="D659" s="7" t="s">
        <v>3099</v>
      </c>
      <c r="E659" s="7" t="s">
        <v>1179</v>
      </c>
      <c r="F659" s="7" t="s">
        <v>928</v>
      </c>
      <c r="G659" s="7" t="s">
        <v>1148</v>
      </c>
      <c r="H659" s="8" t="s">
        <v>385</v>
      </c>
      <c r="I659" s="8" t="s">
        <v>386</v>
      </c>
      <c r="J659" s="7" t="s">
        <v>949</v>
      </c>
      <c r="K659" s="7" t="s">
        <v>3100</v>
      </c>
      <c r="L659" s="7" t="s">
        <v>952</v>
      </c>
      <c r="M659" s="7" t="s">
        <v>3097</v>
      </c>
      <c r="N659" s="7" t="s">
        <v>3096</v>
      </c>
      <c r="O659" s="7" t="s">
        <v>1150</v>
      </c>
      <c r="P659" s="7" t="s">
        <v>1183</v>
      </c>
      <c r="Q659" s="7" t="s">
        <v>1152</v>
      </c>
      <c r="R659" s="8" t="s">
        <v>1185</v>
      </c>
      <c r="S659" s="12"/>
      <c r="T659" s="12"/>
    </row>
    <row r="660" customFormat="false" ht="35.05" hidden="false" customHeight="false" outlineLevel="0" collapsed="false">
      <c r="A660" s="7" t="s">
        <v>3101</v>
      </c>
      <c r="B660" s="7" t="s">
        <v>371</v>
      </c>
      <c r="C660" s="7" t="s">
        <v>383</v>
      </c>
      <c r="D660" s="7" t="s">
        <v>3102</v>
      </c>
      <c r="E660" s="7" t="s">
        <v>1179</v>
      </c>
      <c r="F660" s="7" t="s">
        <v>928</v>
      </c>
      <c r="G660" s="7" t="s">
        <v>1148</v>
      </c>
      <c r="H660" s="8" t="s">
        <v>385</v>
      </c>
      <c r="I660" s="8" t="s">
        <v>386</v>
      </c>
      <c r="J660" s="7" t="s">
        <v>133</v>
      </c>
      <c r="K660" s="7" t="s">
        <v>3103</v>
      </c>
      <c r="L660" s="7" t="n">
        <v>3</v>
      </c>
      <c r="M660" s="7" t="s">
        <v>384</v>
      </c>
      <c r="N660" s="7"/>
      <c r="O660" s="7" t="s">
        <v>1150</v>
      </c>
      <c r="P660" s="7" t="s">
        <v>1183</v>
      </c>
      <c r="Q660" s="7" t="s">
        <v>1152</v>
      </c>
      <c r="R660" s="8"/>
      <c r="S660" s="12"/>
      <c r="T660" s="12"/>
    </row>
    <row r="661" customFormat="false" ht="35.05" hidden="false" customHeight="false" outlineLevel="0" collapsed="false">
      <c r="A661" s="7" t="s">
        <v>3104</v>
      </c>
      <c r="B661" s="7" t="s">
        <v>371</v>
      </c>
      <c r="C661" s="7" t="s">
        <v>383</v>
      </c>
      <c r="D661" s="7" t="s">
        <v>3105</v>
      </c>
      <c r="E661" s="7" t="s">
        <v>1179</v>
      </c>
      <c r="F661" s="7" t="s">
        <v>928</v>
      </c>
      <c r="G661" s="7" t="s">
        <v>1148</v>
      </c>
      <c r="H661" s="8" t="s">
        <v>385</v>
      </c>
      <c r="I661" s="8" t="s">
        <v>386</v>
      </c>
      <c r="J661" s="7" t="s">
        <v>133</v>
      </c>
      <c r="K661" s="7" t="s">
        <v>3106</v>
      </c>
      <c r="L661" s="7" t="n">
        <v>3</v>
      </c>
      <c r="M661" s="7" t="s">
        <v>384</v>
      </c>
      <c r="N661" s="7"/>
      <c r="O661" s="7" t="s">
        <v>1150</v>
      </c>
      <c r="P661" s="7" t="s">
        <v>1183</v>
      </c>
      <c r="Q661" s="13" t="s">
        <v>1790</v>
      </c>
      <c r="R661" s="8"/>
      <c r="S661" s="12"/>
      <c r="T661" s="12"/>
    </row>
    <row r="662" customFormat="false" ht="35.05" hidden="false" customHeight="false" outlineLevel="0" collapsed="false">
      <c r="A662" s="7" t="s">
        <v>3107</v>
      </c>
      <c r="B662" s="7" t="s">
        <v>371</v>
      </c>
      <c r="C662" s="7" t="s">
        <v>383</v>
      </c>
      <c r="D662" s="7" t="s">
        <v>3108</v>
      </c>
      <c r="E662" s="7" t="s">
        <v>1179</v>
      </c>
      <c r="F662" s="7" t="s">
        <v>928</v>
      </c>
      <c r="G662" s="7" t="s">
        <v>1148</v>
      </c>
      <c r="H662" s="8" t="s">
        <v>385</v>
      </c>
      <c r="I662" s="8" t="s">
        <v>386</v>
      </c>
      <c r="J662" s="7" t="s">
        <v>133</v>
      </c>
      <c r="K662" s="7" t="s">
        <v>3109</v>
      </c>
      <c r="L662" s="7" t="n">
        <v>3</v>
      </c>
      <c r="M662" s="7" t="s">
        <v>384</v>
      </c>
      <c r="N662" s="7"/>
      <c r="O662" s="7" t="s">
        <v>1150</v>
      </c>
      <c r="P662" s="7" t="s">
        <v>1183</v>
      </c>
      <c r="Q662" s="7" t="s">
        <v>1152</v>
      </c>
      <c r="R662" s="8"/>
      <c r="S662" s="12"/>
      <c r="T662" s="12"/>
    </row>
    <row r="663" customFormat="false" ht="35.05" hidden="false" customHeight="false" outlineLevel="0" collapsed="false">
      <c r="A663" s="7" t="s">
        <v>3110</v>
      </c>
      <c r="B663" s="7" t="s">
        <v>371</v>
      </c>
      <c r="C663" s="7" t="s">
        <v>387</v>
      </c>
      <c r="D663" s="7" t="s">
        <v>387</v>
      </c>
      <c r="E663" s="7" t="s">
        <v>1137</v>
      </c>
      <c r="F663" s="7" t="s">
        <v>928</v>
      </c>
      <c r="G663" s="7" t="s">
        <v>1148</v>
      </c>
      <c r="H663" s="8" t="s">
        <v>3111</v>
      </c>
      <c r="I663" s="8" t="s">
        <v>390</v>
      </c>
      <c r="J663" s="7" t="s">
        <v>87</v>
      </c>
      <c r="K663" s="7" t="s">
        <v>388</v>
      </c>
      <c r="L663" s="7" t="n">
        <v>2</v>
      </c>
      <c r="M663" s="7" t="s">
        <v>372</v>
      </c>
      <c r="N663" s="7"/>
      <c r="O663" s="7" t="s">
        <v>1150</v>
      </c>
      <c r="P663" s="7" t="s">
        <v>1183</v>
      </c>
      <c r="Q663" s="7" t="s">
        <v>1152</v>
      </c>
      <c r="R663" s="8"/>
      <c r="S663" s="12"/>
      <c r="T663" s="12"/>
    </row>
    <row r="664" customFormat="false" ht="35.05" hidden="false" customHeight="false" outlineLevel="0" collapsed="false">
      <c r="A664" s="7" t="s">
        <v>3112</v>
      </c>
      <c r="B664" s="7" t="s">
        <v>371</v>
      </c>
      <c r="C664" s="7" t="s">
        <v>387</v>
      </c>
      <c r="D664" s="7" t="s">
        <v>3113</v>
      </c>
      <c r="E664" s="7" t="s">
        <v>1179</v>
      </c>
      <c r="F664" s="7" t="s">
        <v>928</v>
      </c>
      <c r="G664" s="7" t="s">
        <v>1148</v>
      </c>
      <c r="H664" s="8" t="s">
        <v>389</v>
      </c>
      <c r="I664" s="8" t="s">
        <v>390</v>
      </c>
      <c r="J664" s="7" t="s">
        <v>133</v>
      </c>
      <c r="K664" s="7" t="s">
        <v>3114</v>
      </c>
      <c r="L664" s="7" t="n">
        <v>3</v>
      </c>
      <c r="M664" s="7" t="s">
        <v>388</v>
      </c>
      <c r="N664" s="7"/>
      <c r="O664" s="7" t="s">
        <v>1150</v>
      </c>
      <c r="P664" s="7" t="s">
        <v>1183</v>
      </c>
      <c r="Q664" s="7" t="s">
        <v>1152</v>
      </c>
      <c r="R664" s="8"/>
      <c r="S664" s="12"/>
      <c r="T664" s="12"/>
    </row>
    <row r="665" customFormat="false" ht="35.05" hidden="false" customHeight="false" outlineLevel="0" collapsed="false">
      <c r="A665" s="7" t="s">
        <v>3115</v>
      </c>
      <c r="B665" s="7" t="s">
        <v>371</v>
      </c>
      <c r="C665" s="7" t="s">
        <v>387</v>
      </c>
      <c r="D665" s="7" t="s">
        <v>3116</v>
      </c>
      <c r="E665" s="7" t="s">
        <v>1179</v>
      </c>
      <c r="F665" s="7" t="s">
        <v>928</v>
      </c>
      <c r="G665" s="7" t="s">
        <v>1148</v>
      </c>
      <c r="H665" s="8" t="s">
        <v>389</v>
      </c>
      <c r="I665" s="8" t="s">
        <v>390</v>
      </c>
      <c r="J665" s="7" t="s">
        <v>133</v>
      </c>
      <c r="K665" s="7" t="s">
        <v>3117</v>
      </c>
      <c r="L665" s="7" t="n">
        <v>3</v>
      </c>
      <c r="M665" s="7" t="s">
        <v>388</v>
      </c>
      <c r="N665" s="7"/>
      <c r="O665" s="7" t="s">
        <v>1150</v>
      </c>
      <c r="P665" s="7" t="s">
        <v>1183</v>
      </c>
      <c r="Q665" s="7" t="s">
        <v>1152</v>
      </c>
      <c r="R665" s="8"/>
      <c r="S665" s="12"/>
      <c r="T665" s="12"/>
    </row>
    <row r="666" customFormat="false" ht="35.05" hidden="false" customHeight="false" outlineLevel="0" collapsed="false">
      <c r="A666" s="7" t="s">
        <v>3118</v>
      </c>
      <c r="B666" s="7" t="s">
        <v>371</v>
      </c>
      <c r="C666" s="7" t="s">
        <v>387</v>
      </c>
      <c r="D666" s="7" t="s">
        <v>3119</v>
      </c>
      <c r="E666" s="7" t="s">
        <v>1179</v>
      </c>
      <c r="F666" s="7" t="s">
        <v>928</v>
      </c>
      <c r="G666" s="7" t="s">
        <v>1148</v>
      </c>
      <c r="H666" s="8" t="s">
        <v>3120</v>
      </c>
      <c r="I666" s="8" t="s">
        <v>390</v>
      </c>
      <c r="J666" s="7" t="s">
        <v>133</v>
      </c>
      <c r="K666" s="7" t="s">
        <v>3121</v>
      </c>
      <c r="L666" s="7" t="n">
        <v>3</v>
      </c>
      <c r="M666" s="7" t="s">
        <v>388</v>
      </c>
      <c r="N666" s="7"/>
      <c r="O666" s="7" t="s">
        <v>1150</v>
      </c>
      <c r="P666" s="7" t="s">
        <v>1183</v>
      </c>
      <c r="Q666" s="7" t="s">
        <v>1152</v>
      </c>
      <c r="R666" s="8"/>
      <c r="S666" s="12"/>
      <c r="T666" s="12"/>
    </row>
    <row r="667" customFormat="false" ht="35.05" hidden="false" customHeight="false" outlineLevel="0" collapsed="false">
      <c r="A667" s="7" t="s">
        <v>3122</v>
      </c>
      <c r="B667" s="7" t="s">
        <v>371</v>
      </c>
      <c r="C667" s="7" t="s">
        <v>387</v>
      </c>
      <c r="D667" s="7" t="s">
        <v>3123</v>
      </c>
      <c r="E667" s="7" t="s">
        <v>1179</v>
      </c>
      <c r="F667" s="7" t="s">
        <v>928</v>
      </c>
      <c r="G667" s="7" t="s">
        <v>1148</v>
      </c>
      <c r="H667" s="8" t="s">
        <v>3120</v>
      </c>
      <c r="I667" s="8" t="s">
        <v>390</v>
      </c>
      <c r="J667" s="7" t="s">
        <v>133</v>
      </c>
      <c r="K667" s="7" t="s">
        <v>3124</v>
      </c>
      <c r="L667" s="7" t="n">
        <v>3</v>
      </c>
      <c r="M667" s="7" t="s">
        <v>388</v>
      </c>
      <c r="N667" s="7"/>
      <c r="O667" s="7" t="s">
        <v>1150</v>
      </c>
      <c r="P667" s="7" t="s">
        <v>1183</v>
      </c>
      <c r="Q667" s="7" t="s">
        <v>1152</v>
      </c>
      <c r="R667" s="8"/>
      <c r="S667" s="12"/>
      <c r="T667" s="12"/>
    </row>
    <row r="668" customFormat="false" ht="35.05" hidden="false" customHeight="false" outlineLevel="0" collapsed="false">
      <c r="A668" s="7" t="s">
        <v>3125</v>
      </c>
      <c r="B668" s="7" t="s">
        <v>371</v>
      </c>
      <c r="C668" s="7" t="s">
        <v>387</v>
      </c>
      <c r="D668" s="7" t="s">
        <v>3126</v>
      </c>
      <c r="E668" s="7" t="s">
        <v>1179</v>
      </c>
      <c r="F668" s="7" t="s">
        <v>928</v>
      </c>
      <c r="G668" s="7" t="s">
        <v>1148</v>
      </c>
      <c r="H668" s="8" t="s">
        <v>389</v>
      </c>
      <c r="I668" s="8" t="s">
        <v>390</v>
      </c>
      <c r="J668" s="7" t="s">
        <v>133</v>
      </c>
      <c r="K668" s="7" t="s">
        <v>3127</v>
      </c>
      <c r="L668" s="7" t="n">
        <v>3</v>
      </c>
      <c r="M668" s="7" t="s">
        <v>388</v>
      </c>
      <c r="N668" s="7"/>
      <c r="O668" s="7" t="s">
        <v>1150</v>
      </c>
      <c r="P668" s="7" t="s">
        <v>1183</v>
      </c>
      <c r="Q668" s="7" t="s">
        <v>1152</v>
      </c>
      <c r="R668" s="8"/>
      <c r="S668" s="12"/>
      <c r="T668" s="12"/>
    </row>
    <row r="669" customFormat="false" ht="35.05" hidden="false" customHeight="false" outlineLevel="0" collapsed="false">
      <c r="A669" s="7" t="s">
        <v>3128</v>
      </c>
      <c r="B669" s="7" t="s">
        <v>371</v>
      </c>
      <c r="C669" s="7" t="s">
        <v>387</v>
      </c>
      <c r="D669" s="7" t="s">
        <v>3129</v>
      </c>
      <c r="E669" s="7" t="s">
        <v>1179</v>
      </c>
      <c r="F669" s="7" t="s">
        <v>928</v>
      </c>
      <c r="G669" s="7" t="s">
        <v>1148</v>
      </c>
      <c r="H669" s="8" t="s">
        <v>389</v>
      </c>
      <c r="I669" s="8" t="s">
        <v>390</v>
      </c>
      <c r="J669" s="7" t="s">
        <v>949</v>
      </c>
      <c r="K669" s="7" t="s">
        <v>3130</v>
      </c>
      <c r="L669" s="7" t="s">
        <v>952</v>
      </c>
      <c r="M669" s="7" t="s">
        <v>3114</v>
      </c>
      <c r="N669" s="7" t="s">
        <v>3113</v>
      </c>
      <c r="O669" s="7" t="s">
        <v>1150</v>
      </c>
      <c r="P669" s="7" t="s">
        <v>1183</v>
      </c>
      <c r="Q669" s="7" t="s">
        <v>1152</v>
      </c>
      <c r="R669" s="8" t="s">
        <v>1185</v>
      </c>
      <c r="S669" s="12"/>
      <c r="T669" s="12"/>
    </row>
    <row r="670" customFormat="false" ht="35.05" hidden="false" customHeight="false" outlineLevel="0" collapsed="false">
      <c r="A670" s="7" t="s">
        <v>3131</v>
      </c>
      <c r="B670" s="7" t="s">
        <v>371</v>
      </c>
      <c r="C670" s="7" t="s">
        <v>387</v>
      </c>
      <c r="D670" s="7" t="s">
        <v>3132</v>
      </c>
      <c r="E670" s="7" t="s">
        <v>1179</v>
      </c>
      <c r="F670" s="7" t="s">
        <v>928</v>
      </c>
      <c r="G670" s="7" t="s">
        <v>1148</v>
      </c>
      <c r="H670" s="8" t="s">
        <v>389</v>
      </c>
      <c r="I670" s="8" t="s">
        <v>390</v>
      </c>
      <c r="J670" s="7" t="s">
        <v>133</v>
      </c>
      <c r="K670" s="7" t="s">
        <v>3133</v>
      </c>
      <c r="L670" s="7" t="n">
        <v>3</v>
      </c>
      <c r="M670" s="7" t="s">
        <v>388</v>
      </c>
      <c r="N670" s="7"/>
      <c r="O670" s="7" t="s">
        <v>1150</v>
      </c>
      <c r="P670" s="7" t="s">
        <v>1183</v>
      </c>
      <c r="Q670" s="7" t="s">
        <v>1152</v>
      </c>
      <c r="R670" s="8"/>
      <c r="S670" s="12"/>
      <c r="T670" s="12"/>
    </row>
    <row r="671" customFormat="false" ht="35.05" hidden="false" customHeight="false" outlineLevel="0" collapsed="false">
      <c r="A671" s="7" t="s">
        <v>3134</v>
      </c>
      <c r="B671" s="7" t="s">
        <v>371</v>
      </c>
      <c r="C671" s="7" t="s">
        <v>391</v>
      </c>
      <c r="D671" s="7" t="s">
        <v>391</v>
      </c>
      <c r="E671" s="7" t="s">
        <v>1137</v>
      </c>
      <c r="F671" s="7" t="s">
        <v>928</v>
      </c>
      <c r="G671" s="7" t="s">
        <v>1148</v>
      </c>
      <c r="H671" s="8" t="s">
        <v>3135</v>
      </c>
      <c r="I671" s="8" t="s">
        <v>394</v>
      </c>
      <c r="J671" s="7" t="s">
        <v>87</v>
      </c>
      <c r="K671" s="7" t="s">
        <v>392</v>
      </c>
      <c r="L671" s="7" t="n">
        <v>2</v>
      </c>
      <c r="M671" s="7" t="s">
        <v>372</v>
      </c>
      <c r="N671" s="7"/>
      <c r="O671" s="7" t="s">
        <v>1150</v>
      </c>
      <c r="P671" s="7" t="s">
        <v>1183</v>
      </c>
      <c r="Q671" s="7" t="s">
        <v>1152</v>
      </c>
      <c r="R671" s="8"/>
      <c r="S671" s="12"/>
      <c r="T671" s="12"/>
    </row>
    <row r="672" customFormat="false" ht="23.85" hidden="false" customHeight="false" outlineLevel="0" collapsed="false">
      <c r="A672" s="7" t="s">
        <v>3136</v>
      </c>
      <c r="B672" s="7" t="s">
        <v>371</v>
      </c>
      <c r="C672" s="7" t="s">
        <v>391</v>
      </c>
      <c r="D672" s="7" t="s">
        <v>3137</v>
      </c>
      <c r="E672" s="7" t="s">
        <v>1179</v>
      </c>
      <c r="F672" s="7" t="s">
        <v>928</v>
      </c>
      <c r="G672" s="7" t="s">
        <v>1148</v>
      </c>
      <c r="H672" s="8" t="s">
        <v>393</v>
      </c>
      <c r="I672" s="8" t="s">
        <v>394</v>
      </c>
      <c r="J672" s="7" t="s">
        <v>133</v>
      </c>
      <c r="K672" s="7" t="s">
        <v>3138</v>
      </c>
      <c r="L672" s="7" t="n">
        <v>3</v>
      </c>
      <c r="M672" s="7" t="s">
        <v>392</v>
      </c>
      <c r="N672" s="7"/>
      <c r="O672" s="7" t="s">
        <v>1150</v>
      </c>
      <c r="P672" s="7" t="s">
        <v>1183</v>
      </c>
      <c r="Q672" s="7" t="s">
        <v>1152</v>
      </c>
      <c r="R672" s="8"/>
      <c r="S672" s="12"/>
      <c r="T672" s="12"/>
    </row>
    <row r="673" customFormat="false" ht="23.85" hidden="false" customHeight="false" outlineLevel="0" collapsed="false">
      <c r="A673" s="7" t="s">
        <v>3139</v>
      </c>
      <c r="B673" s="7" t="s">
        <v>371</v>
      </c>
      <c r="C673" s="7" t="s">
        <v>391</v>
      </c>
      <c r="D673" s="7" t="s">
        <v>3140</v>
      </c>
      <c r="E673" s="7" t="s">
        <v>1179</v>
      </c>
      <c r="F673" s="7" t="s">
        <v>928</v>
      </c>
      <c r="G673" s="7" t="s">
        <v>1148</v>
      </c>
      <c r="H673" s="8" t="s">
        <v>393</v>
      </c>
      <c r="I673" s="8" t="s">
        <v>394</v>
      </c>
      <c r="J673" s="7" t="s">
        <v>133</v>
      </c>
      <c r="K673" s="7" t="s">
        <v>3141</v>
      </c>
      <c r="L673" s="7" t="n">
        <v>3</v>
      </c>
      <c r="M673" s="7" t="s">
        <v>392</v>
      </c>
      <c r="N673" s="7"/>
      <c r="O673" s="7" t="s">
        <v>1150</v>
      </c>
      <c r="P673" s="7" t="s">
        <v>1183</v>
      </c>
      <c r="Q673" s="7" t="s">
        <v>1152</v>
      </c>
      <c r="R673" s="8"/>
      <c r="S673" s="12"/>
      <c r="T673" s="12"/>
    </row>
    <row r="674" customFormat="false" ht="23.85" hidden="false" customHeight="false" outlineLevel="0" collapsed="false">
      <c r="A674" s="7" t="s">
        <v>3142</v>
      </c>
      <c r="B674" s="7" t="s">
        <v>371</v>
      </c>
      <c r="C674" s="7" t="s">
        <v>391</v>
      </c>
      <c r="D674" s="7" t="s">
        <v>3143</v>
      </c>
      <c r="E674" s="7" t="s">
        <v>1179</v>
      </c>
      <c r="F674" s="7" t="s">
        <v>928</v>
      </c>
      <c r="G674" s="7" t="s">
        <v>1148</v>
      </c>
      <c r="H674" s="8" t="s">
        <v>393</v>
      </c>
      <c r="I674" s="8" t="s">
        <v>394</v>
      </c>
      <c r="J674" s="7" t="s">
        <v>133</v>
      </c>
      <c r="K674" s="7" t="s">
        <v>3144</v>
      </c>
      <c r="L674" s="7" t="n">
        <v>3</v>
      </c>
      <c r="M674" s="7" t="s">
        <v>392</v>
      </c>
      <c r="N674" s="7"/>
      <c r="O674" s="7" t="s">
        <v>1150</v>
      </c>
      <c r="P674" s="7" t="s">
        <v>1183</v>
      </c>
      <c r="Q674" s="7" t="s">
        <v>1152</v>
      </c>
      <c r="R674" s="8"/>
      <c r="S674" s="12"/>
      <c r="T674" s="12"/>
    </row>
    <row r="675" customFormat="false" ht="23.85" hidden="false" customHeight="false" outlineLevel="0" collapsed="false">
      <c r="A675" s="7" t="s">
        <v>3145</v>
      </c>
      <c r="B675" s="7" t="s">
        <v>371</v>
      </c>
      <c r="C675" s="7" t="s">
        <v>391</v>
      </c>
      <c r="D675" s="7" t="s">
        <v>3146</v>
      </c>
      <c r="E675" s="7" t="s">
        <v>1179</v>
      </c>
      <c r="F675" s="7" t="s">
        <v>928</v>
      </c>
      <c r="G675" s="7" t="s">
        <v>1148</v>
      </c>
      <c r="H675" s="8" t="s">
        <v>393</v>
      </c>
      <c r="I675" s="8" t="s">
        <v>394</v>
      </c>
      <c r="J675" s="7" t="s">
        <v>133</v>
      </c>
      <c r="K675" s="7" t="s">
        <v>3147</v>
      </c>
      <c r="L675" s="7" t="n">
        <v>3</v>
      </c>
      <c r="M675" s="7" t="s">
        <v>392</v>
      </c>
      <c r="N675" s="7"/>
      <c r="O675" s="7" t="s">
        <v>1150</v>
      </c>
      <c r="P675" s="7" t="s">
        <v>1183</v>
      </c>
      <c r="Q675" s="7" t="s">
        <v>1152</v>
      </c>
      <c r="R675" s="8"/>
      <c r="S675" s="12"/>
      <c r="T675" s="12"/>
    </row>
    <row r="676" customFormat="false" ht="23.85" hidden="false" customHeight="false" outlineLevel="0" collapsed="false">
      <c r="A676" s="7" t="s">
        <v>3148</v>
      </c>
      <c r="B676" s="7" t="s">
        <v>371</v>
      </c>
      <c r="C676" s="7" t="s">
        <v>391</v>
      </c>
      <c r="D676" s="7" t="s">
        <v>3149</v>
      </c>
      <c r="E676" s="7" t="s">
        <v>1179</v>
      </c>
      <c r="F676" s="7" t="s">
        <v>928</v>
      </c>
      <c r="G676" s="7" t="s">
        <v>1148</v>
      </c>
      <c r="H676" s="8" t="s">
        <v>393</v>
      </c>
      <c r="I676" s="8" t="s">
        <v>394</v>
      </c>
      <c r="J676" s="7" t="s">
        <v>133</v>
      </c>
      <c r="K676" s="7" t="s">
        <v>3150</v>
      </c>
      <c r="L676" s="7" t="n">
        <v>3</v>
      </c>
      <c r="M676" s="7" t="s">
        <v>392</v>
      </c>
      <c r="N676" s="7"/>
      <c r="O676" s="7" t="s">
        <v>1150</v>
      </c>
      <c r="P676" s="7" t="s">
        <v>1183</v>
      </c>
      <c r="Q676" s="7" t="s">
        <v>1152</v>
      </c>
      <c r="R676" s="8"/>
      <c r="S676" s="12"/>
      <c r="T676" s="12"/>
    </row>
    <row r="677" customFormat="false" ht="23.85" hidden="false" customHeight="false" outlineLevel="0" collapsed="false">
      <c r="A677" s="7" t="s">
        <v>3151</v>
      </c>
      <c r="B677" s="7" t="s">
        <v>371</v>
      </c>
      <c r="C677" s="7" t="s">
        <v>391</v>
      </c>
      <c r="D677" s="7" t="s">
        <v>3152</v>
      </c>
      <c r="E677" s="7" t="s">
        <v>1179</v>
      </c>
      <c r="F677" s="7" t="s">
        <v>928</v>
      </c>
      <c r="G677" s="7" t="s">
        <v>1148</v>
      </c>
      <c r="H677" s="8" t="s">
        <v>393</v>
      </c>
      <c r="I677" s="8" t="s">
        <v>394</v>
      </c>
      <c r="J677" s="7" t="s">
        <v>133</v>
      </c>
      <c r="K677" s="7" t="s">
        <v>3153</v>
      </c>
      <c r="L677" s="7" t="n">
        <v>3</v>
      </c>
      <c r="M677" s="7" t="s">
        <v>392</v>
      </c>
      <c r="N677" s="7"/>
      <c r="O677" s="7" t="s">
        <v>1150</v>
      </c>
      <c r="P677" s="7" t="s">
        <v>1183</v>
      </c>
      <c r="Q677" s="7" t="s">
        <v>1152</v>
      </c>
      <c r="R677" s="8"/>
      <c r="S677" s="12"/>
      <c r="T677" s="12"/>
    </row>
    <row r="678" customFormat="false" ht="23.85" hidden="false" customHeight="false" outlineLevel="0" collapsed="false">
      <c r="A678" s="7" t="s">
        <v>3154</v>
      </c>
      <c r="B678" s="7" t="s">
        <v>371</v>
      </c>
      <c r="C678" s="7" t="s">
        <v>391</v>
      </c>
      <c r="D678" s="7" t="s">
        <v>3155</v>
      </c>
      <c r="E678" s="7" t="s">
        <v>1179</v>
      </c>
      <c r="F678" s="7" t="s">
        <v>928</v>
      </c>
      <c r="G678" s="7" t="s">
        <v>1148</v>
      </c>
      <c r="H678" s="8" t="s">
        <v>393</v>
      </c>
      <c r="I678" s="8" t="s">
        <v>394</v>
      </c>
      <c r="J678" s="7" t="s">
        <v>133</v>
      </c>
      <c r="K678" s="7" t="s">
        <v>3156</v>
      </c>
      <c r="L678" s="7" t="n">
        <v>3</v>
      </c>
      <c r="M678" s="7" t="s">
        <v>392</v>
      </c>
      <c r="N678" s="7"/>
      <c r="O678" s="7" t="s">
        <v>1150</v>
      </c>
      <c r="P678" s="7" t="s">
        <v>1183</v>
      </c>
      <c r="Q678" s="7" t="s">
        <v>1152</v>
      </c>
      <c r="R678" s="8"/>
      <c r="S678" s="12"/>
      <c r="T678" s="12"/>
    </row>
    <row r="679" customFormat="false" ht="23.85" hidden="false" customHeight="false" outlineLevel="0" collapsed="false">
      <c r="A679" s="7" t="s">
        <v>3157</v>
      </c>
      <c r="B679" s="7" t="s">
        <v>371</v>
      </c>
      <c r="C679" s="7" t="s">
        <v>391</v>
      </c>
      <c r="D679" s="7" t="s">
        <v>3158</v>
      </c>
      <c r="E679" s="7" t="s">
        <v>1179</v>
      </c>
      <c r="F679" s="7" t="s">
        <v>928</v>
      </c>
      <c r="G679" s="7" t="s">
        <v>1148</v>
      </c>
      <c r="H679" s="8" t="s">
        <v>393</v>
      </c>
      <c r="I679" s="8" t="s">
        <v>394</v>
      </c>
      <c r="J679" s="7" t="s">
        <v>133</v>
      </c>
      <c r="K679" s="7" t="s">
        <v>3159</v>
      </c>
      <c r="L679" s="7" t="n">
        <v>3</v>
      </c>
      <c r="M679" s="7" t="s">
        <v>392</v>
      </c>
      <c r="N679" s="7"/>
      <c r="O679" s="7" t="s">
        <v>1150</v>
      </c>
      <c r="P679" s="7" t="s">
        <v>1183</v>
      </c>
      <c r="Q679" s="7" t="s">
        <v>1152</v>
      </c>
      <c r="R679" s="8"/>
      <c r="S679" s="12"/>
      <c r="T679" s="12"/>
    </row>
    <row r="680" customFormat="false" ht="23.85" hidden="false" customHeight="false" outlineLevel="0" collapsed="false">
      <c r="A680" s="7" t="s">
        <v>3160</v>
      </c>
      <c r="B680" s="7" t="s">
        <v>371</v>
      </c>
      <c r="C680" s="7" t="s">
        <v>391</v>
      </c>
      <c r="D680" s="7" t="s">
        <v>3161</v>
      </c>
      <c r="E680" s="7" t="s">
        <v>1179</v>
      </c>
      <c r="F680" s="7" t="s">
        <v>928</v>
      </c>
      <c r="G680" s="7" t="s">
        <v>1148</v>
      </c>
      <c r="H680" s="8" t="s">
        <v>393</v>
      </c>
      <c r="I680" s="8" t="s">
        <v>394</v>
      </c>
      <c r="J680" s="7" t="s">
        <v>133</v>
      </c>
      <c r="K680" s="7" t="s">
        <v>3162</v>
      </c>
      <c r="L680" s="7" t="n">
        <v>3</v>
      </c>
      <c r="M680" s="7" t="s">
        <v>392</v>
      </c>
      <c r="N680" s="7"/>
      <c r="O680" s="7" t="s">
        <v>1150</v>
      </c>
      <c r="P680" s="7" t="s">
        <v>1183</v>
      </c>
      <c r="Q680" s="7" t="s">
        <v>1152</v>
      </c>
      <c r="R680" s="8"/>
      <c r="S680" s="12"/>
      <c r="T680" s="12"/>
    </row>
    <row r="681" customFormat="false" ht="23.85" hidden="false" customHeight="false" outlineLevel="0" collapsed="false">
      <c r="A681" s="7" t="s">
        <v>3163</v>
      </c>
      <c r="B681" s="7" t="s">
        <v>371</v>
      </c>
      <c r="C681" s="7" t="s">
        <v>391</v>
      </c>
      <c r="D681" s="7" t="s">
        <v>3164</v>
      </c>
      <c r="E681" s="7" t="s">
        <v>1179</v>
      </c>
      <c r="F681" s="7" t="s">
        <v>928</v>
      </c>
      <c r="G681" s="7" t="s">
        <v>1148</v>
      </c>
      <c r="H681" s="8" t="s">
        <v>393</v>
      </c>
      <c r="I681" s="8" t="s">
        <v>394</v>
      </c>
      <c r="J681" s="7" t="s">
        <v>133</v>
      </c>
      <c r="K681" s="7" t="s">
        <v>3165</v>
      </c>
      <c r="L681" s="7" t="n">
        <v>3</v>
      </c>
      <c r="M681" s="7" t="s">
        <v>392</v>
      </c>
      <c r="N681" s="7"/>
      <c r="O681" s="7" t="s">
        <v>1150</v>
      </c>
      <c r="P681" s="7" t="s">
        <v>1183</v>
      </c>
      <c r="Q681" s="7" t="s">
        <v>1152</v>
      </c>
      <c r="R681" s="8"/>
      <c r="S681" s="12"/>
      <c r="T681" s="12"/>
    </row>
    <row r="682" customFormat="false" ht="23.85" hidden="false" customHeight="false" outlineLevel="0" collapsed="false">
      <c r="A682" s="7" t="s">
        <v>3166</v>
      </c>
      <c r="B682" s="7" t="s">
        <v>371</v>
      </c>
      <c r="C682" s="7" t="s">
        <v>395</v>
      </c>
      <c r="D682" s="7" t="s">
        <v>395</v>
      </c>
      <c r="E682" s="7" t="s">
        <v>1137</v>
      </c>
      <c r="F682" s="7" t="s">
        <v>928</v>
      </c>
      <c r="G682" s="7" t="s">
        <v>1148</v>
      </c>
      <c r="H682" s="8" t="s">
        <v>3167</v>
      </c>
      <c r="I682" s="8" t="s">
        <v>126</v>
      </c>
      <c r="J682" s="7" t="s">
        <v>87</v>
      </c>
      <c r="K682" s="7" t="s">
        <v>396</v>
      </c>
      <c r="L682" s="7" t="n">
        <v>2</v>
      </c>
      <c r="M682" s="7" t="s">
        <v>372</v>
      </c>
      <c r="N682" s="7"/>
      <c r="O682" s="7" t="s">
        <v>1421</v>
      </c>
      <c r="P682" s="7" t="s">
        <v>1480</v>
      </c>
      <c r="Q682" s="7" t="s">
        <v>1152</v>
      </c>
      <c r="R682" s="8"/>
      <c r="S682" s="12"/>
      <c r="T682" s="12"/>
    </row>
    <row r="683" customFormat="false" ht="23.85" hidden="false" customHeight="false" outlineLevel="0" collapsed="false">
      <c r="A683" s="7" t="s">
        <v>3168</v>
      </c>
      <c r="B683" s="7" t="s">
        <v>371</v>
      </c>
      <c r="C683" s="7" t="s">
        <v>395</v>
      </c>
      <c r="D683" s="7" t="s">
        <v>3169</v>
      </c>
      <c r="E683" s="7" t="s">
        <v>1179</v>
      </c>
      <c r="F683" s="7" t="s">
        <v>928</v>
      </c>
      <c r="G683" s="7" t="s">
        <v>1148</v>
      </c>
      <c r="H683" s="8" t="s">
        <v>397</v>
      </c>
      <c r="I683" s="8" t="s">
        <v>126</v>
      </c>
      <c r="J683" s="7" t="s">
        <v>133</v>
      </c>
      <c r="K683" s="7" t="s">
        <v>3170</v>
      </c>
      <c r="L683" s="7" t="n">
        <v>3</v>
      </c>
      <c r="M683" s="7" t="s">
        <v>396</v>
      </c>
      <c r="N683" s="7"/>
      <c r="O683" s="7" t="s">
        <v>1421</v>
      </c>
      <c r="P683" s="7" t="s">
        <v>1480</v>
      </c>
      <c r="Q683" s="7" t="s">
        <v>1152</v>
      </c>
      <c r="R683" s="8"/>
      <c r="S683" s="12"/>
      <c r="T683" s="12"/>
    </row>
    <row r="684" customFormat="false" ht="23.85" hidden="false" customHeight="false" outlineLevel="0" collapsed="false">
      <c r="A684" s="7" t="s">
        <v>3171</v>
      </c>
      <c r="B684" s="7" t="s">
        <v>371</v>
      </c>
      <c r="C684" s="7" t="s">
        <v>395</v>
      </c>
      <c r="D684" s="7" t="s">
        <v>3172</v>
      </c>
      <c r="E684" s="7" t="s">
        <v>1179</v>
      </c>
      <c r="F684" s="7" t="s">
        <v>928</v>
      </c>
      <c r="G684" s="7" t="s">
        <v>1148</v>
      </c>
      <c r="H684" s="8" t="s">
        <v>397</v>
      </c>
      <c r="I684" s="8" t="s">
        <v>126</v>
      </c>
      <c r="J684" s="7" t="s">
        <v>133</v>
      </c>
      <c r="K684" s="7" t="s">
        <v>3173</v>
      </c>
      <c r="L684" s="7" t="n">
        <v>3</v>
      </c>
      <c r="M684" s="7" t="s">
        <v>396</v>
      </c>
      <c r="N684" s="7"/>
      <c r="O684" s="7" t="s">
        <v>1421</v>
      </c>
      <c r="P684" s="7" t="s">
        <v>1480</v>
      </c>
      <c r="Q684" s="7" t="s">
        <v>1152</v>
      </c>
      <c r="R684" s="8"/>
      <c r="S684" s="12"/>
      <c r="T684" s="12"/>
    </row>
    <row r="685" customFormat="false" ht="23.85" hidden="false" customHeight="false" outlineLevel="0" collapsed="false">
      <c r="A685" s="7" t="s">
        <v>3174</v>
      </c>
      <c r="B685" s="7" t="s">
        <v>371</v>
      </c>
      <c r="C685" s="7" t="s">
        <v>395</v>
      </c>
      <c r="D685" s="7" t="s">
        <v>3175</v>
      </c>
      <c r="E685" s="7" t="s">
        <v>1179</v>
      </c>
      <c r="F685" s="7" t="s">
        <v>928</v>
      </c>
      <c r="G685" s="7" t="s">
        <v>1148</v>
      </c>
      <c r="H685" s="8" t="s">
        <v>397</v>
      </c>
      <c r="I685" s="8" t="s">
        <v>126</v>
      </c>
      <c r="J685" s="7" t="s">
        <v>133</v>
      </c>
      <c r="K685" s="7" t="s">
        <v>3176</v>
      </c>
      <c r="L685" s="7" t="n">
        <v>3</v>
      </c>
      <c r="M685" s="7" t="s">
        <v>396</v>
      </c>
      <c r="N685" s="7"/>
      <c r="O685" s="7" t="s">
        <v>1421</v>
      </c>
      <c r="P685" s="7" t="s">
        <v>1480</v>
      </c>
      <c r="Q685" s="7" t="s">
        <v>1152</v>
      </c>
      <c r="R685" s="8"/>
      <c r="S685" s="12"/>
      <c r="T685" s="12"/>
    </row>
    <row r="686" customFormat="false" ht="35.05" hidden="false" customHeight="false" outlineLevel="0" collapsed="false">
      <c r="A686" s="7" t="s">
        <v>3177</v>
      </c>
      <c r="B686" s="7" t="s">
        <v>400</v>
      </c>
      <c r="C686" s="7" t="s">
        <v>404</v>
      </c>
      <c r="D686" s="7" t="s">
        <v>404</v>
      </c>
      <c r="E686" s="7" t="s">
        <v>1137</v>
      </c>
      <c r="F686" s="7" t="s">
        <v>928</v>
      </c>
      <c r="G686" s="7" t="s">
        <v>1148</v>
      </c>
      <c r="H686" s="8" t="s">
        <v>3178</v>
      </c>
      <c r="I686" s="8" t="s">
        <v>407</v>
      </c>
      <c r="J686" s="7" t="s">
        <v>87</v>
      </c>
      <c r="K686" s="7" t="s">
        <v>405</v>
      </c>
      <c r="L686" s="7" t="n">
        <v>2</v>
      </c>
      <c r="M686" s="7" t="s">
        <v>401</v>
      </c>
      <c r="N686" s="7"/>
      <c r="O686" s="7" t="s">
        <v>1150</v>
      </c>
      <c r="P686" s="7" t="s">
        <v>1151</v>
      </c>
      <c r="Q686" s="7" t="s">
        <v>1152</v>
      </c>
      <c r="R686" s="8"/>
      <c r="S686" s="12"/>
      <c r="T686" s="12"/>
    </row>
    <row r="687" customFormat="false" ht="23.85" hidden="false" customHeight="false" outlineLevel="0" collapsed="false">
      <c r="A687" s="7" t="s">
        <v>3179</v>
      </c>
      <c r="B687" s="7" t="s">
        <v>400</v>
      </c>
      <c r="C687" s="7" t="s">
        <v>404</v>
      </c>
      <c r="D687" s="7" t="s">
        <v>3180</v>
      </c>
      <c r="E687" s="7" t="s">
        <v>1179</v>
      </c>
      <c r="F687" s="7" t="s">
        <v>943</v>
      </c>
      <c r="G687" s="7" t="s">
        <v>1424</v>
      </c>
      <c r="H687" s="8" t="s">
        <v>406</v>
      </c>
      <c r="I687" s="8" t="s">
        <v>407</v>
      </c>
      <c r="J687" s="7" t="s">
        <v>133</v>
      </c>
      <c r="K687" s="7" t="s">
        <v>3181</v>
      </c>
      <c r="L687" s="7" t="n">
        <v>3</v>
      </c>
      <c r="M687" s="7" t="s">
        <v>405</v>
      </c>
      <c r="N687" s="7"/>
      <c r="O687" s="7" t="s">
        <v>1150</v>
      </c>
      <c r="P687" s="7" t="s">
        <v>1151</v>
      </c>
      <c r="Q687" s="7" t="s">
        <v>1184</v>
      </c>
      <c r="R687" s="8"/>
      <c r="S687" s="12"/>
      <c r="T687" s="12"/>
    </row>
    <row r="688" customFormat="false" ht="23.85" hidden="false" customHeight="false" outlineLevel="0" collapsed="false">
      <c r="A688" s="7" t="s">
        <v>3182</v>
      </c>
      <c r="B688" s="7" t="s">
        <v>400</v>
      </c>
      <c r="C688" s="7" t="s">
        <v>404</v>
      </c>
      <c r="D688" s="7" t="s">
        <v>3183</v>
      </c>
      <c r="E688" s="7" t="s">
        <v>1179</v>
      </c>
      <c r="F688" s="7" t="s">
        <v>943</v>
      </c>
      <c r="G688" s="7" t="s">
        <v>1424</v>
      </c>
      <c r="H688" s="8" t="s">
        <v>406</v>
      </c>
      <c r="I688" s="8" t="s">
        <v>407</v>
      </c>
      <c r="J688" s="7" t="s">
        <v>133</v>
      </c>
      <c r="K688" s="7" t="s">
        <v>3184</v>
      </c>
      <c r="L688" s="7" t="n">
        <v>3</v>
      </c>
      <c r="M688" s="7" t="s">
        <v>405</v>
      </c>
      <c r="N688" s="7"/>
      <c r="O688" s="7" t="s">
        <v>1150</v>
      </c>
      <c r="P688" s="7" t="s">
        <v>1183</v>
      </c>
      <c r="Q688" s="7" t="s">
        <v>1152</v>
      </c>
      <c r="R688" s="8"/>
      <c r="S688" s="12"/>
      <c r="T688" s="12"/>
    </row>
    <row r="689" customFormat="false" ht="23.85" hidden="false" customHeight="false" outlineLevel="0" collapsed="false">
      <c r="A689" s="7" t="s">
        <v>3185</v>
      </c>
      <c r="B689" s="7" t="s">
        <v>400</v>
      </c>
      <c r="C689" s="7" t="s">
        <v>404</v>
      </c>
      <c r="D689" s="7" t="s">
        <v>3186</v>
      </c>
      <c r="E689" s="7" t="s">
        <v>1179</v>
      </c>
      <c r="F689" s="7" t="s">
        <v>943</v>
      </c>
      <c r="G689" s="7" t="s">
        <v>1424</v>
      </c>
      <c r="H689" s="8" t="s">
        <v>406</v>
      </c>
      <c r="I689" s="8" t="s">
        <v>407</v>
      </c>
      <c r="J689" s="7" t="s">
        <v>133</v>
      </c>
      <c r="K689" s="7" t="s">
        <v>3187</v>
      </c>
      <c r="L689" s="7" t="n">
        <v>3</v>
      </c>
      <c r="M689" s="7" t="s">
        <v>405</v>
      </c>
      <c r="N689" s="7"/>
      <c r="O689" s="7" t="s">
        <v>1150</v>
      </c>
      <c r="P689" s="7" t="s">
        <v>1183</v>
      </c>
      <c r="Q689" s="7" t="s">
        <v>1152</v>
      </c>
      <c r="R689" s="8"/>
      <c r="S689" s="12"/>
      <c r="T689" s="12"/>
    </row>
    <row r="690" customFormat="false" ht="23.85" hidden="false" customHeight="false" outlineLevel="0" collapsed="false">
      <c r="A690" s="7" t="s">
        <v>3188</v>
      </c>
      <c r="B690" s="7" t="s">
        <v>400</v>
      </c>
      <c r="C690" s="7" t="s">
        <v>404</v>
      </c>
      <c r="D690" s="7" t="s">
        <v>3189</v>
      </c>
      <c r="E690" s="7" t="s">
        <v>1179</v>
      </c>
      <c r="F690" s="7" t="s">
        <v>943</v>
      </c>
      <c r="G690" s="7" t="s">
        <v>1424</v>
      </c>
      <c r="H690" s="8" t="s">
        <v>406</v>
      </c>
      <c r="I690" s="8" t="s">
        <v>407</v>
      </c>
      <c r="J690" s="7" t="s">
        <v>133</v>
      </c>
      <c r="K690" s="7" t="s">
        <v>3190</v>
      </c>
      <c r="L690" s="7" t="n">
        <v>3</v>
      </c>
      <c r="M690" s="7" t="s">
        <v>405</v>
      </c>
      <c r="N690" s="7"/>
      <c r="O690" s="7" t="s">
        <v>1150</v>
      </c>
      <c r="P690" s="7" t="s">
        <v>1183</v>
      </c>
      <c r="Q690" s="7" t="s">
        <v>1152</v>
      </c>
      <c r="R690" s="8"/>
      <c r="S690" s="12"/>
      <c r="T690" s="12"/>
    </row>
    <row r="691" customFormat="false" ht="23.85" hidden="false" customHeight="false" outlineLevel="0" collapsed="false">
      <c r="A691" s="7" t="s">
        <v>3191</v>
      </c>
      <c r="B691" s="7" t="s">
        <v>400</v>
      </c>
      <c r="C691" s="7" t="s">
        <v>404</v>
      </c>
      <c r="D691" s="7" t="s">
        <v>3192</v>
      </c>
      <c r="E691" s="7" t="s">
        <v>1179</v>
      </c>
      <c r="F691" s="7" t="s">
        <v>943</v>
      </c>
      <c r="G691" s="7" t="s">
        <v>1424</v>
      </c>
      <c r="H691" s="8" t="s">
        <v>406</v>
      </c>
      <c r="I691" s="8" t="s">
        <v>407</v>
      </c>
      <c r="J691" s="7" t="s">
        <v>133</v>
      </c>
      <c r="K691" s="7" t="s">
        <v>3193</v>
      </c>
      <c r="L691" s="7" t="n">
        <v>3</v>
      </c>
      <c r="M691" s="7" t="s">
        <v>405</v>
      </c>
      <c r="N691" s="7"/>
      <c r="O691" s="7" t="s">
        <v>1150</v>
      </c>
      <c r="P691" s="7" t="s">
        <v>1183</v>
      </c>
      <c r="Q691" s="7" t="s">
        <v>1152</v>
      </c>
      <c r="R691" s="8"/>
      <c r="S691" s="12"/>
      <c r="T691" s="12"/>
    </row>
    <row r="692" customFormat="false" ht="35.05" hidden="false" customHeight="false" outlineLevel="0" collapsed="false">
      <c r="A692" s="7" t="s">
        <v>3194</v>
      </c>
      <c r="B692" s="7" t="s">
        <v>400</v>
      </c>
      <c r="C692" s="7" t="s">
        <v>408</v>
      </c>
      <c r="D692" s="7" t="s">
        <v>408</v>
      </c>
      <c r="E692" s="7" t="s">
        <v>1137</v>
      </c>
      <c r="F692" s="7" t="s">
        <v>928</v>
      </c>
      <c r="G692" s="7" t="s">
        <v>1148</v>
      </c>
      <c r="H692" s="8" t="s">
        <v>3195</v>
      </c>
      <c r="I692" s="8" t="s">
        <v>220</v>
      </c>
      <c r="J692" s="7" t="s">
        <v>87</v>
      </c>
      <c r="K692" s="7" t="s">
        <v>409</v>
      </c>
      <c r="L692" s="7" t="n">
        <v>2</v>
      </c>
      <c r="M692" s="7" t="s">
        <v>401</v>
      </c>
      <c r="N692" s="7"/>
      <c r="O692" s="7" t="s">
        <v>1150</v>
      </c>
      <c r="P692" s="7" t="s">
        <v>1151</v>
      </c>
      <c r="Q692" s="7" t="s">
        <v>1152</v>
      </c>
      <c r="R692" s="8"/>
      <c r="S692" s="12"/>
      <c r="T692" s="12"/>
    </row>
    <row r="693" customFormat="false" ht="35.05" hidden="false" customHeight="false" outlineLevel="0" collapsed="false">
      <c r="A693" s="7" t="s">
        <v>3196</v>
      </c>
      <c r="B693" s="7" t="s">
        <v>400</v>
      </c>
      <c r="C693" s="7" t="s">
        <v>408</v>
      </c>
      <c r="D693" s="7" t="s">
        <v>3197</v>
      </c>
      <c r="E693" s="7" t="s">
        <v>1179</v>
      </c>
      <c r="F693" s="7" t="s">
        <v>943</v>
      </c>
      <c r="G693" s="7" t="s">
        <v>1424</v>
      </c>
      <c r="H693" s="8" t="s">
        <v>410</v>
      </c>
      <c r="I693" s="8" t="s">
        <v>220</v>
      </c>
      <c r="J693" s="7" t="s">
        <v>133</v>
      </c>
      <c r="K693" s="7" t="s">
        <v>3198</v>
      </c>
      <c r="L693" s="7" t="n">
        <v>3</v>
      </c>
      <c r="M693" s="7" t="s">
        <v>409</v>
      </c>
      <c r="N693" s="7"/>
      <c r="O693" s="7" t="s">
        <v>1150</v>
      </c>
      <c r="P693" s="7" t="s">
        <v>1183</v>
      </c>
      <c r="Q693" s="7" t="s">
        <v>1184</v>
      </c>
      <c r="R693" s="8"/>
      <c r="S693" s="12"/>
      <c r="T693" s="12"/>
    </row>
    <row r="694" customFormat="false" ht="35.05" hidden="false" customHeight="false" outlineLevel="0" collapsed="false">
      <c r="A694" s="7" t="s">
        <v>3199</v>
      </c>
      <c r="B694" s="7" t="s">
        <v>400</v>
      </c>
      <c r="C694" s="7" t="s">
        <v>408</v>
      </c>
      <c r="D694" s="7" t="s">
        <v>3200</v>
      </c>
      <c r="E694" s="7" t="s">
        <v>1179</v>
      </c>
      <c r="F694" s="7" t="s">
        <v>943</v>
      </c>
      <c r="G694" s="7" t="s">
        <v>1424</v>
      </c>
      <c r="H694" s="8" t="s">
        <v>410</v>
      </c>
      <c r="I694" s="8" t="s">
        <v>220</v>
      </c>
      <c r="J694" s="7" t="s">
        <v>133</v>
      </c>
      <c r="K694" s="7" t="s">
        <v>3201</v>
      </c>
      <c r="L694" s="7" t="n">
        <v>3</v>
      </c>
      <c r="M694" s="7" t="s">
        <v>409</v>
      </c>
      <c r="N694" s="7"/>
      <c r="O694" s="7" t="s">
        <v>1150</v>
      </c>
      <c r="P694" s="7" t="s">
        <v>1183</v>
      </c>
      <c r="Q694" s="7" t="s">
        <v>1152</v>
      </c>
      <c r="R694" s="8"/>
      <c r="S694" s="12"/>
      <c r="T694" s="12"/>
    </row>
    <row r="695" customFormat="false" ht="35.05" hidden="false" customHeight="false" outlineLevel="0" collapsed="false">
      <c r="A695" s="7" t="s">
        <v>3202</v>
      </c>
      <c r="B695" s="7" t="s">
        <v>400</v>
      </c>
      <c r="C695" s="7" t="s">
        <v>408</v>
      </c>
      <c r="D695" s="7" t="s">
        <v>3203</v>
      </c>
      <c r="E695" s="7" t="s">
        <v>1179</v>
      </c>
      <c r="F695" s="7" t="s">
        <v>943</v>
      </c>
      <c r="G695" s="7" t="s">
        <v>1424</v>
      </c>
      <c r="H695" s="8" t="s">
        <v>410</v>
      </c>
      <c r="I695" s="8" t="s">
        <v>220</v>
      </c>
      <c r="J695" s="7" t="s">
        <v>133</v>
      </c>
      <c r="K695" s="7" t="s">
        <v>3204</v>
      </c>
      <c r="L695" s="7" t="n">
        <v>3</v>
      </c>
      <c r="M695" s="7" t="s">
        <v>409</v>
      </c>
      <c r="N695" s="7"/>
      <c r="O695" s="7" t="s">
        <v>1150</v>
      </c>
      <c r="P695" s="7" t="s">
        <v>1183</v>
      </c>
      <c r="Q695" s="7" t="s">
        <v>1152</v>
      </c>
      <c r="R695" s="8"/>
      <c r="S695" s="12"/>
      <c r="T695" s="12"/>
    </row>
    <row r="696" customFormat="false" ht="35.05" hidden="false" customHeight="false" outlineLevel="0" collapsed="false">
      <c r="A696" s="7" t="s">
        <v>3205</v>
      </c>
      <c r="B696" s="7" t="s">
        <v>400</v>
      </c>
      <c r="C696" s="7" t="s">
        <v>408</v>
      </c>
      <c r="D696" s="7" t="s">
        <v>3206</v>
      </c>
      <c r="E696" s="7" t="s">
        <v>1179</v>
      </c>
      <c r="F696" s="7" t="s">
        <v>943</v>
      </c>
      <c r="G696" s="7" t="s">
        <v>1424</v>
      </c>
      <c r="H696" s="8" t="s">
        <v>410</v>
      </c>
      <c r="I696" s="8" t="s">
        <v>220</v>
      </c>
      <c r="J696" s="7" t="s">
        <v>133</v>
      </c>
      <c r="K696" s="7" t="s">
        <v>3207</v>
      </c>
      <c r="L696" s="7" t="n">
        <v>3</v>
      </c>
      <c r="M696" s="7" t="s">
        <v>409</v>
      </c>
      <c r="N696" s="7"/>
      <c r="O696" s="7" t="s">
        <v>1150</v>
      </c>
      <c r="P696" s="7" t="s">
        <v>1183</v>
      </c>
      <c r="Q696" s="7" t="s">
        <v>1152</v>
      </c>
      <c r="R696" s="8"/>
      <c r="S696" s="12"/>
      <c r="T696" s="12"/>
    </row>
    <row r="697" customFormat="false" ht="35.05" hidden="false" customHeight="false" outlineLevel="0" collapsed="false">
      <c r="A697" s="7" t="s">
        <v>3208</v>
      </c>
      <c r="B697" s="7" t="s">
        <v>400</v>
      </c>
      <c r="C697" s="7" t="s">
        <v>408</v>
      </c>
      <c r="D697" s="7" t="s">
        <v>3209</v>
      </c>
      <c r="E697" s="7" t="s">
        <v>1179</v>
      </c>
      <c r="F697" s="7" t="s">
        <v>943</v>
      </c>
      <c r="G697" s="7" t="s">
        <v>1424</v>
      </c>
      <c r="H697" s="8" t="s">
        <v>410</v>
      </c>
      <c r="I697" s="8" t="s">
        <v>220</v>
      </c>
      <c r="J697" s="7" t="s">
        <v>133</v>
      </c>
      <c r="K697" s="7" t="s">
        <v>3210</v>
      </c>
      <c r="L697" s="7" t="n">
        <v>3</v>
      </c>
      <c r="M697" s="7" t="s">
        <v>409</v>
      </c>
      <c r="N697" s="7"/>
      <c r="O697" s="7" t="s">
        <v>1150</v>
      </c>
      <c r="P697" s="7" t="s">
        <v>1151</v>
      </c>
      <c r="Q697" s="7" t="s">
        <v>1152</v>
      </c>
      <c r="R697" s="8"/>
      <c r="S697" s="12"/>
      <c r="T697" s="12"/>
    </row>
    <row r="698" customFormat="false" ht="35.05" hidden="false" customHeight="false" outlineLevel="0" collapsed="false">
      <c r="A698" s="7" t="s">
        <v>3211</v>
      </c>
      <c r="B698" s="7" t="s">
        <v>400</v>
      </c>
      <c r="C698" s="7" t="s">
        <v>408</v>
      </c>
      <c r="D698" s="7" t="s">
        <v>3212</v>
      </c>
      <c r="E698" s="7" t="s">
        <v>1179</v>
      </c>
      <c r="F698" s="7" t="s">
        <v>943</v>
      </c>
      <c r="G698" s="7" t="s">
        <v>1424</v>
      </c>
      <c r="H698" s="8" t="s">
        <v>3213</v>
      </c>
      <c r="I698" s="8" t="s">
        <v>220</v>
      </c>
      <c r="J698" s="7" t="s">
        <v>133</v>
      </c>
      <c r="K698" s="7" t="s">
        <v>3214</v>
      </c>
      <c r="L698" s="7" t="n">
        <v>3</v>
      </c>
      <c r="M698" s="7" t="s">
        <v>409</v>
      </c>
      <c r="N698" s="7"/>
      <c r="O698" s="7" t="s">
        <v>1150</v>
      </c>
      <c r="P698" s="7" t="s">
        <v>1183</v>
      </c>
      <c r="Q698" s="7" t="s">
        <v>1152</v>
      </c>
      <c r="R698" s="8"/>
      <c r="S698" s="12"/>
      <c r="T698" s="12"/>
    </row>
    <row r="699" customFormat="false" ht="35.05" hidden="false" customHeight="false" outlineLevel="0" collapsed="false">
      <c r="A699" s="7" t="s">
        <v>3215</v>
      </c>
      <c r="B699" s="7" t="s">
        <v>400</v>
      </c>
      <c r="C699" s="7" t="s">
        <v>411</v>
      </c>
      <c r="D699" s="7" t="s">
        <v>411</v>
      </c>
      <c r="E699" s="7" t="s">
        <v>1137</v>
      </c>
      <c r="F699" s="7" t="s">
        <v>928</v>
      </c>
      <c r="G699" s="7" t="s">
        <v>1148</v>
      </c>
      <c r="H699" s="8" t="s">
        <v>3216</v>
      </c>
      <c r="I699" s="8" t="s">
        <v>414</v>
      </c>
      <c r="J699" s="7" t="s">
        <v>87</v>
      </c>
      <c r="K699" s="7" t="s">
        <v>412</v>
      </c>
      <c r="L699" s="7" t="n">
        <v>2</v>
      </c>
      <c r="M699" s="7" t="s">
        <v>401</v>
      </c>
      <c r="N699" s="7"/>
      <c r="O699" s="7" t="s">
        <v>1150</v>
      </c>
      <c r="P699" s="7" t="s">
        <v>1183</v>
      </c>
      <c r="Q699" s="7" t="s">
        <v>1152</v>
      </c>
      <c r="R699" s="8"/>
      <c r="S699" s="12"/>
      <c r="T699" s="12"/>
    </row>
    <row r="700" customFormat="false" ht="23.85" hidden="false" customHeight="false" outlineLevel="0" collapsed="false">
      <c r="A700" s="7" t="s">
        <v>3217</v>
      </c>
      <c r="B700" s="7" t="s">
        <v>400</v>
      </c>
      <c r="C700" s="7" t="s">
        <v>411</v>
      </c>
      <c r="D700" s="7" t="s">
        <v>3218</v>
      </c>
      <c r="E700" s="7" t="s">
        <v>1179</v>
      </c>
      <c r="F700" s="7" t="s">
        <v>943</v>
      </c>
      <c r="G700" s="7" t="s">
        <v>1424</v>
      </c>
      <c r="H700" s="8" t="s">
        <v>413</v>
      </c>
      <c r="I700" s="8" t="s">
        <v>414</v>
      </c>
      <c r="J700" s="7" t="s">
        <v>133</v>
      </c>
      <c r="K700" s="7" t="s">
        <v>3219</v>
      </c>
      <c r="L700" s="7" t="n">
        <v>3</v>
      </c>
      <c r="M700" s="7" t="s">
        <v>412</v>
      </c>
      <c r="N700" s="7"/>
      <c r="O700" s="7" t="s">
        <v>1150</v>
      </c>
      <c r="P700" s="7" t="s">
        <v>1151</v>
      </c>
      <c r="Q700" s="7" t="s">
        <v>1152</v>
      </c>
      <c r="R700" s="8"/>
      <c r="S700" s="12"/>
      <c r="T700" s="12"/>
    </row>
    <row r="701" customFormat="false" ht="23.85" hidden="false" customHeight="false" outlineLevel="0" collapsed="false">
      <c r="A701" s="7" t="s">
        <v>3220</v>
      </c>
      <c r="B701" s="7" t="s">
        <v>400</v>
      </c>
      <c r="C701" s="7" t="s">
        <v>411</v>
      </c>
      <c r="D701" s="7" t="s">
        <v>3221</v>
      </c>
      <c r="E701" s="7" t="s">
        <v>1179</v>
      </c>
      <c r="F701" s="7" t="s">
        <v>943</v>
      </c>
      <c r="G701" s="7" t="s">
        <v>1424</v>
      </c>
      <c r="H701" s="8" t="s">
        <v>413</v>
      </c>
      <c r="I701" s="8" t="s">
        <v>414</v>
      </c>
      <c r="J701" s="7" t="s">
        <v>133</v>
      </c>
      <c r="K701" s="7" t="s">
        <v>3222</v>
      </c>
      <c r="L701" s="7" t="n">
        <v>3</v>
      </c>
      <c r="M701" s="7" t="s">
        <v>412</v>
      </c>
      <c r="N701" s="7"/>
      <c r="O701" s="7" t="s">
        <v>1150</v>
      </c>
      <c r="P701" s="7" t="s">
        <v>1183</v>
      </c>
      <c r="Q701" s="7" t="s">
        <v>1152</v>
      </c>
      <c r="R701" s="8"/>
      <c r="S701" s="12"/>
      <c r="T701" s="12"/>
    </row>
    <row r="702" customFormat="false" ht="23.85" hidden="false" customHeight="false" outlineLevel="0" collapsed="false">
      <c r="A702" s="7" t="s">
        <v>3223</v>
      </c>
      <c r="B702" s="7" t="s">
        <v>400</v>
      </c>
      <c r="C702" s="7" t="s">
        <v>411</v>
      </c>
      <c r="D702" s="7" t="s">
        <v>3224</v>
      </c>
      <c r="E702" s="7" t="s">
        <v>1179</v>
      </c>
      <c r="F702" s="7" t="s">
        <v>943</v>
      </c>
      <c r="G702" s="7" t="s">
        <v>1424</v>
      </c>
      <c r="H702" s="8" t="s">
        <v>413</v>
      </c>
      <c r="I702" s="8" t="s">
        <v>414</v>
      </c>
      <c r="J702" s="7" t="s">
        <v>133</v>
      </c>
      <c r="K702" s="7" t="s">
        <v>3225</v>
      </c>
      <c r="L702" s="7" t="n">
        <v>3</v>
      </c>
      <c r="M702" s="7" t="s">
        <v>412</v>
      </c>
      <c r="N702" s="7"/>
      <c r="O702" s="7" t="s">
        <v>1150</v>
      </c>
      <c r="P702" s="7" t="s">
        <v>1183</v>
      </c>
      <c r="Q702" s="7" t="s">
        <v>1152</v>
      </c>
      <c r="R702" s="8"/>
      <c r="S702" s="12"/>
      <c r="T702" s="12"/>
    </row>
    <row r="703" customFormat="false" ht="23.85" hidden="false" customHeight="false" outlineLevel="0" collapsed="false">
      <c r="A703" s="7" t="s">
        <v>3226</v>
      </c>
      <c r="B703" s="7" t="s">
        <v>400</v>
      </c>
      <c r="C703" s="7" t="s">
        <v>411</v>
      </c>
      <c r="D703" s="7" t="s">
        <v>3227</v>
      </c>
      <c r="E703" s="7" t="s">
        <v>1179</v>
      </c>
      <c r="F703" s="7" t="s">
        <v>943</v>
      </c>
      <c r="G703" s="7" t="s">
        <v>1424</v>
      </c>
      <c r="H703" s="8" t="s">
        <v>413</v>
      </c>
      <c r="I703" s="8" t="s">
        <v>414</v>
      </c>
      <c r="J703" s="7" t="s">
        <v>133</v>
      </c>
      <c r="K703" s="7" t="s">
        <v>3228</v>
      </c>
      <c r="L703" s="7" t="n">
        <v>3</v>
      </c>
      <c r="M703" s="7" t="s">
        <v>412</v>
      </c>
      <c r="N703" s="7"/>
      <c r="O703" s="7" t="s">
        <v>1150</v>
      </c>
      <c r="P703" s="7" t="s">
        <v>1183</v>
      </c>
      <c r="Q703" s="7" t="s">
        <v>1152</v>
      </c>
      <c r="R703" s="8"/>
      <c r="S703" s="12"/>
      <c r="T703" s="12"/>
    </row>
    <row r="704" customFormat="false" ht="35.05" hidden="false" customHeight="false" outlineLevel="0" collapsed="false">
      <c r="A704" s="7" t="s">
        <v>3229</v>
      </c>
      <c r="B704" s="7" t="s">
        <v>400</v>
      </c>
      <c r="C704" s="7" t="s">
        <v>415</v>
      </c>
      <c r="D704" s="7" t="s">
        <v>415</v>
      </c>
      <c r="E704" s="7" t="s">
        <v>1137</v>
      </c>
      <c r="F704" s="7" t="s">
        <v>928</v>
      </c>
      <c r="G704" s="7" t="s">
        <v>1148</v>
      </c>
      <c r="H704" s="8" t="s">
        <v>3230</v>
      </c>
      <c r="I704" s="8" t="s">
        <v>418</v>
      </c>
      <c r="J704" s="7" t="s">
        <v>87</v>
      </c>
      <c r="K704" s="7" t="s">
        <v>416</v>
      </c>
      <c r="L704" s="7" t="n">
        <v>2</v>
      </c>
      <c r="M704" s="7" t="s">
        <v>401</v>
      </c>
      <c r="N704" s="7"/>
      <c r="O704" s="7" t="s">
        <v>1150</v>
      </c>
      <c r="P704" s="7" t="s">
        <v>1151</v>
      </c>
      <c r="Q704" s="7" t="s">
        <v>1152</v>
      </c>
      <c r="R704" s="8"/>
      <c r="S704" s="12"/>
      <c r="T704" s="12"/>
    </row>
    <row r="705" customFormat="false" ht="23.85" hidden="false" customHeight="false" outlineLevel="0" collapsed="false">
      <c r="A705" s="7" t="s">
        <v>3231</v>
      </c>
      <c r="B705" s="7" t="s">
        <v>400</v>
      </c>
      <c r="C705" s="7" t="s">
        <v>415</v>
      </c>
      <c r="D705" s="7" t="s">
        <v>3232</v>
      </c>
      <c r="E705" s="7" t="s">
        <v>1179</v>
      </c>
      <c r="F705" s="7" t="s">
        <v>943</v>
      </c>
      <c r="G705" s="7" t="s">
        <v>1424</v>
      </c>
      <c r="H705" s="8" t="s">
        <v>417</v>
      </c>
      <c r="I705" s="8" t="s">
        <v>418</v>
      </c>
      <c r="J705" s="7" t="s">
        <v>133</v>
      </c>
      <c r="K705" s="7" t="s">
        <v>3233</v>
      </c>
      <c r="L705" s="7" t="n">
        <v>3</v>
      </c>
      <c r="M705" s="7" t="s">
        <v>416</v>
      </c>
      <c r="N705" s="7"/>
      <c r="O705" s="7" t="s">
        <v>1150</v>
      </c>
      <c r="P705" s="7" t="s">
        <v>1151</v>
      </c>
      <c r="Q705" s="7" t="s">
        <v>1152</v>
      </c>
      <c r="R705" s="8"/>
      <c r="S705" s="12"/>
      <c r="T705" s="12"/>
    </row>
    <row r="706" customFormat="false" ht="23.85" hidden="false" customHeight="false" outlineLevel="0" collapsed="false">
      <c r="A706" s="7" t="s">
        <v>3234</v>
      </c>
      <c r="B706" s="7" t="s">
        <v>400</v>
      </c>
      <c r="C706" s="7" t="s">
        <v>415</v>
      </c>
      <c r="D706" s="7" t="s">
        <v>3235</v>
      </c>
      <c r="E706" s="7" t="s">
        <v>1179</v>
      </c>
      <c r="F706" s="7" t="s">
        <v>943</v>
      </c>
      <c r="G706" s="7" t="s">
        <v>1424</v>
      </c>
      <c r="H706" s="8" t="s">
        <v>417</v>
      </c>
      <c r="I706" s="8" t="s">
        <v>418</v>
      </c>
      <c r="J706" s="7" t="s">
        <v>133</v>
      </c>
      <c r="K706" s="7" t="s">
        <v>3236</v>
      </c>
      <c r="L706" s="7" t="n">
        <v>3</v>
      </c>
      <c r="M706" s="7" t="s">
        <v>416</v>
      </c>
      <c r="N706" s="7"/>
      <c r="O706" s="7" t="s">
        <v>1150</v>
      </c>
      <c r="P706" s="7" t="s">
        <v>1183</v>
      </c>
      <c r="Q706" s="7" t="s">
        <v>1152</v>
      </c>
      <c r="R706" s="8"/>
      <c r="S706" s="12"/>
      <c r="T706" s="12"/>
    </row>
    <row r="707" customFormat="false" ht="23.85" hidden="false" customHeight="false" outlineLevel="0" collapsed="false">
      <c r="A707" s="7" t="s">
        <v>3237</v>
      </c>
      <c r="B707" s="7" t="s">
        <v>400</v>
      </c>
      <c r="C707" s="7" t="s">
        <v>415</v>
      </c>
      <c r="D707" s="7" t="s">
        <v>3238</v>
      </c>
      <c r="E707" s="7" t="s">
        <v>1179</v>
      </c>
      <c r="F707" s="7" t="s">
        <v>943</v>
      </c>
      <c r="G707" s="7" t="s">
        <v>1424</v>
      </c>
      <c r="H707" s="8" t="s">
        <v>417</v>
      </c>
      <c r="I707" s="8" t="s">
        <v>418</v>
      </c>
      <c r="J707" s="7" t="s">
        <v>133</v>
      </c>
      <c r="K707" s="7" t="s">
        <v>3239</v>
      </c>
      <c r="L707" s="7" t="n">
        <v>3</v>
      </c>
      <c r="M707" s="7" t="s">
        <v>416</v>
      </c>
      <c r="N707" s="7"/>
      <c r="O707" s="7" t="s">
        <v>1150</v>
      </c>
      <c r="P707" s="7" t="s">
        <v>1183</v>
      </c>
      <c r="Q707" s="7" t="s">
        <v>1152</v>
      </c>
      <c r="R707" s="8"/>
      <c r="S707" s="12"/>
      <c r="T707" s="12"/>
    </row>
    <row r="708" customFormat="false" ht="35.05" hidden="false" customHeight="false" outlineLevel="0" collapsed="false">
      <c r="A708" s="7" t="s">
        <v>3240</v>
      </c>
      <c r="B708" s="7" t="s">
        <v>400</v>
      </c>
      <c r="C708" s="7" t="s">
        <v>415</v>
      </c>
      <c r="D708" s="7" t="s">
        <v>3241</v>
      </c>
      <c r="E708" s="7" t="s">
        <v>1179</v>
      </c>
      <c r="F708" s="7" t="s">
        <v>943</v>
      </c>
      <c r="G708" s="7" t="s">
        <v>1424</v>
      </c>
      <c r="H708" s="8" t="s">
        <v>3242</v>
      </c>
      <c r="I708" s="8" t="s">
        <v>418</v>
      </c>
      <c r="J708" s="7" t="s">
        <v>133</v>
      </c>
      <c r="K708" s="7" t="s">
        <v>3243</v>
      </c>
      <c r="L708" s="7" t="n">
        <v>3</v>
      </c>
      <c r="M708" s="7" t="s">
        <v>416</v>
      </c>
      <c r="N708" s="7"/>
      <c r="O708" s="7" t="s">
        <v>1150</v>
      </c>
      <c r="P708" s="7" t="s">
        <v>1183</v>
      </c>
      <c r="Q708" s="7" t="s">
        <v>1152</v>
      </c>
      <c r="R708" s="8"/>
      <c r="S708" s="12"/>
      <c r="T708" s="12"/>
    </row>
    <row r="709" customFormat="false" ht="35.05" hidden="false" customHeight="false" outlineLevel="0" collapsed="false">
      <c r="A709" s="7" t="s">
        <v>3244</v>
      </c>
      <c r="B709" s="7" t="s">
        <v>400</v>
      </c>
      <c r="C709" s="7" t="s">
        <v>419</v>
      </c>
      <c r="D709" s="7" t="s">
        <v>419</v>
      </c>
      <c r="E709" s="7" t="s">
        <v>1137</v>
      </c>
      <c r="F709" s="7" t="s">
        <v>928</v>
      </c>
      <c r="G709" s="7" t="s">
        <v>1148</v>
      </c>
      <c r="H709" s="8" t="s">
        <v>3245</v>
      </c>
      <c r="I709" s="8" t="s">
        <v>422</v>
      </c>
      <c r="J709" s="7" t="s">
        <v>87</v>
      </c>
      <c r="K709" s="7" t="s">
        <v>420</v>
      </c>
      <c r="L709" s="7" t="n">
        <v>2</v>
      </c>
      <c r="M709" s="7" t="s">
        <v>401</v>
      </c>
      <c r="N709" s="7"/>
      <c r="O709" s="7" t="s">
        <v>1421</v>
      </c>
      <c r="P709" s="7" t="s">
        <v>1183</v>
      </c>
      <c r="Q709" s="7" t="s">
        <v>1152</v>
      </c>
      <c r="R709" s="8"/>
      <c r="S709" s="12"/>
      <c r="T709" s="12"/>
    </row>
    <row r="710" customFormat="false" ht="23.85" hidden="false" customHeight="false" outlineLevel="0" collapsed="false">
      <c r="A710" s="7" t="s">
        <v>3246</v>
      </c>
      <c r="B710" s="7" t="s">
        <v>400</v>
      </c>
      <c r="C710" s="7" t="s">
        <v>419</v>
      </c>
      <c r="D710" s="7" t="s">
        <v>3247</v>
      </c>
      <c r="E710" s="7" t="s">
        <v>1179</v>
      </c>
      <c r="F710" s="7" t="s">
        <v>943</v>
      </c>
      <c r="G710" s="7" t="s">
        <v>1424</v>
      </c>
      <c r="H710" s="8" t="s">
        <v>421</v>
      </c>
      <c r="I710" s="8" t="s">
        <v>422</v>
      </c>
      <c r="J710" s="7" t="s">
        <v>133</v>
      </c>
      <c r="K710" s="7" t="s">
        <v>3248</v>
      </c>
      <c r="L710" s="7" t="n">
        <v>3</v>
      </c>
      <c r="M710" s="7" t="s">
        <v>420</v>
      </c>
      <c r="N710" s="7"/>
      <c r="O710" s="7" t="s">
        <v>1421</v>
      </c>
      <c r="P710" s="7" t="s">
        <v>1183</v>
      </c>
      <c r="Q710" s="7" t="s">
        <v>1152</v>
      </c>
      <c r="R710" s="8"/>
      <c r="S710" s="12"/>
      <c r="T710" s="12"/>
    </row>
    <row r="711" customFormat="false" ht="35.05" hidden="false" customHeight="false" outlineLevel="0" collapsed="false">
      <c r="A711" s="7" t="s">
        <v>3249</v>
      </c>
      <c r="B711" s="7" t="s">
        <v>400</v>
      </c>
      <c r="C711" s="7" t="s">
        <v>419</v>
      </c>
      <c r="D711" s="7" t="s">
        <v>3250</v>
      </c>
      <c r="E711" s="7" t="s">
        <v>1179</v>
      </c>
      <c r="F711" s="7" t="s">
        <v>943</v>
      </c>
      <c r="G711" s="7" t="s">
        <v>1424</v>
      </c>
      <c r="H711" s="8" t="s">
        <v>3251</v>
      </c>
      <c r="I711" s="8" t="s">
        <v>422</v>
      </c>
      <c r="J711" s="7" t="s">
        <v>133</v>
      </c>
      <c r="K711" s="7" t="s">
        <v>3252</v>
      </c>
      <c r="L711" s="7" t="n">
        <v>3</v>
      </c>
      <c r="M711" s="7" t="s">
        <v>420</v>
      </c>
      <c r="N711" s="7"/>
      <c r="O711" s="7" t="s">
        <v>1421</v>
      </c>
      <c r="P711" s="7" t="s">
        <v>1183</v>
      </c>
      <c r="Q711" s="13" t="s">
        <v>1790</v>
      </c>
      <c r="R711" s="8"/>
      <c r="S711" s="12"/>
      <c r="T711" s="12"/>
    </row>
    <row r="712" customFormat="false" ht="23.85" hidden="false" customHeight="false" outlineLevel="0" collapsed="false">
      <c r="A712" s="7" t="s">
        <v>3253</v>
      </c>
      <c r="B712" s="7" t="s">
        <v>400</v>
      </c>
      <c r="C712" s="7" t="s">
        <v>419</v>
      </c>
      <c r="D712" s="7" t="s">
        <v>3254</v>
      </c>
      <c r="E712" s="7" t="s">
        <v>1179</v>
      </c>
      <c r="F712" s="7" t="s">
        <v>943</v>
      </c>
      <c r="G712" s="7" t="s">
        <v>1424</v>
      </c>
      <c r="H712" s="8" t="s">
        <v>421</v>
      </c>
      <c r="I712" s="8" t="s">
        <v>422</v>
      </c>
      <c r="J712" s="7" t="s">
        <v>133</v>
      </c>
      <c r="K712" s="7" t="s">
        <v>3255</v>
      </c>
      <c r="L712" s="7" t="n">
        <v>3</v>
      </c>
      <c r="M712" s="7" t="s">
        <v>420</v>
      </c>
      <c r="N712" s="7"/>
      <c r="O712" s="7" t="s">
        <v>1421</v>
      </c>
      <c r="P712" s="7" t="s">
        <v>1183</v>
      </c>
      <c r="Q712" s="7" t="s">
        <v>1152</v>
      </c>
      <c r="R712" s="8"/>
      <c r="S712" s="12"/>
      <c r="T712" s="12"/>
    </row>
    <row r="713" customFormat="false" ht="23.85" hidden="false" customHeight="false" outlineLevel="0" collapsed="false">
      <c r="A713" s="7" t="s">
        <v>3256</v>
      </c>
      <c r="B713" s="7" t="s">
        <v>400</v>
      </c>
      <c r="C713" s="7" t="s">
        <v>419</v>
      </c>
      <c r="D713" s="7" t="s">
        <v>3257</v>
      </c>
      <c r="E713" s="7" t="s">
        <v>1179</v>
      </c>
      <c r="F713" s="7" t="s">
        <v>943</v>
      </c>
      <c r="G713" s="7" t="s">
        <v>1424</v>
      </c>
      <c r="H713" s="8" t="s">
        <v>421</v>
      </c>
      <c r="I713" s="8" t="s">
        <v>422</v>
      </c>
      <c r="J713" s="7" t="s">
        <v>133</v>
      </c>
      <c r="K713" s="7" t="s">
        <v>3258</v>
      </c>
      <c r="L713" s="7" t="n">
        <v>3</v>
      </c>
      <c r="M713" s="7" t="s">
        <v>420</v>
      </c>
      <c r="N713" s="7"/>
      <c r="O713" s="7" t="s">
        <v>1421</v>
      </c>
      <c r="P713" s="7" t="s">
        <v>1183</v>
      </c>
      <c r="Q713" s="7" t="s">
        <v>1152</v>
      </c>
      <c r="R713" s="8"/>
      <c r="S713" s="12"/>
      <c r="T713" s="12"/>
    </row>
    <row r="714" customFormat="false" ht="23.85" hidden="false" customHeight="false" outlineLevel="0" collapsed="false">
      <c r="A714" s="7" t="s">
        <v>3259</v>
      </c>
      <c r="B714" s="7" t="s">
        <v>400</v>
      </c>
      <c r="C714" s="7" t="s">
        <v>419</v>
      </c>
      <c r="D714" s="7" t="s">
        <v>3260</v>
      </c>
      <c r="E714" s="7" t="s">
        <v>1179</v>
      </c>
      <c r="F714" s="7" t="s">
        <v>943</v>
      </c>
      <c r="G714" s="7" t="s">
        <v>1424</v>
      </c>
      <c r="H714" s="8" t="s">
        <v>421</v>
      </c>
      <c r="I714" s="8" t="s">
        <v>422</v>
      </c>
      <c r="J714" s="7" t="s">
        <v>133</v>
      </c>
      <c r="K714" s="7" t="s">
        <v>3261</v>
      </c>
      <c r="L714" s="7" t="n">
        <v>3</v>
      </c>
      <c r="M714" s="7" t="s">
        <v>420</v>
      </c>
      <c r="N714" s="7"/>
      <c r="O714" s="7" t="s">
        <v>1421</v>
      </c>
      <c r="P714" s="7" t="s">
        <v>1183</v>
      </c>
      <c r="Q714" s="7" t="s">
        <v>1152</v>
      </c>
      <c r="R714" s="8"/>
      <c r="S714" s="12"/>
      <c r="T714" s="12"/>
    </row>
    <row r="715" customFormat="false" ht="35.05" hidden="false" customHeight="false" outlineLevel="0" collapsed="false">
      <c r="A715" s="7" t="s">
        <v>3262</v>
      </c>
      <c r="B715" s="7" t="s">
        <v>425</v>
      </c>
      <c r="C715" s="7" t="s">
        <v>429</v>
      </c>
      <c r="D715" s="7" t="s">
        <v>429</v>
      </c>
      <c r="E715" s="7" t="s">
        <v>1137</v>
      </c>
      <c r="F715" s="7" t="s">
        <v>928</v>
      </c>
      <c r="G715" s="7" t="s">
        <v>1148</v>
      </c>
      <c r="H715" s="8" t="s">
        <v>3263</v>
      </c>
      <c r="I715" s="8" t="s">
        <v>432</v>
      </c>
      <c r="J715" s="7" t="s">
        <v>87</v>
      </c>
      <c r="K715" s="7" t="s">
        <v>430</v>
      </c>
      <c r="L715" s="7" t="n">
        <v>2</v>
      </c>
      <c r="M715" s="7" t="s">
        <v>426</v>
      </c>
      <c r="N715" s="7"/>
      <c r="O715" s="7" t="s">
        <v>1150</v>
      </c>
      <c r="P715" s="7" t="s">
        <v>1183</v>
      </c>
      <c r="Q715" s="7" t="s">
        <v>1152</v>
      </c>
      <c r="R715" s="8"/>
      <c r="S715" s="12"/>
      <c r="T715" s="12"/>
    </row>
    <row r="716" customFormat="false" ht="23.85" hidden="false" customHeight="false" outlineLevel="0" collapsed="false">
      <c r="A716" s="7" t="s">
        <v>3264</v>
      </c>
      <c r="B716" s="7" t="s">
        <v>425</v>
      </c>
      <c r="C716" s="7" t="s">
        <v>429</v>
      </c>
      <c r="D716" s="7" t="s">
        <v>3265</v>
      </c>
      <c r="E716" s="7" t="s">
        <v>1179</v>
      </c>
      <c r="F716" s="7" t="s">
        <v>943</v>
      </c>
      <c r="G716" s="7" t="s">
        <v>1424</v>
      </c>
      <c r="H716" s="8" t="s">
        <v>431</v>
      </c>
      <c r="I716" s="8" t="s">
        <v>432</v>
      </c>
      <c r="J716" s="7" t="s">
        <v>133</v>
      </c>
      <c r="K716" s="7" t="s">
        <v>3266</v>
      </c>
      <c r="L716" s="7" t="n">
        <v>3</v>
      </c>
      <c r="M716" s="7" t="s">
        <v>430</v>
      </c>
      <c r="N716" s="7"/>
      <c r="O716" s="7" t="s">
        <v>1150</v>
      </c>
      <c r="P716" s="7" t="s">
        <v>1183</v>
      </c>
      <c r="Q716" s="7" t="s">
        <v>1184</v>
      </c>
      <c r="R716" s="8"/>
      <c r="S716" s="12"/>
      <c r="T716" s="12"/>
    </row>
    <row r="717" customFormat="false" ht="23.85" hidden="false" customHeight="false" outlineLevel="0" collapsed="false">
      <c r="A717" s="7" t="s">
        <v>3267</v>
      </c>
      <c r="B717" s="7" t="s">
        <v>425</v>
      </c>
      <c r="C717" s="7" t="s">
        <v>429</v>
      </c>
      <c r="D717" s="7" t="s">
        <v>3268</v>
      </c>
      <c r="E717" s="7" t="s">
        <v>1179</v>
      </c>
      <c r="F717" s="7" t="s">
        <v>943</v>
      </c>
      <c r="G717" s="7" t="s">
        <v>1424</v>
      </c>
      <c r="H717" s="8" t="s">
        <v>431</v>
      </c>
      <c r="I717" s="8" t="s">
        <v>432</v>
      </c>
      <c r="J717" s="7" t="s">
        <v>133</v>
      </c>
      <c r="K717" s="7" t="s">
        <v>3269</v>
      </c>
      <c r="L717" s="7" t="n">
        <v>3</v>
      </c>
      <c r="M717" s="7" t="s">
        <v>430</v>
      </c>
      <c r="N717" s="7"/>
      <c r="O717" s="7" t="s">
        <v>1150</v>
      </c>
      <c r="P717" s="7" t="s">
        <v>1183</v>
      </c>
      <c r="Q717" s="7" t="s">
        <v>1184</v>
      </c>
      <c r="R717" s="8"/>
      <c r="S717" s="12"/>
      <c r="T717" s="12"/>
    </row>
    <row r="718" customFormat="false" ht="23.85" hidden="false" customHeight="false" outlineLevel="0" collapsed="false">
      <c r="A718" s="7" t="s">
        <v>3270</v>
      </c>
      <c r="B718" s="7" t="s">
        <v>425</v>
      </c>
      <c r="C718" s="7" t="s">
        <v>429</v>
      </c>
      <c r="D718" s="7" t="s">
        <v>3271</v>
      </c>
      <c r="E718" s="7" t="s">
        <v>1179</v>
      </c>
      <c r="F718" s="7" t="s">
        <v>943</v>
      </c>
      <c r="G718" s="7" t="s">
        <v>1424</v>
      </c>
      <c r="H718" s="8" t="s">
        <v>431</v>
      </c>
      <c r="I718" s="8" t="s">
        <v>432</v>
      </c>
      <c r="J718" s="7" t="s">
        <v>133</v>
      </c>
      <c r="K718" s="7" t="s">
        <v>3272</v>
      </c>
      <c r="L718" s="7" t="n">
        <v>3</v>
      </c>
      <c r="M718" s="7" t="s">
        <v>430</v>
      </c>
      <c r="N718" s="7"/>
      <c r="O718" s="7" t="s">
        <v>1150</v>
      </c>
      <c r="P718" s="7" t="s">
        <v>1183</v>
      </c>
      <c r="Q718" s="7" t="s">
        <v>1152</v>
      </c>
      <c r="R718" s="8"/>
      <c r="S718" s="12"/>
      <c r="T718" s="12"/>
    </row>
    <row r="719" customFormat="false" ht="23.85" hidden="false" customHeight="false" outlineLevel="0" collapsed="false">
      <c r="A719" s="7" t="s">
        <v>3273</v>
      </c>
      <c r="B719" s="7" t="s">
        <v>425</v>
      </c>
      <c r="C719" s="7" t="s">
        <v>429</v>
      </c>
      <c r="D719" s="7" t="s">
        <v>3274</v>
      </c>
      <c r="E719" s="7" t="s">
        <v>1179</v>
      </c>
      <c r="F719" s="7" t="s">
        <v>943</v>
      </c>
      <c r="G719" s="7" t="s">
        <v>1424</v>
      </c>
      <c r="H719" s="8" t="s">
        <v>431</v>
      </c>
      <c r="I719" s="8" t="s">
        <v>432</v>
      </c>
      <c r="J719" s="7" t="s">
        <v>133</v>
      </c>
      <c r="K719" s="7" t="s">
        <v>3275</v>
      </c>
      <c r="L719" s="7" t="n">
        <v>3</v>
      </c>
      <c r="M719" s="7" t="s">
        <v>430</v>
      </c>
      <c r="N719" s="7"/>
      <c r="O719" s="7" t="s">
        <v>1150</v>
      </c>
      <c r="P719" s="7" t="s">
        <v>1183</v>
      </c>
      <c r="Q719" s="7" t="s">
        <v>1152</v>
      </c>
      <c r="R719" s="8"/>
      <c r="S719" s="12"/>
      <c r="T719" s="12"/>
    </row>
    <row r="720" customFormat="false" ht="23.85" hidden="false" customHeight="false" outlineLevel="0" collapsed="false">
      <c r="A720" s="7" t="s">
        <v>3276</v>
      </c>
      <c r="B720" s="7" t="s">
        <v>425</v>
      </c>
      <c r="C720" s="7" t="s">
        <v>429</v>
      </c>
      <c r="D720" s="7" t="s">
        <v>3277</v>
      </c>
      <c r="E720" s="7" t="s">
        <v>1179</v>
      </c>
      <c r="F720" s="7" t="s">
        <v>943</v>
      </c>
      <c r="G720" s="7" t="s">
        <v>1424</v>
      </c>
      <c r="H720" s="8" t="s">
        <v>431</v>
      </c>
      <c r="I720" s="8" t="s">
        <v>432</v>
      </c>
      <c r="J720" s="7" t="s">
        <v>133</v>
      </c>
      <c r="K720" s="7" t="s">
        <v>3278</v>
      </c>
      <c r="L720" s="7" t="n">
        <v>3</v>
      </c>
      <c r="M720" s="7" t="s">
        <v>430</v>
      </c>
      <c r="N720" s="7"/>
      <c r="O720" s="7" t="s">
        <v>1150</v>
      </c>
      <c r="P720" s="7" t="s">
        <v>1183</v>
      </c>
      <c r="Q720" s="7" t="s">
        <v>1152</v>
      </c>
      <c r="R720" s="8"/>
      <c r="S720" s="12"/>
      <c r="T720" s="12"/>
    </row>
    <row r="721" customFormat="false" ht="23.85" hidden="false" customHeight="false" outlineLevel="0" collapsed="false">
      <c r="A721" s="7" t="s">
        <v>3279</v>
      </c>
      <c r="B721" s="7" t="s">
        <v>425</v>
      </c>
      <c r="C721" s="7" t="s">
        <v>429</v>
      </c>
      <c r="D721" s="7" t="s">
        <v>3280</v>
      </c>
      <c r="E721" s="7" t="s">
        <v>1179</v>
      </c>
      <c r="F721" s="7" t="s">
        <v>943</v>
      </c>
      <c r="G721" s="7" t="s">
        <v>1424</v>
      </c>
      <c r="H721" s="8" t="s">
        <v>431</v>
      </c>
      <c r="I721" s="8" t="s">
        <v>432</v>
      </c>
      <c r="J721" s="7" t="s">
        <v>133</v>
      </c>
      <c r="K721" s="7" t="s">
        <v>3281</v>
      </c>
      <c r="L721" s="7" t="n">
        <v>3</v>
      </c>
      <c r="M721" s="7" t="s">
        <v>430</v>
      </c>
      <c r="N721" s="7"/>
      <c r="O721" s="7" t="s">
        <v>1150</v>
      </c>
      <c r="P721" s="7" t="s">
        <v>1183</v>
      </c>
      <c r="Q721" s="7" t="s">
        <v>1152</v>
      </c>
      <c r="R721" s="8"/>
      <c r="S721" s="12"/>
      <c r="T721" s="12"/>
    </row>
    <row r="722" customFormat="false" ht="23.85" hidden="false" customHeight="false" outlineLevel="0" collapsed="false">
      <c r="A722" s="7" t="s">
        <v>3282</v>
      </c>
      <c r="B722" s="7" t="s">
        <v>425</v>
      </c>
      <c r="C722" s="7" t="s">
        <v>429</v>
      </c>
      <c r="D722" s="7" t="s">
        <v>3283</v>
      </c>
      <c r="E722" s="7" t="s">
        <v>1179</v>
      </c>
      <c r="F722" s="7" t="s">
        <v>943</v>
      </c>
      <c r="G722" s="7" t="s">
        <v>1424</v>
      </c>
      <c r="H722" s="8" t="s">
        <v>431</v>
      </c>
      <c r="I722" s="8" t="s">
        <v>432</v>
      </c>
      <c r="J722" s="7" t="s">
        <v>133</v>
      </c>
      <c r="K722" s="7" t="s">
        <v>3284</v>
      </c>
      <c r="L722" s="7" t="n">
        <v>3</v>
      </c>
      <c r="M722" s="7" t="s">
        <v>430</v>
      </c>
      <c r="N722" s="7"/>
      <c r="O722" s="7" t="s">
        <v>1150</v>
      </c>
      <c r="P722" s="7" t="s">
        <v>1183</v>
      </c>
      <c r="Q722" s="7" t="s">
        <v>1152</v>
      </c>
      <c r="R722" s="8"/>
      <c r="S722" s="12"/>
      <c r="T722" s="12"/>
    </row>
    <row r="723" customFormat="false" ht="23.85" hidden="false" customHeight="false" outlineLevel="0" collapsed="false">
      <c r="A723" s="7" t="s">
        <v>3285</v>
      </c>
      <c r="B723" s="7" t="s">
        <v>425</v>
      </c>
      <c r="C723" s="7" t="s">
        <v>429</v>
      </c>
      <c r="D723" s="7" t="s">
        <v>3286</v>
      </c>
      <c r="E723" s="7" t="s">
        <v>1179</v>
      </c>
      <c r="F723" s="7" t="s">
        <v>943</v>
      </c>
      <c r="G723" s="7" t="s">
        <v>1424</v>
      </c>
      <c r="H723" s="8" t="s">
        <v>431</v>
      </c>
      <c r="I723" s="8" t="s">
        <v>432</v>
      </c>
      <c r="J723" s="7" t="s">
        <v>133</v>
      </c>
      <c r="K723" s="7" t="s">
        <v>3287</v>
      </c>
      <c r="L723" s="7" t="n">
        <v>3</v>
      </c>
      <c r="M723" s="7" t="s">
        <v>430</v>
      </c>
      <c r="N723" s="7"/>
      <c r="O723" s="7" t="s">
        <v>1150</v>
      </c>
      <c r="P723" s="7" t="s">
        <v>1183</v>
      </c>
      <c r="Q723" s="7" t="s">
        <v>1152</v>
      </c>
      <c r="R723" s="8"/>
      <c r="S723" s="12"/>
      <c r="T723" s="12"/>
    </row>
    <row r="724" customFormat="false" ht="23.85" hidden="false" customHeight="false" outlineLevel="0" collapsed="false">
      <c r="A724" s="7" t="s">
        <v>3288</v>
      </c>
      <c r="B724" s="7" t="s">
        <v>425</v>
      </c>
      <c r="C724" s="7" t="s">
        <v>429</v>
      </c>
      <c r="D724" s="7" t="s">
        <v>3289</v>
      </c>
      <c r="E724" s="7" t="s">
        <v>1179</v>
      </c>
      <c r="F724" s="7" t="s">
        <v>943</v>
      </c>
      <c r="G724" s="7" t="s">
        <v>1424</v>
      </c>
      <c r="H724" s="8" t="s">
        <v>431</v>
      </c>
      <c r="I724" s="8" t="s">
        <v>432</v>
      </c>
      <c r="J724" s="7" t="s">
        <v>133</v>
      </c>
      <c r="K724" s="7" t="s">
        <v>3290</v>
      </c>
      <c r="L724" s="7" t="n">
        <v>3</v>
      </c>
      <c r="M724" s="7" t="s">
        <v>430</v>
      </c>
      <c r="N724" s="7"/>
      <c r="O724" s="7" t="s">
        <v>1150</v>
      </c>
      <c r="P724" s="7" t="s">
        <v>1183</v>
      </c>
      <c r="Q724" s="7" t="s">
        <v>1152</v>
      </c>
      <c r="R724" s="8"/>
      <c r="S724" s="12"/>
      <c r="T724" s="12"/>
    </row>
    <row r="725" customFormat="false" ht="23.85" hidden="false" customHeight="false" outlineLevel="0" collapsed="false">
      <c r="A725" s="7" t="s">
        <v>3291</v>
      </c>
      <c r="B725" s="7" t="s">
        <v>425</v>
      </c>
      <c r="C725" s="7" t="s">
        <v>429</v>
      </c>
      <c r="D725" s="7" t="s">
        <v>3292</v>
      </c>
      <c r="E725" s="7" t="s">
        <v>1179</v>
      </c>
      <c r="F725" s="7" t="s">
        <v>943</v>
      </c>
      <c r="G725" s="7" t="s">
        <v>1424</v>
      </c>
      <c r="H725" s="8" t="s">
        <v>431</v>
      </c>
      <c r="I725" s="8" t="s">
        <v>432</v>
      </c>
      <c r="J725" s="7" t="s">
        <v>133</v>
      </c>
      <c r="K725" s="7" t="s">
        <v>3293</v>
      </c>
      <c r="L725" s="7" t="n">
        <v>3</v>
      </c>
      <c r="M725" s="7" t="s">
        <v>430</v>
      </c>
      <c r="N725" s="7"/>
      <c r="O725" s="7" t="s">
        <v>1150</v>
      </c>
      <c r="P725" s="7" t="s">
        <v>1183</v>
      </c>
      <c r="Q725" s="7" t="s">
        <v>1152</v>
      </c>
      <c r="R725" s="8"/>
      <c r="S725" s="12"/>
      <c r="T725" s="12"/>
    </row>
    <row r="726" customFormat="false" ht="23.85" hidden="false" customHeight="false" outlineLevel="0" collapsed="false">
      <c r="A726" s="7" t="s">
        <v>3294</v>
      </c>
      <c r="B726" s="7" t="s">
        <v>425</v>
      </c>
      <c r="C726" s="7" t="s">
        <v>429</v>
      </c>
      <c r="D726" s="7" t="s">
        <v>3295</v>
      </c>
      <c r="E726" s="7" t="s">
        <v>1179</v>
      </c>
      <c r="F726" s="7" t="s">
        <v>943</v>
      </c>
      <c r="G726" s="7" t="s">
        <v>1424</v>
      </c>
      <c r="H726" s="8" t="s">
        <v>431</v>
      </c>
      <c r="I726" s="8" t="s">
        <v>432</v>
      </c>
      <c r="J726" s="7" t="s">
        <v>133</v>
      </c>
      <c r="K726" s="7" t="s">
        <v>3296</v>
      </c>
      <c r="L726" s="7" t="n">
        <v>3</v>
      </c>
      <c r="M726" s="7" t="s">
        <v>430</v>
      </c>
      <c r="N726" s="7"/>
      <c r="O726" s="7" t="s">
        <v>1150</v>
      </c>
      <c r="P726" s="7" t="s">
        <v>1183</v>
      </c>
      <c r="Q726" s="7" t="s">
        <v>1152</v>
      </c>
      <c r="R726" s="8"/>
      <c r="S726" s="12"/>
      <c r="T726" s="12"/>
    </row>
    <row r="727" customFormat="false" ht="35.05" hidden="false" customHeight="false" outlineLevel="0" collapsed="false">
      <c r="A727" s="7" t="s">
        <v>3297</v>
      </c>
      <c r="B727" s="7" t="s">
        <v>425</v>
      </c>
      <c r="C727" s="7" t="s">
        <v>429</v>
      </c>
      <c r="D727" s="7" t="s">
        <v>3298</v>
      </c>
      <c r="E727" s="7" t="s">
        <v>1179</v>
      </c>
      <c r="F727" s="7" t="s">
        <v>943</v>
      </c>
      <c r="G727" s="7" t="s">
        <v>1424</v>
      </c>
      <c r="H727" s="8" t="s">
        <v>3299</v>
      </c>
      <c r="I727" s="8" t="s">
        <v>432</v>
      </c>
      <c r="J727" s="7" t="s">
        <v>133</v>
      </c>
      <c r="K727" s="7" t="s">
        <v>3300</v>
      </c>
      <c r="L727" s="7" t="n">
        <v>3</v>
      </c>
      <c r="M727" s="7" t="s">
        <v>430</v>
      </c>
      <c r="N727" s="7"/>
      <c r="O727" s="7" t="s">
        <v>1150</v>
      </c>
      <c r="P727" s="7" t="s">
        <v>1183</v>
      </c>
      <c r="Q727" s="7" t="s">
        <v>1152</v>
      </c>
      <c r="R727" s="8"/>
      <c r="S727" s="12"/>
      <c r="T727" s="12"/>
    </row>
    <row r="728" customFormat="false" ht="23.85" hidden="false" customHeight="false" outlineLevel="0" collapsed="false">
      <c r="A728" s="7" t="s">
        <v>3301</v>
      </c>
      <c r="B728" s="7" t="s">
        <v>425</v>
      </c>
      <c r="C728" s="7" t="s">
        <v>429</v>
      </c>
      <c r="D728" s="7" t="s">
        <v>3302</v>
      </c>
      <c r="E728" s="7" t="s">
        <v>1179</v>
      </c>
      <c r="F728" s="7" t="s">
        <v>943</v>
      </c>
      <c r="G728" s="7" t="s">
        <v>1424</v>
      </c>
      <c r="H728" s="8" t="s">
        <v>431</v>
      </c>
      <c r="I728" s="8" t="s">
        <v>432</v>
      </c>
      <c r="J728" s="7" t="s">
        <v>133</v>
      </c>
      <c r="K728" s="7" t="s">
        <v>3303</v>
      </c>
      <c r="L728" s="7" t="n">
        <v>3</v>
      </c>
      <c r="M728" s="7" t="s">
        <v>430</v>
      </c>
      <c r="N728" s="7"/>
      <c r="O728" s="7" t="s">
        <v>1150</v>
      </c>
      <c r="P728" s="7" t="s">
        <v>1183</v>
      </c>
      <c r="Q728" s="7" t="s">
        <v>1152</v>
      </c>
      <c r="R728" s="8"/>
      <c r="S728" s="12"/>
      <c r="T728" s="12"/>
    </row>
    <row r="729" customFormat="false" ht="23.85" hidden="false" customHeight="false" outlineLevel="0" collapsed="false">
      <c r="A729" s="7" t="s">
        <v>3304</v>
      </c>
      <c r="B729" s="7" t="s">
        <v>425</v>
      </c>
      <c r="C729" s="7" t="s">
        <v>429</v>
      </c>
      <c r="D729" s="7" t="s">
        <v>3305</v>
      </c>
      <c r="E729" s="7" t="s">
        <v>1179</v>
      </c>
      <c r="F729" s="7" t="s">
        <v>943</v>
      </c>
      <c r="G729" s="7" t="s">
        <v>1424</v>
      </c>
      <c r="H729" s="8" t="s">
        <v>431</v>
      </c>
      <c r="I729" s="8" t="s">
        <v>432</v>
      </c>
      <c r="J729" s="7" t="s">
        <v>133</v>
      </c>
      <c r="K729" s="7" t="s">
        <v>3306</v>
      </c>
      <c r="L729" s="7" t="n">
        <v>3</v>
      </c>
      <c r="M729" s="7" t="s">
        <v>430</v>
      </c>
      <c r="N729" s="7"/>
      <c r="O729" s="7" t="s">
        <v>1150</v>
      </c>
      <c r="P729" s="7" t="s">
        <v>1183</v>
      </c>
      <c r="Q729" s="7" t="s">
        <v>1152</v>
      </c>
      <c r="R729" s="8"/>
      <c r="S729" s="12"/>
      <c r="T729" s="12"/>
    </row>
    <row r="730" customFormat="false" ht="23.85" hidden="false" customHeight="false" outlineLevel="0" collapsed="false">
      <c r="A730" s="7" t="s">
        <v>3307</v>
      </c>
      <c r="B730" s="7" t="s">
        <v>425</v>
      </c>
      <c r="C730" s="7" t="s">
        <v>429</v>
      </c>
      <c r="D730" s="7" t="s">
        <v>3308</v>
      </c>
      <c r="E730" s="7" t="s">
        <v>1179</v>
      </c>
      <c r="F730" s="7" t="s">
        <v>943</v>
      </c>
      <c r="G730" s="7" t="s">
        <v>1424</v>
      </c>
      <c r="H730" s="8" t="s">
        <v>431</v>
      </c>
      <c r="I730" s="8" t="s">
        <v>432</v>
      </c>
      <c r="J730" s="7" t="s">
        <v>133</v>
      </c>
      <c r="K730" s="7" t="s">
        <v>3309</v>
      </c>
      <c r="L730" s="7" t="n">
        <v>3</v>
      </c>
      <c r="M730" s="7" t="s">
        <v>430</v>
      </c>
      <c r="N730" s="7"/>
      <c r="O730" s="7" t="s">
        <v>1150</v>
      </c>
      <c r="P730" s="7" t="s">
        <v>1183</v>
      </c>
      <c r="Q730" s="7" t="s">
        <v>1152</v>
      </c>
      <c r="R730" s="8"/>
      <c r="S730" s="12"/>
      <c r="T730" s="12"/>
    </row>
    <row r="731" customFormat="false" ht="35.05" hidden="false" customHeight="false" outlineLevel="0" collapsed="false">
      <c r="A731" s="7" t="s">
        <v>3310</v>
      </c>
      <c r="B731" s="7" t="s">
        <v>425</v>
      </c>
      <c r="C731" s="7" t="s">
        <v>429</v>
      </c>
      <c r="D731" s="7" t="s">
        <v>3311</v>
      </c>
      <c r="E731" s="7" t="s">
        <v>1179</v>
      </c>
      <c r="F731" s="7" t="s">
        <v>943</v>
      </c>
      <c r="G731" s="7" t="s">
        <v>1424</v>
      </c>
      <c r="H731" s="8" t="s">
        <v>431</v>
      </c>
      <c r="I731" s="8" t="s">
        <v>432</v>
      </c>
      <c r="J731" s="7" t="s">
        <v>949</v>
      </c>
      <c r="K731" s="7" t="s">
        <v>3312</v>
      </c>
      <c r="L731" s="7" t="s">
        <v>952</v>
      </c>
      <c r="M731" s="7" t="s">
        <v>3309</v>
      </c>
      <c r="N731" s="7" t="s">
        <v>3308</v>
      </c>
      <c r="O731" s="7" t="s">
        <v>1150</v>
      </c>
      <c r="P731" s="7" t="s">
        <v>1183</v>
      </c>
      <c r="Q731" s="7" t="s">
        <v>1152</v>
      </c>
      <c r="R731" s="8" t="s">
        <v>1185</v>
      </c>
      <c r="S731" s="12"/>
      <c r="T731" s="12"/>
    </row>
    <row r="732" customFormat="false" ht="23.85" hidden="false" customHeight="false" outlineLevel="0" collapsed="false">
      <c r="A732" s="7" t="s">
        <v>3313</v>
      </c>
      <c r="B732" s="7" t="s">
        <v>425</v>
      </c>
      <c r="C732" s="7" t="s">
        <v>429</v>
      </c>
      <c r="D732" s="7" t="s">
        <v>3314</v>
      </c>
      <c r="E732" s="7" t="s">
        <v>1179</v>
      </c>
      <c r="F732" s="7" t="s">
        <v>943</v>
      </c>
      <c r="G732" s="7" t="s">
        <v>1424</v>
      </c>
      <c r="H732" s="8" t="s">
        <v>431</v>
      </c>
      <c r="I732" s="8" t="s">
        <v>432</v>
      </c>
      <c r="J732" s="7" t="s">
        <v>133</v>
      </c>
      <c r="K732" s="7" t="s">
        <v>3315</v>
      </c>
      <c r="L732" s="7" t="n">
        <v>3</v>
      </c>
      <c r="M732" s="7" t="s">
        <v>430</v>
      </c>
      <c r="N732" s="7"/>
      <c r="O732" s="7" t="s">
        <v>1150</v>
      </c>
      <c r="P732" s="7" t="s">
        <v>1183</v>
      </c>
      <c r="Q732" s="7" t="s">
        <v>1152</v>
      </c>
      <c r="R732" s="8"/>
      <c r="S732" s="12"/>
      <c r="T732" s="12"/>
    </row>
    <row r="733" customFormat="false" ht="23.85" hidden="false" customHeight="false" outlineLevel="0" collapsed="false">
      <c r="A733" s="7" t="s">
        <v>3316</v>
      </c>
      <c r="B733" s="7" t="s">
        <v>425</v>
      </c>
      <c r="C733" s="7" t="s">
        <v>429</v>
      </c>
      <c r="D733" s="7" t="s">
        <v>3317</v>
      </c>
      <c r="E733" s="7" t="s">
        <v>1179</v>
      </c>
      <c r="F733" s="7" t="s">
        <v>943</v>
      </c>
      <c r="G733" s="7" t="s">
        <v>1424</v>
      </c>
      <c r="H733" s="8" t="s">
        <v>431</v>
      </c>
      <c r="I733" s="8" t="s">
        <v>432</v>
      </c>
      <c r="J733" s="7" t="s">
        <v>133</v>
      </c>
      <c r="K733" s="7" t="s">
        <v>3318</v>
      </c>
      <c r="L733" s="7" t="n">
        <v>3</v>
      </c>
      <c r="M733" s="7" t="s">
        <v>430</v>
      </c>
      <c r="N733" s="7"/>
      <c r="O733" s="7" t="s">
        <v>1150</v>
      </c>
      <c r="P733" s="7" t="s">
        <v>1183</v>
      </c>
      <c r="Q733" s="7" t="s">
        <v>1152</v>
      </c>
      <c r="R733" s="8"/>
      <c r="S733" s="12"/>
      <c r="T733" s="12"/>
    </row>
    <row r="734" customFormat="false" ht="23.85" hidden="false" customHeight="false" outlineLevel="0" collapsed="false">
      <c r="A734" s="7" t="s">
        <v>3319</v>
      </c>
      <c r="B734" s="7" t="s">
        <v>425</v>
      </c>
      <c r="C734" s="7" t="s">
        <v>429</v>
      </c>
      <c r="D734" s="7" t="s">
        <v>3320</v>
      </c>
      <c r="E734" s="7" t="s">
        <v>1179</v>
      </c>
      <c r="F734" s="7" t="s">
        <v>943</v>
      </c>
      <c r="G734" s="7" t="s">
        <v>1424</v>
      </c>
      <c r="H734" s="8" t="s">
        <v>431</v>
      </c>
      <c r="I734" s="8" t="s">
        <v>432</v>
      </c>
      <c r="J734" s="7" t="s">
        <v>133</v>
      </c>
      <c r="K734" s="7" t="s">
        <v>3321</v>
      </c>
      <c r="L734" s="7" t="n">
        <v>3</v>
      </c>
      <c r="M734" s="7" t="s">
        <v>430</v>
      </c>
      <c r="N734" s="7"/>
      <c r="O734" s="7" t="s">
        <v>1150</v>
      </c>
      <c r="P734" s="7" t="s">
        <v>1183</v>
      </c>
      <c r="Q734" s="7" t="s">
        <v>1152</v>
      </c>
      <c r="R734" s="8"/>
      <c r="S734" s="12"/>
      <c r="T734" s="12"/>
    </row>
    <row r="735" customFormat="false" ht="23.85" hidden="false" customHeight="false" outlineLevel="0" collapsed="false">
      <c r="A735" s="7" t="s">
        <v>3322</v>
      </c>
      <c r="B735" s="7" t="s">
        <v>425</v>
      </c>
      <c r="C735" s="7" t="s">
        <v>429</v>
      </c>
      <c r="D735" s="7" t="s">
        <v>3323</v>
      </c>
      <c r="E735" s="7" t="s">
        <v>1179</v>
      </c>
      <c r="F735" s="7" t="s">
        <v>943</v>
      </c>
      <c r="G735" s="7" t="s">
        <v>1424</v>
      </c>
      <c r="H735" s="8" t="s">
        <v>431</v>
      </c>
      <c r="I735" s="8" t="s">
        <v>432</v>
      </c>
      <c r="J735" s="7" t="s">
        <v>133</v>
      </c>
      <c r="K735" s="7" t="s">
        <v>3324</v>
      </c>
      <c r="L735" s="7" t="n">
        <v>3</v>
      </c>
      <c r="M735" s="7" t="s">
        <v>430</v>
      </c>
      <c r="N735" s="7"/>
      <c r="O735" s="7" t="s">
        <v>1150</v>
      </c>
      <c r="P735" s="7" t="s">
        <v>1183</v>
      </c>
      <c r="Q735" s="7" t="s">
        <v>1152</v>
      </c>
      <c r="R735" s="8"/>
      <c r="S735" s="12"/>
      <c r="T735" s="12"/>
    </row>
    <row r="736" customFormat="false" ht="35.05" hidden="false" customHeight="false" outlineLevel="0" collapsed="false">
      <c r="A736" s="7" t="s">
        <v>3325</v>
      </c>
      <c r="B736" s="7" t="s">
        <v>425</v>
      </c>
      <c r="C736" s="7" t="s">
        <v>433</v>
      </c>
      <c r="D736" s="7" t="s">
        <v>433</v>
      </c>
      <c r="E736" s="7" t="s">
        <v>1137</v>
      </c>
      <c r="F736" s="7" t="s">
        <v>928</v>
      </c>
      <c r="G736" s="7" t="s">
        <v>1148</v>
      </c>
      <c r="H736" s="8" t="s">
        <v>3326</v>
      </c>
      <c r="I736" s="8" t="s">
        <v>242</v>
      </c>
      <c r="J736" s="7" t="s">
        <v>87</v>
      </c>
      <c r="K736" s="7" t="s">
        <v>434</v>
      </c>
      <c r="L736" s="7" t="n">
        <v>2</v>
      </c>
      <c r="M736" s="7" t="s">
        <v>426</v>
      </c>
      <c r="N736" s="7"/>
      <c r="O736" s="7" t="s">
        <v>1150</v>
      </c>
      <c r="P736" s="7" t="s">
        <v>1151</v>
      </c>
      <c r="Q736" s="7" t="s">
        <v>1152</v>
      </c>
      <c r="R736" s="8"/>
      <c r="S736" s="12"/>
      <c r="T736" s="12"/>
    </row>
    <row r="737" customFormat="false" ht="23.85" hidden="false" customHeight="false" outlineLevel="0" collapsed="false">
      <c r="A737" s="7" t="s">
        <v>3327</v>
      </c>
      <c r="B737" s="7" t="s">
        <v>425</v>
      </c>
      <c r="C737" s="7" t="s">
        <v>433</v>
      </c>
      <c r="D737" s="7" t="s">
        <v>3328</v>
      </c>
      <c r="E737" s="7" t="s">
        <v>1179</v>
      </c>
      <c r="F737" s="7" t="s">
        <v>943</v>
      </c>
      <c r="G737" s="7" t="s">
        <v>1424</v>
      </c>
      <c r="H737" s="8" t="s">
        <v>435</v>
      </c>
      <c r="I737" s="8" t="s">
        <v>242</v>
      </c>
      <c r="J737" s="7" t="s">
        <v>133</v>
      </c>
      <c r="K737" s="7" t="s">
        <v>3329</v>
      </c>
      <c r="L737" s="7" t="n">
        <v>3</v>
      </c>
      <c r="M737" s="7" t="s">
        <v>434</v>
      </c>
      <c r="N737" s="7"/>
      <c r="O737" s="7" t="s">
        <v>1150</v>
      </c>
      <c r="P737" s="7" t="s">
        <v>1151</v>
      </c>
      <c r="Q737" s="7" t="s">
        <v>1184</v>
      </c>
      <c r="R737" s="8"/>
      <c r="S737" s="12"/>
      <c r="T737" s="12"/>
    </row>
    <row r="738" customFormat="false" ht="23.85" hidden="false" customHeight="false" outlineLevel="0" collapsed="false">
      <c r="A738" s="7" t="s">
        <v>3330</v>
      </c>
      <c r="B738" s="7" t="s">
        <v>425</v>
      </c>
      <c r="C738" s="7" t="s">
        <v>433</v>
      </c>
      <c r="D738" s="7" t="s">
        <v>3331</v>
      </c>
      <c r="E738" s="7" t="s">
        <v>1179</v>
      </c>
      <c r="F738" s="7" t="s">
        <v>943</v>
      </c>
      <c r="G738" s="7" t="s">
        <v>1424</v>
      </c>
      <c r="H738" s="8" t="s">
        <v>435</v>
      </c>
      <c r="I738" s="8" t="s">
        <v>242</v>
      </c>
      <c r="J738" s="7" t="s">
        <v>133</v>
      </c>
      <c r="K738" s="7" t="s">
        <v>3332</v>
      </c>
      <c r="L738" s="7" t="n">
        <v>3</v>
      </c>
      <c r="M738" s="7" t="s">
        <v>434</v>
      </c>
      <c r="N738" s="7"/>
      <c r="O738" s="7" t="s">
        <v>1150</v>
      </c>
      <c r="P738" s="7" t="s">
        <v>1183</v>
      </c>
      <c r="Q738" s="7" t="s">
        <v>1152</v>
      </c>
      <c r="R738" s="8"/>
      <c r="S738" s="12"/>
      <c r="T738" s="12"/>
    </row>
    <row r="739" customFormat="false" ht="23.85" hidden="false" customHeight="false" outlineLevel="0" collapsed="false">
      <c r="A739" s="7" t="s">
        <v>3333</v>
      </c>
      <c r="B739" s="7" t="s">
        <v>425</v>
      </c>
      <c r="C739" s="7" t="s">
        <v>433</v>
      </c>
      <c r="D739" s="7" t="s">
        <v>3334</v>
      </c>
      <c r="E739" s="7" t="s">
        <v>1179</v>
      </c>
      <c r="F739" s="7" t="s">
        <v>943</v>
      </c>
      <c r="G739" s="7" t="s">
        <v>1424</v>
      </c>
      <c r="H739" s="8" t="s">
        <v>435</v>
      </c>
      <c r="I739" s="8" t="s">
        <v>242</v>
      </c>
      <c r="J739" s="7" t="s">
        <v>133</v>
      </c>
      <c r="K739" s="7" t="s">
        <v>3335</v>
      </c>
      <c r="L739" s="7" t="n">
        <v>3</v>
      </c>
      <c r="M739" s="7" t="s">
        <v>434</v>
      </c>
      <c r="N739" s="7"/>
      <c r="O739" s="7" t="s">
        <v>1150</v>
      </c>
      <c r="P739" s="7" t="s">
        <v>1183</v>
      </c>
      <c r="Q739" s="7" t="s">
        <v>1152</v>
      </c>
      <c r="R739" s="8"/>
      <c r="S739" s="12"/>
      <c r="T739" s="12"/>
    </row>
    <row r="740" customFormat="false" ht="23.85" hidden="false" customHeight="false" outlineLevel="0" collapsed="false">
      <c r="A740" s="7" t="s">
        <v>3336</v>
      </c>
      <c r="B740" s="7" t="s">
        <v>425</v>
      </c>
      <c r="C740" s="7" t="s">
        <v>433</v>
      </c>
      <c r="D740" s="7" t="s">
        <v>3337</v>
      </c>
      <c r="E740" s="7" t="s">
        <v>1179</v>
      </c>
      <c r="F740" s="7" t="s">
        <v>943</v>
      </c>
      <c r="G740" s="7" t="s">
        <v>1424</v>
      </c>
      <c r="H740" s="8" t="s">
        <v>435</v>
      </c>
      <c r="I740" s="8" t="s">
        <v>242</v>
      </c>
      <c r="J740" s="7" t="s">
        <v>133</v>
      </c>
      <c r="K740" s="7" t="s">
        <v>3338</v>
      </c>
      <c r="L740" s="7" t="n">
        <v>3</v>
      </c>
      <c r="M740" s="7" t="s">
        <v>434</v>
      </c>
      <c r="N740" s="7"/>
      <c r="O740" s="7" t="s">
        <v>1150</v>
      </c>
      <c r="P740" s="7" t="s">
        <v>1183</v>
      </c>
      <c r="Q740" s="7" t="s">
        <v>1152</v>
      </c>
      <c r="R740" s="8"/>
      <c r="S740" s="12"/>
      <c r="T740" s="12"/>
    </row>
    <row r="741" customFormat="false" ht="23.85" hidden="false" customHeight="false" outlineLevel="0" collapsed="false">
      <c r="A741" s="7" t="s">
        <v>3339</v>
      </c>
      <c r="B741" s="7" t="s">
        <v>425</v>
      </c>
      <c r="C741" s="7" t="s">
        <v>433</v>
      </c>
      <c r="D741" s="7" t="s">
        <v>3340</v>
      </c>
      <c r="E741" s="7" t="s">
        <v>1179</v>
      </c>
      <c r="F741" s="7" t="s">
        <v>943</v>
      </c>
      <c r="G741" s="7" t="s">
        <v>1424</v>
      </c>
      <c r="H741" s="8" t="s">
        <v>435</v>
      </c>
      <c r="I741" s="8" t="s">
        <v>242</v>
      </c>
      <c r="J741" s="7" t="s">
        <v>133</v>
      </c>
      <c r="K741" s="7" t="s">
        <v>3341</v>
      </c>
      <c r="L741" s="7" t="n">
        <v>3</v>
      </c>
      <c r="M741" s="7" t="s">
        <v>434</v>
      </c>
      <c r="N741" s="7"/>
      <c r="O741" s="7" t="s">
        <v>1150</v>
      </c>
      <c r="P741" s="7" t="s">
        <v>1183</v>
      </c>
      <c r="Q741" s="7" t="s">
        <v>1152</v>
      </c>
      <c r="R741" s="8"/>
      <c r="S741" s="12"/>
      <c r="T741" s="12"/>
    </row>
    <row r="742" customFormat="false" ht="23.85" hidden="false" customHeight="false" outlineLevel="0" collapsed="false">
      <c r="A742" s="7" t="s">
        <v>3342</v>
      </c>
      <c r="B742" s="7" t="s">
        <v>425</v>
      </c>
      <c r="C742" s="7" t="s">
        <v>433</v>
      </c>
      <c r="D742" s="7" t="s">
        <v>3343</v>
      </c>
      <c r="E742" s="7" t="s">
        <v>1179</v>
      </c>
      <c r="F742" s="7" t="s">
        <v>943</v>
      </c>
      <c r="G742" s="7" t="s">
        <v>1424</v>
      </c>
      <c r="H742" s="8" t="s">
        <v>435</v>
      </c>
      <c r="I742" s="8" t="s">
        <v>242</v>
      </c>
      <c r="J742" s="7" t="s">
        <v>133</v>
      </c>
      <c r="K742" s="7" t="s">
        <v>3344</v>
      </c>
      <c r="L742" s="7" t="n">
        <v>3</v>
      </c>
      <c r="M742" s="7" t="s">
        <v>434</v>
      </c>
      <c r="N742" s="7"/>
      <c r="O742" s="7" t="s">
        <v>1150</v>
      </c>
      <c r="P742" s="7" t="s">
        <v>1183</v>
      </c>
      <c r="Q742" s="7" t="s">
        <v>1152</v>
      </c>
      <c r="R742" s="8"/>
      <c r="S742" s="12"/>
      <c r="T742" s="12"/>
    </row>
    <row r="743" customFormat="false" ht="23.85" hidden="false" customHeight="false" outlineLevel="0" collapsed="false">
      <c r="A743" s="7" t="s">
        <v>3345</v>
      </c>
      <c r="B743" s="7" t="s">
        <v>425</v>
      </c>
      <c r="C743" s="7" t="s">
        <v>433</v>
      </c>
      <c r="D743" s="7" t="s">
        <v>3346</v>
      </c>
      <c r="E743" s="7" t="s">
        <v>1179</v>
      </c>
      <c r="F743" s="7" t="s">
        <v>943</v>
      </c>
      <c r="G743" s="7" t="s">
        <v>1424</v>
      </c>
      <c r="H743" s="8" t="s">
        <v>435</v>
      </c>
      <c r="I743" s="8" t="s">
        <v>242</v>
      </c>
      <c r="J743" s="7" t="s">
        <v>133</v>
      </c>
      <c r="K743" s="7" t="s">
        <v>3347</v>
      </c>
      <c r="L743" s="7" t="n">
        <v>3</v>
      </c>
      <c r="M743" s="7" t="s">
        <v>434</v>
      </c>
      <c r="N743" s="7"/>
      <c r="O743" s="7" t="s">
        <v>1150</v>
      </c>
      <c r="P743" s="7" t="s">
        <v>1183</v>
      </c>
      <c r="Q743" s="7" t="s">
        <v>1152</v>
      </c>
      <c r="R743" s="8"/>
      <c r="S743" s="12"/>
      <c r="T743" s="12"/>
    </row>
    <row r="744" customFormat="false" ht="23.85" hidden="false" customHeight="false" outlineLevel="0" collapsed="false">
      <c r="A744" s="7" t="s">
        <v>3348</v>
      </c>
      <c r="B744" s="7" t="s">
        <v>425</v>
      </c>
      <c r="C744" s="7" t="s">
        <v>433</v>
      </c>
      <c r="D744" s="7" t="s">
        <v>3349</v>
      </c>
      <c r="E744" s="7" t="s">
        <v>1179</v>
      </c>
      <c r="F744" s="7" t="s">
        <v>943</v>
      </c>
      <c r="G744" s="7" t="s">
        <v>1424</v>
      </c>
      <c r="H744" s="8" t="s">
        <v>435</v>
      </c>
      <c r="I744" s="8" t="s">
        <v>242</v>
      </c>
      <c r="J744" s="7" t="s">
        <v>133</v>
      </c>
      <c r="K744" s="7" t="s">
        <v>3350</v>
      </c>
      <c r="L744" s="7" t="n">
        <v>3</v>
      </c>
      <c r="M744" s="7" t="s">
        <v>434</v>
      </c>
      <c r="N744" s="7"/>
      <c r="O744" s="7" t="s">
        <v>1150</v>
      </c>
      <c r="P744" s="7" t="s">
        <v>1183</v>
      </c>
      <c r="Q744" s="7" t="s">
        <v>1152</v>
      </c>
      <c r="R744" s="8"/>
      <c r="S744" s="12"/>
      <c r="T744" s="12"/>
    </row>
    <row r="745" customFormat="false" ht="23.85" hidden="false" customHeight="false" outlineLevel="0" collapsed="false">
      <c r="A745" s="7" t="s">
        <v>3351</v>
      </c>
      <c r="B745" s="7" t="s">
        <v>425</v>
      </c>
      <c r="C745" s="7" t="s">
        <v>433</v>
      </c>
      <c r="D745" s="7" t="s">
        <v>3352</v>
      </c>
      <c r="E745" s="7" t="s">
        <v>1179</v>
      </c>
      <c r="F745" s="7" t="s">
        <v>943</v>
      </c>
      <c r="G745" s="7" t="s">
        <v>1424</v>
      </c>
      <c r="H745" s="8" t="s">
        <v>435</v>
      </c>
      <c r="I745" s="8" t="s">
        <v>242</v>
      </c>
      <c r="J745" s="7" t="s">
        <v>133</v>
      </c>
      <c r="K745" s="7" t="s">
        <v>3353</v>
      </c>
      <c r="L745" s="7" t="n">
        <v>3</v>
      </c>
      <c r="M745" s="7" t="s">
        <v>434</v>
      </c>
      <c r="N745" s="7"/>
      <c r="O745" s="7" t="s">
        <v>1150</v>
      </c>
      <c r="P745" s="7" t="s">
        <v>1183</v>
      </c>
      <c r="Q745" s="7" t="s">
        <v>1152</v>
      </c>
      <c r="R745" s="8"/>
      <c r="S745" s="12"/>
      <c r="T745" s="12"/>
    </row>
    <row r="746" customFormat="false" ht="23.85" hidden="false" customHeight="false" outlineLevel="0" collapsed="false">
      <c r="A746" s="7" t="s">
        <v>3354</v>
      </c>
      <c r="B746" s="7" t="s">
        <v>425</v>
      </c>
      <c r="C746" s="7" t="s">
        <v>433</v>
      </c>
      <c r="D746" s="7" t="s">
        <v>3355</v>
      </c>
      <c r="E746" s="7" t="s">
        <v>1179</v>
      </c>
      <c r="F746" s="7" t="s">
        <v>943</v>
      </c>
      <c r="G746" s="7" t="s">
        <v>1424</v>
      </c>
      <c r="H746" s="8" t="s">
        <v>435</v>
      </c>
      <c r="I746" s="8" t="s">
        <v>242</v>
      </c>
      <c r="J746" s="7" t="s">
        <v>133</v>
      </c>
      <c r="K746" s="7" t="s">
        <v>3356</v>
      </c>
      <c r="L746" s="7" t="n">
        <v>3</v>
      </c>
      <c r="M746" s="7" t="s">
        <v>434</v>
      </c>
      <c r="N746" s="7"/>
      <c r="O746" s="7" t="s">
        <v>1150</v>
      </c>
      <c r="P746" s="7" t="s">
        <v>1183</v>
      </c>
      <c r="Q746" s="7" t="s">
        <v>1152</v>
      </c>
      <c r="R746" s="8"/>
      <c r="S746" s="12"/>
      <c r="T746" s="12"/>
    </row>
    <row r="747" customFormat="false" ht="23.85" hidden="false" customHeight="false" outlineLevel="0" collapsed="false">
      <c r="A747" s="7" t="s">
        <v>3357</v>
      </c>
      <c r="B747" s="7" t="s">
        <v>425</v>
      </c>
      <c r="C747" s="7" t="s">
        <v>433</v>
      </c>
      <c r="D747" s="7" t="s">
        <v>3358</v>
      </c>
      <c r="E747" s="7" t="s">
        <v>1179</v>
      </c>
      <c r="F747" s="7" t="s">
        <v>943</v>
      </c>
      <c r="G747" s="7" t="s">
        <v>1424</v>
      </c>
      <c r="H747" s="8" t="s">
        <v>435</v>
      </c>
      <c r="I747" s="8" t="s">
        <v>242</v>
      </c>
      <c r="J747" s="7" t="s">
        <v>133</v>
      </c>
      <c r="K747" s="7" t="s">
        <v>3359</v>
      </c>
      <c r="L747" s="7" t="n">
        <v>3</v>
      </c>
      <c r="M747" s="7" t="s">
        <v>434</v>
      </c>
      <c r="N747" s="7"/>
      <c r="O747" s="7" t="s">
        <v>1150</v>
      </c>
      <c r="P747" s="7" t="s">
        <v>1183</v>
      </c>
      <c r="Q747" s="7" t="s">
        <v>1152</v>
      </c>
      <c r="R747" s="8"/>
      <c r="S747" s="12"/>
      <c r="T747" s="12"/>
    </row>
    <row r="748" customFormat="false" ht="23.85" hidden="false" customHeight="false" outlineLevel="0" collapsed="false">
      <c r="A748" s="7" t="s">
        <v>3360</v>
      </c>
      <c r="B748" s="7" t="s">
        <v>425</v>
      </c>
      <c r="C748" s="7" t="s">
        <v>433</v>
      </c>
      <c r="D748" s="7" t="s">
        <v>3361</v>
      </c>
      <c r="E748" s="7" t="s">
        <v>1179</v>
      </c>
      <c r="F748" s="7" t="s">
        <v>943</v>
      </c>
      <c r="G748" s="7" t="s">
        <v>1424</v>
      </c>
      <c r="H748" s="8" t="s">
        <v>435</v>
      </c>
      <c r="I748" s="8" t="s">
        <v>242</v>
      </c>
      <c r="J748" s="7" t="s">
        <v>133</v>
      </c>
      <c r="K748" s="7" t="s">
        <v>3362</v>
      </c>
      <c r="L748" s="7" t="n">
        <v>3</v>
      </c>
      <c r="M748" s="7" t="s">
        <v>434</v>
      </c>
      <c r="N748" s="7"/>
      <c r="O748" s="7" t="s">
        <v>1150</v>
      </c>
      <c r="P748" s="7" t="s">
        <v>1183</v>
      </c>
      <c r="Q748" s="7" t="s">
        <v>1152</v>
      </c>
      <c r="R748" s="8"/>
      <c r="S748" s="12"/>
      <c r="T748" s="12"/>
    </row>
    <row r="749" customFormat="false" ht="23.85" hidden="false" customHeight="false" outlineLevel="0" collapsed="false">
      <c r="A749" s="7" t="s">
        <v>3363</v>
      </c>
      <c r="B749" s="7" t="s">
        <v>425</v>
      </c>
      <c r="C749" s="7" t="s">
        <v>433</v>
      </c>
      <c r="D749" s="7" t="s">
        <v>3364</v>
      </c>
      <c r="E749" s="7" t="s">
        <v>1179</v>
      </c>
      <c r="F749" s="7" t="s">
        <v>943</v>
      </c>
      <c r="G749" s="7" t="s">
        <v>1424</v>
      </c>
      <c r="H749" s="8" t="s">
        <v>435</v>
      </c>
      <c r="I749" s="8" t="s">
        <v>242</v>
      </c>
      <c r="J749" s="7" t="s">
        <v>133</v>
      </c>
      <c r="K749" s="7" t="s">
        <v>3365</v>
      </c>
      <c r="L749" s="7" t="n">
        <v>3</v>
      </c>
      <c r="M749" s="7" t="s">
        <v>434</v>
      </c>
      <c r="N749" s="7"/>
      <c r="O749" s="7" t="s">
        <v>1150</v>
      </c>
      <c r="P749" s="7" t="s">
        <v>1183</v>
      </c>
      <c r="Q749" s="7" t="s">
        <v>1152</v>
      </c>
      <c r="R749" s="8"/>
      <c r="S749" s="12"/>
      <c r="T749" s="12"/>
    </row>
    <row r="750" customFormat="false" ht="23.85" hidden="false" customHeight="false" outlineLevel="0" collapsed="false">
      <c r="A750" s="7" t="s">
        <v>3366</v>
      </c>
      <c r="B750" s="7" t="s">
        <v>425</v>
      </c>
      <c r="C750" s="7" t="s">
        <v>433</v>
      </c>
      <c r="D750" s="7" t="s">
        <v>3367</v>
      </c>
      <c r="E750" s="7" t="s">
        <v>1179</v>
      </c>
      <c r="F750" s="7" t="s">
        <v>943</v>
      </c>
      <c r="G750" s="7" t="s">
        <v>1424</v>
      </c>
      <c r="H750" s="8" t="s">
        <v>435</v>
      </c>
      <c r="I750" s="8" t="s">
        <v>242</v>
      </c>
      <c r="J750" s="7" t="s">
        <v>133</v>
      </c>
      <c r="K750" s="7" t="s">
        <v>3368</v>
      </c>
      <c r="L750" s="7" t="n">
        <v>3</v>
      </c>
      <c r="M750" s="7" t="s">
        <v>434</v>
      </c>
      <c r="N750" s="7"/>
      <c r="O750" s="7" t="s">
        <v>1150</v>
      </c>
      <c r="P750" s="7" t="s">
        <v>1183</v>
      </c>
      <c r="Q750" s="7" t="s">
        <v>1152</v>
      </c>
      <c r="R750" s="8"/>
      <c r="S750" s="12"/>
      <c r="T750" s="12"/>
    </row>
    <row r="751" customFormat="false" ht="23.85" hidden="false" customHeight="false" outlineLevel="0" collapsed="false">
      <c r="A751" s="7" t="s">
        <v>3369</v>
      </c>
      <c r="B751" s="7" t="s">
        <v>425</v>
      </c>
      <c r="C751" s="7" t="s">
        <v>433</v>
      </c>
      <c r="D751" s="7" t="s">
        <v>3370</v>
      </c>
      <c r="E751" s="7" t="s">
        <v>1179</v>
      </c>
      <c r="F751" s="7" t="s">
        <v>943</v>
      </c>
      <c r="G751" s="7" t="s">
        <v>1424</v>
      </c>
      <c r="H751" s="8" t="s">
        <v>435</v>
      </c>
      <c r="I751" s="8" t="s">
        <v>242</v>
      </c>
      <c r="J751" s="7" t="s">
        <v>133</v>
      </c>
      <c r="K751" s="7" t="s">
        <v>3371</v>
      </c>
      <c r="L751" s="7" t="n">
        <v>3</v>
      </c>
      <c r="M751" s="7" t="s">
        <v>434</v>
      </c>
      <c r="N751" s="7"/>
      <c r="O751" s="7" t="s">
        <v>1150</v>
      </c>
      <c r="P751" s="7" t="s">
        <v>1183</v>
      </c>
      <c r="Q751" s="7" t="s">
        <v>1152</v>
      </c>
      <c r="R751" s="8"/>
      <c r="S751" s="12"/>
      <c r="T751" s="12"/>
    </row>
    <row r="752" customFormat="false" ht="35.05" hidden="false" customHeight="false" outlineLevel="0" collapsed="false">
      <c r="A752" s="7" t="s">
        <v>3372</v>
      </c>
      <c r="B752" s="7" t="s">
        <v>425</v>
      </c>
      <c r="C752" s="7" t="s">
        <v>436</v>
      </c>
      <c r="D752" s="7" t="s">
        <v>436</v>
      </c>
      <c r="E752" s="7" t="s">
        <v>1137</v>
      </c>
      <c r="F752" s="7" t="s">
        <v>928</v>
      </c>
      <c r="G752" s="7" t="s">
        <v>1148</v>
      </c>
      <c r="H752" s="8" t="s">
        <v>3373</v>
      </c>
      <c r="I752" s="8" t="s">
        <v>164</v>
      </c>
      <c r="J752" s="7" t="s">
        <v>87</v>
      </c>
      <c r="K752" s="7" t="s">
        <v>437</v>
      </c>
      <c r="L752" s="7" t="n">
        <v>2</v>
      </c>
      <c r="M752" s="7" t="s">
        <v>426</v>
      </c>
      <c r="N752" s="7"/>
      <c r="O752" s="7" t="s">
        <v>1150</v>
      </c>
      <c r="P752" s="7" t="s">
        <v>1151</v>
      </c>
      <c r="Q752" s="7" t="s">
        <v>1152</v>
      </c>
      <c r="R752" s="8"/>
      <c r="S752" s="12"/>
      <c r="T752" s="12"/>
    </row>
    <row r="753" customFormat="false" ht="23.85" hidden="false" customHeight="false" outlineLevel="0" collapsed="false">
      <c r="A753" s="7" t="s">
        <v>3374</v>
      </c>
      <c r="B753" s="7" t="s">
        <v>425</v>
      </c>
      <c r="C753" s="7" t="s">
        <v>436</v>
      </c>
      <c r="D753" s="7" t="s">
        <v>3375</v>
      </c>
      <c r="E753" s="7" t="s">
        <v>1179</v>
      </c>
      <c r="F753" s="7" t="s">
        <v>943</v>
      </c>
      <c r="G753" s="7" t="s">
        <v>1424</v>
      </c>
      <c r="H753" s="8" t="s">
        <v>438</v>
      </c>
      <c r="I753" s="8" t="s">
        <v>164</v>
      </c>
      <c r="J753" s="7" t="s">
        <v>133</v>
      </c>
      <c r="K753" s="7" t="s">
        <v>3376</v>
      </c>
      <c r="L753" s="7" t="n">
        <v>3</v>
      </c>
      <c r="M753" s="7" t="s">
        <v>437</v>
      </c>
      <c r="N753" s="7"/>
      <c r="O753" s="7" t="s">
        <v>1150</v>
      </c>
      <c r="P753" s="7" t="s">
        <v>1151</v>
      </c>
      <c r="Q753" s="7" t="s">
        <v>1184</v>
      </c>
      <c r="R753" s="8"/>
      <c r="S753" s="12"/>
      <c r="T753" s="12"/>
    </row>
    <row r="754" customFormat="false" ht="35.05" hidden="false" customHeight="false" outlineLevel="0" collapsed="false">
      <c r="A754" s="7" t="s">
        <v>3377</v>
      </c>
      <c r="B754" s="7" t="s">
        <v>425</v>
      </c>
      <c r="C754" s="7" t="s">
        <v>436</v>
      </c>
      <c r="D754" s="7" t="s">
        <v>3378</v>
      </c>
      <c r="E754" s="7" t="s">
        <v>1179</v>
      </c>
      <c r="F754" s="7" t="s">
        <v>943</v>
      </c>
      <c r="G754" s="7" t="s">
        <v>1424</v>
      </c>
      <c r="H754" s="8" t="s">
        <v>438</v>
      </c>
      <c r="I754" s="8" t="s">
        <v>164</v>
      </c>
      <c r="J754" s="7" t="s">
        <v>949</v>
      </c>
      <c r="K754" s="7" t="s">
        <v>3379</v>
      </c>
      <c r="L754" s="7" t="s">
        <v>952</v>
      </c>
      <c r="M754" s="7" t="s">
        <v>3376</v>
      </c>
      <c r="N754" s="7" t="s">
        <v>3375</v>
      </c>
      <c r="O754" s="7" t="s">
        <v>1150</v>
      </c>
      <c r="P754" s="7" t="s">
        <v>1183</v>
      </c>
      <c r="Q754" s="7" t="s">
        <v>1184</v>
      </c>
      <c r="R754" s="8" t="s">
        <v>1185</v>
      </c>
      <c r="S754" s="12"/>
      <c r="T754" s="12"/>
    </row>
    <row r="755" customFormat="false" ht="23.85" hidden="false" customHeight="false" outlineLevel="0" collapsed="false">
      <c r="A755" s="7" t="s">
        <v>3380</v>
      </c>
      <c r="B755" s="7" t="s">
        <v>425</v>
      </c>
      <c r="C755" s="7" t="s">
        <v>436</v>
      </c>
      <c r="D755" s="7" t="s">
        <v>3381</v>
      </c>
      <c r="E755" s="7" t="s">
        <v>1179</v>
      </c>
      <c r="F755" s="7" t="s">
        <v>943</v>
      </c>
      <c r="G755" s="7" t="s">
        <v>1424</v>
      </c>
      <c r="H755" s="8" t="s">
        <v>438</v>
      </c>
      <c r="I755" s="8" t="s">
        <v>164</v>
      </c>
      <c r="J755" s="7" t="s">
        <v>133</v>
      </c>
      <c r="K755" s="7" t="s">
        <v>3382</v>
      </c>
      <c r="L755" s="7" t="n">
        <v>3</v>
      </c>
      <c r="M755" s="7" t="s">
        <v>437</v>
      </c>
      <c r="N755" s="7"/>
      <c r="O755" s="7" t="s">
        <v>1150</v>
      </c>
      <c r="P755" s="7" t="s">
        <v>1183</v>
      </c>
      <c r="Q755" s="7" t="s">
        <v>1184</v>
      </c>
      <c r="R755" s="8"/>
      <c r="S755" s="12"/>
      <c r="T755" s="12"/>
    </row>
    <row r="756" customFormat="false" ht="23.85" hidden="false" customHeight="false" outlineLevel="0" collapsed="false">
      <c r="A756" s="7" t="s">
        <v>3383</v>
      </c>
      <c r="B756" s="7" t="s">
        <v>425</v>
      </c>
      <c r="C756" s="7" t="s">
        <v>436</v>
      </c>
      <c r="D756" s="7" t="s">
        <v>3384</v>
      </c>
      <c r="E756" s="7" t="s">
        <v>1179</v>
      </c>
      <c r="F756" s="7" t="s">
        <v>943</v>
      </c>
      <c r="G756" s="7" t="s">
        <v>1424</v>
      </c>
      <c r="H756" s="8" t="s">
        <v>438</v>
      </c>
      <c r="I756" s="8" t="s">
        <v>164</v>
      </c>
      <c r="J756" s="7" t="s">
        <v>133</v>
      </c>
      <c r="K756" s="7" t="s">
        <v>3385</v>
      </c>
      <c r="L756" s="7" t="n">
        <v>3</v>
      </c>
      <c r="M756" s="7" t="s">
        <v>437</v>
      </c>
      <c r="N756" s="7"/>
      <c r="O756" s="7" t="s">
        <v>1150</v>
      </c>
      <c r="P756" s="7" t="s">
        <v>1183</v>
      </c>
      <c r="Q756" s="7" t="s">
        <v>1184</v>
      </c>
      <c r="R756" s="8"/>
      <c r="S756" s="12"/>
      <c r="T756" s="12"/>
    </row>
    <row r="757" customFormat="false" ht="23.85" hidden="false" customHeight="false" outlineLevel="0" collapsed="false">
      <c r="A757" s="7" t="s">
        <v>3386</v>
      </c>
      <c r="B757" s="7" t="s">
        <v>425</v>
      </c>
      <c r="C757" s="7" t="s">
        <v>436</v>
      </c>
      <c r="D757" s="7" t="s">
        <v>3387</v>
      </c>
      <c r="E757" s="7" t="s">
        <v>1179</v>
      </c>
      <c r="F757" s="7" t="s">
        <v>943</v>
      </c>
      <c r="G757" s="7" t="s">
        <v>1424</v>
      </c>
      <c r="H757" s="8" t="s">
        <v>438</v>
      </c>
      <c r="I757" s="8" t="s">
        <v>164</v>
      </c>
      <c r="J757" s="7" t="s">
        <v>133</v>
      </c>
      <c r="K757" s="7" t="s">
        <v>3388</v>
      </c>
      <c r="L757" s="7" t="n">
        <v>3</v>
      </c>
      <c r="M757" s="7" t="s">
        <v>437</v>
      </c>
      <c r="N757" s="7"/>
      <c r="O757" s="7" t="s">
        <v>1150</v>
      </c>
      <c r="P757" s="7" t="s">
        <v>1183</v>
      </c>
      <c r="Q757" s="7" t="s">
        <v>1152</v>
      </c>
      <c r="R757" s="8"/>
      <c r="S757" s="12"/>
      <c r="T757" s="12"/>
    </row>
    <row r="758" customFormat="false" ht="23.85" hidden="false" customHeight="false" outlineLevel="0" collapsed="false">
      <c r="A758" s="7" t="s">
        <v>3389</v>
      </c>
      <c r="B758" s="7" t="s">
        <v>425</v>
      </c>
      <c r="C758" s="7" t="s">
        <v>436</v>
      </c>
      <c r="D758" s="7" t="s">
        <v>3390</v>
      </c>
      <c r="E758" s="7" t="s">
        <v>1179</v>
      </c>
      <c r="F758" s="7" t="s">
        <v>943</v>
      </c>
      <c r="G758" s="7" t="s">
        <v>1424</v>
      </c>
      <c r="H758" s="8" t="s">
        <v>438</v>
      </c>
      <c r="I758" s="8" t="s">
        <v>164</v>
      </c>
      <c r="J758" s="7" t="s">
        <v>133</v>
      </c>
      <c r="K758" s="7" t="s">
        <v>3391</v>
      </c>
      <c r="L758" s="7" t="n">
        <v>3</v>
      </c>
      <c r="M758" s="7" t="s">
        <v>437</v>
      </c>
      <c r="N758" s="7"/>
      <c r="O758" s="7" t="s">
        <v>1150</v>
      </c>
      <c r="P758" s="7" t="s">
        <v>1183</v>
      </c>
      <c r="Q758" s="7" t="s">
        <v>1152</v>
      </c>
      <c r="R758" s="8"/>
      <c r="S758" s="12"/>
      <c r="T758" s="12"/>
    </row>
    <row r="759" customFormat="false" ht="23.85" hidden="false" customHeight="false" outlineLevel="0" collapsed="false">
      <c r="A759" s="7" t="s">
        <v>3392</v>
      </c>
      <c r="B759" s="7" t="s">
        <v>425</v>
      </c>
      <c r="C759" s="7" t="s">
        <v>436</v>
      </c>
      <c r="D759" s="7" t="s">
        <v>3393</v>
      </c>
      <c r="E759" s="7" t="s">
        <v>1179</v>
      </c>
      <c r="F759" s="7" t="s">
        <v>943</v>
      </c>
      <c r="G759" s="7" t="s">
        <v>1424</v>
      </c>
      <c r="H759" s="8" t="s">
        <v>438</v>
      </c>
      <c r="I759" s="8" t="s">
        <v>164</v>
      </c>
      <c r="J759" s="7" t="s">
        <v>133</v>
      </c>
      <c r="K759" s="7" t="s">
        <v>3394</v>
      </c>
      <c r="L759" s="7" t="n">
        <v>3</v>
      </c>
      <c r="M759" s="7" t="s">
        <v>437</v>
      </c>
      <c r="N759" s="7"/>
      <c r="O759" s="7" t="s">
        <v>1150</v>
      </c>
      <c r="P759" s="7" t="s">
        <v>1183</v>
      </c>
      <c r="Q759" s="7" t="s">
        <v>1152</v>
      </c>
      <c r="R759" s="8"/>
      <c r="S759" s="12"/>
      <c r="T759" s="12"/>
    </row>
    <row r="760" customFormat="false" ht="23.85" hidden="false" customHeight="false" outlineLevel="0" collapsed="false">
      <c r="A760" s="7" t="s">
        <v>3395</v>
      </c>
      <c r="B760" s="7" t="s">
        <v>425</v>
      </c>
      <c r="C760" s="7" t="s">
        <v>436</v>
      </c>
      <c r="D760" s="7" t="s">
        <v>3396</v>
      </c>
      <c r="E760" s="7" t="s">
        <v>1179</v>
      </c>
      <c r="F760" s="7" t="s">
        <v>943</v>
      </c>
      <c r="G760" s="7" t="s">
        <v>1424</v>
      </c>
      <c r="H760" s="8" t="s">
        <v>438</v>
      </c>
      <c r="I760" s="8" t="s">
        <v>164</v>
      </c>
      <c r="J760" s="7" t="s">
        <v>133</v>
      </c>
      <c r="K760" s="7" t="s">
        <v>3397</v>
      </c>
      <c r="L760" s="7" t="n">
        <v>3</v>
      </c>
      <c r="M760" s="7" t="s">
        <v>437</v>
      </c>
      <c r="N760" s="7"/>
      <c r="O760" s="7" t="s">
        <v>1150</v>
      </c>
      <c r="P760" s="7" t="s">
        <v>1183</v>
      </c>
      <c r="Q760" s="7" t="s">
        <v>1152</v>
      </c>
      <c r="R760" s="8"/>
      <c r="S760" s="12"/>
      <c r="T760" s="12"/>
    </row>
    <row r="761" customFormat="false" ht="23.85" hidden="false" customHeight="false" outlineLevel="0" collapsed="false">
      <c r="A761" s="7" t="s">
        <v>3398</v>
      </c>
      <c r="B761" s="7" t="s">
        <v>425</v>
      </c>
      <c r="C761" s="7" t="s">
        <v>436</v>
      </c>
      <c r="D761" s="7" t="s">
        <v>3399</v>
      </c>
      <c r="E761" s="7" t="s">
        <v>1179</v>
      </c>
      <c r="F761" s="7" t="s">
        <v>943</v>
      </c>
      <c r="G761" s="7" t="s">
        <v>1424</v>
      </c>
      <c r="H761" s="8" t="s">
        <v>438</v>
      </c>
      <c r="I761" s="8" t="s">
        <v>164</v>
      </c>
      <c r="J761" s="7" t="s">
        <v>133</v>
      </c>
      <c r="K761" s="7" t="s">
        <v>3400</v>
      </c>
      <c r="L761" s="7" t="n">
        <v>3</v>
      </c>
      <c r="M761" s="7" t="s">
        <v>437</v>
      </c>
      <c r="N761" s="7"/>
      <c r="O761" s="7" t="s">
        <v>1150</v>
      </c>
      <c r="P761" s="7" t="s">
        <v>1183</v>
      </c>
      <c r="Q761" s="7" t="s">
        <v>1184</v>
      </c>
      <c r="R761" s="8"/>
      <c r="S761" s="12"/>
      <c r="T761" s="12"/>
    </row>
    <row r="762" customFormat="false" ht="23.85" hidden="false" customHeight="false" outlineLevel="0" collapsed="false">
      <c r="A762" s="7" t="s">
        <v>3401</v>
      </c>
      <c r="B762" s="7" t="s">
        <v>425</v>
      </c>
      <c r="C762" s="7" t="s">
        <v>436</v>
      </c>
      <c r="D762" s="7" t="s">
        <v>3402</v>
      </c>
      <c r="E762" s="7" t="s">
        <v>1179</v>
      </c>
      <c r="F762" s="7" t="s">
        <v>943</v>
      </c>
      <c r="G762" s="7" t="s">
        <v>1424</v>
      </c>
      <c r="H762" s="8" t="s">
        <v>438</v>
      </c>
      <c r="I762" s="8" t="s">
        <v>164</v>
      </c>
      <c r="J762" s="7" t="s">
        <v>133</v>
      </c>
      <c r="K762" s="7" t="s">
        <v>3403</v>
      </c>
      <c r="L762" s="7" t="n">
        <v>3</v>
      </c>
      <c r="M762" s="7" t="s">
        <v>437</v>
      </c>
      <c r="N762" s="7"/>
      <c r="O762" s="7" t="s">
        <v>1150</v>
      </c>
      <c r="P762" s="7" t="s">
        <v>1183</v>
      </c>
      <c r="Q762" s="7" t="s">
        <v>1152</v>
      </c>
      <c r="R762" s="8"/>
      <c r="S762" s="12"/>
      <c r="T762" s="12"/>
    </row>
    <row r="763" customFormat="false" ht="23.85" hidden="false" customHeight="false" outlineLevel="0" collapsed="false">
      <c r="A763" s="7" t="s">
        <v>3404</v>
      </c>
      <c r="B763" s="7" t="s">
        <v>425</v>
      </c>
      <c r="C763" s="7" t="s">
        <v>436</v>
      </c>
      <c r="D763" s="7" t="s">
        <v>3405</v>
      </c>
      <c r="E763" s="7" t="s">
        <v>1179</v>
      </c>
      <c r="F763" s="7" t="s">
        <v>943</v>
      </c>
      <c r="G763" s="7" t="s">
        <v>1424</v>
      </c>
      <c r="H763" s="8" t="s">
        <v>438</v>
      </c>
      <c r="I763" s="8" t="s">
        <v>164</v>
      </c>
      <c r="J763" s="7" t="s">
        <v>133</v>
      </c>
      <c r="K763" s="7" t="s">
        <v>3406</v>
      </c>
      <c r="L763" s="7" t="n">
        <v>3</v>
      </c>
      <c r="M763" s="7" t="s">
        <v>437</v>
      </c>
      <c r="N763" s="7"/>
      <c r="O763" s="7" t="s">
        <v>1150</v>
      </c>
      <c r="P763" s="7" t="s">
        <v>1183</v>
      </c>
      <c r="Q763" s="7" t="s">
        <v>1152</v>
      </c>
      <c r="R763" s="8"/>
      <c r="S763" s="12"/>
      <c r="T763" s="12"/>
    </row>
    <row r="764" customFormat="false" ht="23.85" hidden="false" customHeight="false" outlineLevel="0" collapsed="false">
      <c r="A764" s="7" t="s">
        <v>3407</v>
      </c>
      <c r="B764" s="7" t="s">
        <v>425</v>
      </c>
      <c r="C764" s="7" t="s">
        <v>436</v>
      </c>
      <c r="D764" s="7" t="s">
        <v>3408</v>
      </c>
      <c r="E764" s="7" t="s">
        <v>1179</v>
      </c>
      <c r="F764" s="7" t="s">
        <v>943</v>
      </c>
      <c r="G764" s="7" t="s">
        <v>1424</v>
      </c>
      <c r="H764" s="8" t="s">
        <v>438</v>
      </c>
      <c r="I764" s="8" t="s">
        <v>164</v>
      </c>
      <c r="J764" s="7" t="s">
        <v>133</v>
      </c>
      <c r="K764" s="7" t="s">
        <v>3409</v>
      </c>
      <c r="L764" s="7" t="n">
        <v>3</v>
      </c>
      <c r="M764" s="7" t="s">
        <v>437</v>
      </c>
      <c r="N764" s="7"/>
      <c r="O764" s="7" t="s">
        <v>1150</v>
      </c>
      <c r="P764" s="7" t="s">
        <v>1183</v>
      </c>
      <c r="Q764" s="7" t="s">
        <v>1152</v>
      </c>
      <c r="R764" s="8"/>
      <c r="S764" s="12"/>
      <c r="T764" s="12"/>
    </row>
    <row r="765" customFormat="false" ht="35.05" hidden="false" customHeight="false" outlineLevel="0" collapsed="false">
      <c r="A765" s="7" t="s">
        <v>3410</v>
      </c>
      <c r="B765" s="7" t="s">
        <v>425</v>
      </c>
      <c r="C765" s="7" t="s">
        <v>436</v>
      </c>
      <c r="D765" s="7" t="s">
        <v>3411</v>
      </c>
      <c r="E765" s="7" t="s">
        <v>1179</v>
      </c>
      <c r="F765" s="7" t="s">
        <v>943</v>
      </c>
      <c r="G765" s="7" t="s">
        <v>1424</v>
      </c>
      <c r="H765" s="8" t="s">
        <v>3412</v>
      </c>
      <c r="I765" s="8" t="s">
        <v>164</v>
      </c>
      <c r="J765" s="7" t="s">
        <v>133</v>
      </c>
      <c r="K765" s="7" t="s">
        <v>3413</v>
      </c>
      <c r="L765" s="7" t="n">
        <v>3</v>
      </c>
      <c r="M765" s="7" t="s">
        <v>437</v>
      </c>
      <c r="N765" s="7"/>
      <c r="O765" s="7" t="s">
        <v>1150</v>
      </c>
      <c r="P765" s="7" t="s">
        <v>1183</v>
      </c>
      <c r="Q765" s="13" t="s">
        <v>1790</v>
      </c>
      <c r="R765" s="8"/>
      <c r="S765" s="12"/>
      <c r="T765" s="12"/>
    </row>
    <row r="766" customFormat="false" ht="23.85" hidden="false" customHeight="false" outlineLevel="0" collapsed="false">
      <c r="A766" s="7" t="s">
        <v>3414</v>
      </c>
      <c r="B766" s="7" t="s">
        <v>425</v>
      </c>
      <c r="C766" s="7" t="s">
        <v>436</v>
      </c>
      <c r="D766" s="7" t="s">
        <v>3415</v>
      </c>
      <c r="E766" s="7" t="s">
        <v>1179</v>
      </c>
      <c r="F766" s="7" t="s">
        <v>943</v>
      </c>
      <c r="G766" s="7" t="s">
        <v>1424</v>
      </c>
      <c r="H766" s="8" t="s">
        <v>438</v>
      </c>
      <c r="I766" s="8" t="s">
        <v>164</v>
      </c>
      <c r="J766" s="7" t="s">
        <v>133</v>
      </c>
      <c r="K766" s="7" t="s">
        <v>3416</v>
      </c>
      <c r="L766" s="7" t="n">
        <v>3</v>
      </c>
      <c r="M766" s="7" t="s">
        <v>437</v>
      </c>
      <c r="N766" s="7"/>
      <c r="O766" s="7" t="s">
        <v>1150</v>
      </c>
      <c r="P766" s="7" t="s">
        <v>1183</v>
      </c>
      <c r="Q766" s="7" t="s">
        <v>1152</v>
      </c>
      <c r="R766" s="8"/>
      <c r="S766" s="12"/>
      <c r="T766" s="12"/>
    </row>
    <row r="767" customFormat="false" ht="23.85" hidden="false" customHeight="false" outlineLevel="0" collapsed="false">
      <c r="A767" s="7" t="s">
        <v>3417</v>
      </c>
      <c r="B767" s="7" t="s">
        <v>425</v>
      </c>
      <c r="C767" s="7" t="s">
        <v>436</v>
      </c>
      <c r="D767" s="7" t="s">
        <v>3418</v>
      </c>
      <c r="E767" s="7" t="s">
        <v>1179</v>
      </c>
      <c r="F767" s="7" t="s">
        <v>943</v>
      </c>
      <c r="G767" s="7" t="s">
        <v>1424</v>
      </c>
      <c r="H767" s="8" t="s">
        <v>438</v>
      </c>
      <c r="I767" s="8" t="s">
        <v>164</v>
      </c>
      <c r="J767" s="7" t="s">
        <v>133</v>
      </c>
      <c r="K767" s="7" t="s">
        <v>3419</v>
      </c>
      <c r="L767" s="7" t="n">
        <v>3</v>
      </c>
      <c r="M767" s="7" t="s">
        <v>437</v>
      </c>
      <c r="N767" s="7"/>
      <c r="O767" s="7" t="s">
        <v>1150</v>
      </c>
      <c r="P767" s="7" t="s">
        <v>1183</v>
      </c>
      <c r="Q767" s="7" t="s">
        <v>1152</v>
      </c>
      <c r="R767" s="8"/>
      <c r="S767" s="12"/>
      <c r="T767" s="12"/>
    </row>
    <row r="768" customFormat="false" ht="35.05" hidden="false" customHeight="false" outlineLevel="0" collapsed="false">
      <c r="A768" s="7" t="s">
        <v>3420</v>
      </c>
      <c r="B768" s="7" t="s">
        <v>425</v>
      </c>
      <c r="C768" s="7" t="s">
        <v>439</v>
      </c>
      <c r="D768" s="7" t="s">
        <v>439</v>
      </c>
      <c r="E768" s="7" t="s">
        <v>1137</v>
      </c>
      <c r="F768" s="7" t="s">
        <v>928</v>
      </c>
      <c r="G768" s="7" t="s">
        <v>1148</v>
      </c>
      <c r="H768" s="8" t="s">
        <v>3421</v>
      </c>
      <c r="I768" s="8" t="s">
        <v>442</v>
      </c>
      <c r="J768" s="7" t="s">
        <v>87</v>
      </c>
      <c r="K768" s="7" t="s">
        <v>440</v>
      </c>
      <c r="L768" s="7" t="n">
        <v>2</v>
      </c>
      <c r="M768" s="7" t="s">
        <v>426</v>
      </c>
      <c r="N768" s="7"/>
      <c r="O768" s="7" t="s">
        <v>1150</v>
      </c>
      <c r="P768" s="7" t="s">
        <v>1183</v>
      </c>
      <c r="Q768" s="7" t="s">
        <v>1152</v>
      </c>
      <c r="R768" s="8"/>
      <c r="S768" s="12"/>
      <c r="T768" s="12"/>
    </row>
    <row r="769" customFormat="false" ht="35.05" hidden="false" customHeight="false" outlineLevel="0" collapsed="false">
      <c r="A769" s="7" t="s">
        <v>3422</v>
      </c>
      <c r="B769" s="7" t="s">
        <v>425</v>
      </c>
      <c r="C769" s="7" t="s">
        <v>439</v>
      </c>
      <c r="D769" s="7" t="s">
        <v>3423</v>
      </c>
      <c r="E769" s="7" t="s">
        <v>1179</v>
      </c>
      <c r="F769" s="7" t="s">
        <v>928</v>
      </c>
      <c r="G769" s="7" t="s">
        <v>1148</v>
      </c>
      <c r="H769" s="8" t="s">
        <v>441</v>
      </c>
      <c r="I769" s="8" t="s">
        <v>442</v>
      </c>
      <c r="J769" s="7" t="s">
        <v>133</v>
      </c>
      <c r="K769" s="7" t="s">
        <v>3424</v>
      </c>
      <c r="L769" s="7" t="n">
        <v>3</v>
      </c>
      <c r="M769" s="7" t="s">
        <v>440</v>
      </c>
      <c r="N769" s="7"/>
      <c r="O769" s="7" t="s">
        <v>1150</v>
      </c>
      <c r="P769" s="7" t="s">
        <v>1183</v>
      </c>
      <c r="Q769" s="7" t="s">
        <v>1184</v>
      </c>
      <c r="R769" s="8"/>
      <c r="S769" s="12"/>
      <c r="T769" s="12"/>
    </row>
    <row r="770" customFormat="false" ht="35.05" hidden="false" customHeight="false" outlineLevel="0" collapsed="false">
      <c r="A770" s="7" t="s">
        <v>3425</v>
      </c>
      <c r="B770" s="7" t="s">
        <v>425</v>
      </c>
      <c r="C770" s="7" t="s">
        <v>439</v>
      </c>
      <c r="D770" s="7" t="s">
        <v>3426</v>
      </c>
      <c r="E770" s="7" t="s">
        <v>1179</v>
      </c>
      <c r="F770" s="7" t="s">
        <v>928</v>
      </c>
      <c r="G770" s="7" t="s">
        <v>1148</v>
      </c>
      <c r="H770" s="8" t="s">
        <v>441</v>
      </c>
      <c r="I770" s="8" t="s">
        <v>442</v>
      </c>
      <c r="J770" s="7" t="s">
        <v>133</v>
      </c>
      <c r="K770" s="7" t="s">
        <v>3427</v>
      </c>
      <c r="L770" s="7" t="n">
        <v>3</v>
      </c>
      <c r="M770" s="7" t="s">
        <v>440</v>
      </c>
      <c r="N770" s="7"/>
      <c r="O770" s="7" t="s">
        <v>1150</v>
      </c>
      <c r="P770" s="7" t="s">
        <v>1183</v>
      </c>
      <c r="Q770" s="7" t="s">
        <v>1152</v>
      </c>
      <c r="R770" s="8"/>
      <c r="S770" s="12"/>
      <c r="T770" s="12"/>
    </row>
    <row r="771" customFormat="false" ht="46.25" hidden="false" customHeight="false" outlineLevel="0" collapsed="false">
      <c r="A771" s="7" t="s">
        <v>3428</v>
      </c>
      <c r="B771" s="7" t="s">
        <v>425</v>
      </c>
      <c r="C771" s="7" t="s">
        <v>439</v>
      </c>
      <c r="D771" s="7" t="s">
        <v>3429</v>
      </c>
      <c r="E771" s="7" t="s">
        <v>1179</v>
      </c>
      <c r="F771" s="7" t="s">
        <v>928</v>
      </c>
      <c r="G771" s="7" t="s">
        <v>1148</v>
      </c>
      <c r="H771" s="8" t="s">
        <v>3430</v>
      </c>
      <c r="I771" s="8" t="s">
        <v>442</v>
      </c>
      <c r="J771" s="7" t="s">
        <v>133</v>
      </c>
      <c r="K771" s="7" t="s">
        <v>3431</v>
      </c>
      <c r="L771" s="7" t="n">
        <v>3</v>
      </c>
      <c r="M771" s="7" t="s">
        <v>440</v>
      </c>
      <c r="N771" s="7"/>
      <c r="O771" s="7" t="s">
        <v>1150</v>
      </c>
      <c r="P771" s="7" t="s">
        <v>1183</v>
      </c>
      <c r="Q771" s="7" t="s">
        <v>1152</v>
      </c>
      <c r="R771" s="8"/>
      <c r="S771" s="12"/>
      <c r="T771" s="12"/>
    </row>
    <row r="772" customFormat="false" ht="35.05" hidden="false" customHeight="false" outlineLevel="0" collapsed="false">
      <c r="A772" s="7" t="s">
        <v>3432</v>
      </c>
      <c r="B772" s="7" t="s">
        <v>425</v>
      </c>
      <c r="C772" s="7" t="s">
        <v>439</v>
      </c>
      <c r="D772" s="7" t="s">
        <v>3433</v>
      </c>
      <c r="E772" s="7" t="s">
        <v>1179</v>
      </c>
      <c r="F772" s="7" t="s">
        <v>928</v>
      </c>
      <c r="G772" s="7" t="s">
        <v>1148</v>
      </c>
      <c r="H772" s="8" t="s">
        <v>3434</v>
      </c>
      <c r="I772" s="8" t="s">
        <v>442</v>
      </c>
      <c r="J772" s="7" t="s">
        <v>133</v>
      </c>
      <c r="K772" s="7" t="s">
        <v>3435</v>
      </c>
      <c r="L772" s="7" t="n">
        <v>3</v>
      </c>
      <c r="M772" s="7" t="s">
        <v>440</v>
      </c>
      <c r="N772" s="7"/>
      <c r="O772" s="7" t="s">
        <v>1150</v>
      </c>
      <c r="P772" s="7" t="s">
        <v>1183</v>
      </c>
      <c r="Q772" s="13" t="s">
        <v>1790</v>
      </c>
      <c r="R772" s="8"/>
      <c r="S772" s="12"/>
      <c r="T772" s="12"/>
    </row>
    <row r="773" customFormat="false" ht="35.05" hidden="false" customHeight="false" outlineLevel="0" collapsed="false">
      <c r="A773" s="7" t="s">
        <v>3436</v>
      </c>
      <c r="B773" s="7" t="s">
        <v>425</v>
      </c>
      <c r="C773" s="7" t="s">
        <v>439</v>
      </c>
      <c r="D773" s="7" t="s">
        <v>3437</v>
      </c>
      <c r="E773" s="7" t="s">
        <v>1179</v>
      </c>
      <c r="F773" s="7" t="s">
        <v>928</v>
      </c>
      <c r="G773" s="7" t="s">
        <v>1148</v>
      </c>
      <c r="H773" s="8" t="s">
        <v>3438</v>
      </c>
      <c r="I773" s="8" t="s">
        <v>442</v>
      </c>
      <c r="J773" s="7" t="s">
        <v>133</v>
      </c>
      <c r="K773" s="7" t="s">
        <v>3439</v>
      </c>
      <c r="L773" s="7" t="n">
        <v>3</v>
      </c>
      <c r="M773" s="7" t="s">
        <v>440</v>
      </c>
      <c r="N773" s="7"/>
      <c r="O773" s="7" t="s">
        <v>1150</v>
      </c>
      <c r="P773" s="7" t="s">
        <v>1183</v>
      </c>
      <c r="Q773" s="13" t="s">
        <v>1790</v>
      </c>
      <c r="R773" s="8"/>
      <c r="S773" s="12"/>
      <c r="T773" s="12"/>
    </row>
    <row r="774" customFormat="false" ht="35.05" hidden="false" customHeight="false" outlineLevel="0" collapsed="false">
      <c r="A774" s="7" t="s">
        <v>3440</v>
      </c>
      <c r="B774" s="7" t="s">
        <v>425</v>
      </c>
      <c r="C774" s="7" t="s">
        <v>439</v>
      </c>
      <c r="D774" s="7" t="s">
        <v>3441</v>
      </c>
      <c r="E774" s="7" t="s">
        <v>1179</v>
      </c>
      <c r="F774" s="7" t="s">
        <v>928</v>
      </c>
      <c r="G774" s="7" t="s">
        <v>1148</v>
      </c>
      <c r="H774" s="8" t="s">
        <v>441</v>
      </c>
      <c r="I774" s="8" t="s">
        <v>442</v>
      </c>
      <c r="J774" s="7" t="s">
        <v>133</v>
      </c>
      <c r="K774" s="7" t="s">
        <v>3442</v>
      </c>
      <c r="L774" s="7" t="n">
        <v>3</v>
      </c>
      <c r="M774" s="7" t="s">
        <v>440</v>
      </c>
      <c r="N774" s="7"/>
      <c r="O774" s="7" t="s">
        <v>1150</v>
      </c>
      <c r="P774" s="7" t="s">
        <v>1183</v>
      </c>
      <c r="Q774" s="7" t="s">
        <v>1152</v>
      </c>
      <c r="R774" s="8"/>
      <c r="S774" s="12"/>
      <c r="T774" s="12"/>
    </row>
    <row r="775" customFormat="false" ht="35.05" hidden="false" customHeight="false" outlineLevel="0" collapsed="false">
      <c r="A775" s="7" t="s">
        <v>3443</v>
      </c>
      <c r="B775" s="7" t="s">
        <v>425</v>
      </c>
      <c r="C775" s="7" t="s">
        <v>439</v>
      </c>
      <c r="D775" s="7" t="s">
        <v>3444</v>
      </c>
      <c r="E775" s="7" t="s">
        <v>1179</v>
      </c>
      <c r="F775" s="7" t="s">
        <v>928</v>
      </c>
      <c r="G775" s="7" t="s">
        <v>1148</v>
      </c>
      <c r="H775" s="8" t="s">
        <v>441</v>
      </c>
      <c r="I775" s="8" t="s">
        <v>442</v>
      </c>
      <c r="J775" s="7" t="s">
        <v>133</v>
      </c>
      <c r="K775" s="7" t="s">
        <v>3445</v>
      </c>
      <c r="L775" s="7" t="n">
        <v>3</v>
      </c>
      <c r="M775" s="7" t="s">
        <v>440</v>
      </c>
      <c r="N775" s="7"/>
      <c r="O775" s="7" t="s">
        <v>1150</v>
      </c>
      <c r="P775" s="7" t="s">
        <v>1183</v>
      </c>
      <c r="Q775" s="7" t="s">
        <v>1152</v>
      </c>
      <c r="R775" s="8"/>
      <c r="S775" s="12"/>
      <c r="T775" s="12"/>
    </row>
    <row r="776" customFormat="false" ht="35.05" hidden="false" customHeight="false" outlineLevel="0" collapsed="false">
      <c r="A776" s="7" t="s">
        <v>3446</v>
      </c>
      <c r="B776" s="7" t="s">
        <v>425</v>
      </c>
      <c r="C776" s="7" t="s">
        <v>439</v>
      </c>
      <c r="D776" s="7" t="s">
        <v>3447</v>
      </c>
      <c r="E776" s="7" t="s">
        <v>1179</v>
      </c>
      <c r="F776" s="7" t="s">
        <v>928</v>
      </c>
      <c r="G776" s="7" t="s">
        <v>1148</v>
      </c>
      <c r="H776" s="8" t="s">
        <v>441</v>
      </c>
      <c r="I776" s="8" t="s">
        <v>442</v>
      </c>
      <c r="J776" s="7" t="s">
        <v>133</v>
      </c>
      <c r="K776" s="7" t="s">
        <v>3448</v>
      </c>
      <c r="L776" s="7" t="n">
        <v>3</v>
      </c>
      <c r="M776" s="7" t="s">
        <v>440</v>
      </c>
      <c r="N776" s="7"/>
      <c r="O776" s="7" t="s">
        <v>1150</v>
      </c>
      <c r="P776" s="7" t="s">
        <v>1183</v>
      </c>
      <c r="Q776" s="7" t="s">
        <v>1152</v>
      </c>
      <c r="R776" s="8"/>
      <c r="S776" s="12"/>
      <c r="T776" s="12"/>
    </row>
    <row r="777" customFormat="false" ht="35.05" hidden="false" customHeight="false" outlineLevel="0" collapsed="false">
      <c r="A777" s="7" t="s">
        <v>3449</v>
      </c>
      <c r="B777" s="7" t="s">
        <v>425</v>
      </c>
      <c r="C777" s="7" t="s">
        <v>439</v>
      </c>
      <c r="D777" s="7" t="s">
        <v>3450</v>
      </c>
      <c r="E777" s="7" t="s">
        <v>1179</v>
      </c>
      <c r="F777" s="7" t="s">
        <v>928</v>
      </c>
      <c r="G777" s="7" t="s">
        <v>1148</v>
      </c>
      <c r="H777" s="8" t="s">
        <v>441</v>
      </c>
      <c r="I777" s="8" t="s">
        <v>442</v>
      </c>
      <c r="J777" s="7" t="s">
        <v>133</v>
      </c>
      <c r="K777" s="7" t="s">
        <v>3451</v>
      </c>
      <c r="L777" s="7" t="n">
        <v>3</v>
      </c>
      <c r="M777" s="7" t="s">
        <v>440</v>
      </c>
      <c r="N777" s="7"/>
      <c r="O777" s="7" t="s">
        <v>1150</v>
      </c>
      <c r="P777" s="7" t="s">
        <v>1183</v>
      </c>
      <c r="Q777" s="7" t="s">
        <v>1152</v>
      </c>
      <c r="R777" s="8"/>
      <c r="S777" s="12"/>
      <c r="T777" s="12"/>
    </row>
    <row r="778" customFormat="false" ht="35.05" hidden="false" customHeight="false" outlineLevel="0" collapsed="false">
      <c r="A778" s="7" t="s">
        <v>3452</v>
      </c>
      <c r="B778" s="7" t="s">
        <v>425</v>
      </c>
      <c r="C778" s="7" t="s">
        <v>439</v>
      </c>
      <c r="D778" s="7" t="s">
        <v>3453</v>
      </c>
      <c r="E778" s="7" t="s">
        <v>1179</v>
      </c>
      <c r="F778" s="7" t="s">
        <v>928</v>
      </c>
      <c r="G778" s="7" t="s">
        <v>1148</v>
      </c>
      <c r="H778" s="8" t="s">
        <v>441</v>
      </c>
      <c r="I778" s="8" t="s">
        <v>442</v>
      </c>
      <c r="J778" s="7" t="s">
        <v>133</v>
      </c>
      <c r="K778" s="7" t="s">
        <v>3454</v>
      </c>
      <c r="L778" s="7" t="n">
        <v>3</v>
      </c>
      <c r="M778" s="7" t="s">
        <v>440</v>
      </c>
      <c r="N778" s="7"/>
      <c r="O778" s="7" t="s">
        <v>1150</v>
      </c>
      <c r="P778" s="7" t="s">
        <v>1183</v>
      </c>
      <c r="Q778" s="7" t="s">
        <v>1152</v>
      </c>
      <c r="R778" s="8"/>
      <c r="S778" s="12"/>
      <c r="T778" s="12"/>
    </row>
    <row r="779" customFormat="false" ht="35.05" hidden="false" customHeight="false" outlineLevel="0" collapsed="false">
      <c r="A779" s="7" t="s">
        <v>3455</v>
      </c>
      <c r="B779" s="7" t="s">
        <v>425</v>
      </c>
      <c r="C779" s="7" t="s">
        <v>439</v>
      </c>
      <c r="D779" s="7" t="s">
        <v>3456</v>
      </c>
      <c r="E779" s="7" t="s">
        <v>1179</v>
      </c>
      <c r="F779" s="7" t="s">
        <v>928</v>
      </c>
      <c r="G779" s="7" t="s">
        <v>1148</v>
      </c>
      <c r="H779" s="8" t="s">
        <v>441</v>
      </c>
      <c r="I779" s="8" t="s">
        <v>442</v>
      </c>
      <c r="J779" s="7" t="s">
        <v>133</v>
      </c>
      <c r="K779" s="7" t="s">
        <v>3457</v>
      </c>
      <c r="L779" s="7" t="n">
        <v>3</v>
      </c>
      <c r="M779" s="7" t="s">
        <v>440</v>
      </c>
      <c r="N779" s="7"/>
      <c r="O779" s="7" t="s">
        <v>1150</v>
      </c>
      <c r="P779" s="7" t="s">
        <v>1183</v>
      </c>
      <c r="Q779" s="7" t="s">
        <v>1152</v>
      </c>
      <c r="R779" s="8"/>
      <c r="S779" s="12"/>
      <c r="T779" s="12"/>
    </row>
    <row r="780" customFormat="false" ht="35.05" hidden="false" customHeight="false" outlineLevel="0" collapsed="false">
      <c r="A780" s="7" t="s">
        <v>3458</v>
      </c>
      <c r="B780" s="7" t="s">
        <v>425</v>
      </c>
      <c r="C780" s="7" t="s">
        <v>439</v>
      </c>
      <c r="D780" s="7" t="s">
        <v>3459</v>
      </c>
      <c r="E780" s="7" t="s">
        <v>1179</v>
      </c>
      <c r="F780" s="7" t="s">
        <v>928</v>
      </c>
      <c r="G780" s="7" t="s">
        <v>1148</v>
      </c>
      <c r="H780" s="8" t="s">
        <v>441</v>
      </c>
      <c r="I780" s="8" t="s">
        <v>442</v>
      </c>
      <c r="J780" s="7" t="s">
        <v>133</v>
      </c>
      <c r="K780" s="7" t="s">
        <v>3460</v>
      </c>
      <c r="L780" s="7" t="n">
        <v>3</v>
      </c>
      <c r="M780" s="7" t="s">
        <v>440</v>
      </c>
      <c r="N780" s="7"/>
      <c r="O780" s="7" t="s">
        <v>1150</v>
      </c>
      <c r="P780" s="7" t="s">
        <v>1183</v>
      </c>
      <c r="Q780" s="7" t="s">
        <v>1152</v>
      </c>
      <c r="R780" s="8"/>
      <c r="S780" s="12"/>
      <c r="T780" s="12"/>
    </row>
    <row r="781" customFormat="false" ht="35.05" hidden="false" customHeight="false" outlineLevel="0" collapsed="false">
      <c r="A781" s="7" t="s">
        <v>3461</v>
      </c>
      <c r="B781" s="7" t="s">
        <v>425</v>
      </c>
      <c r="C781" s="7" t="s">
        <v>439</v>
      </c>
      <c r="D781" s="7" t="s">
        <v>3462</v>
      </c>
      <c r="E781" s="7" t="s">
        <v>1179</v>
      </c>
      <c r="F781" s="7" t="s">
        <v>928</v>
      </c>
      <c r="G781" s="7" t="s">
        <v>1148</v>
      </c>
      <c r="H781" s="8" t="s">
        <v>3463</v>
      </c>
      <c r="I781" s="8" t="s">
        <v>442</v>
      </c>
      <c r="J781" s="7" t="s">
        <v>133</v>
      </c>
      <c r="K781" s="7" t="s">
        <v>3464</v>
      </c>
      <c r="L781" s="7" t="n">
        <v>3</v>
      </c>
      <c r="M781" s="7" t="s">
        <v>440</v>
      </c>
      <c r="N781" s="7"/>
      <c r="O781" s="7" t="s">
        <v>1150</v>
      </c>
      <c r="P781" s="7" t="s">
        <v>1151</v>
      </c>
      <c r="Q781" s="13" t="s">
        <v>1790</v>
      </c>
      <c r="R781" s="8"/>
      <c r="S781" s="12"/>
      <c r="T781" s="12"/>
    </row>
    <row r="782" customFormat="false" ht="35.05" hidden="false" customHeight="false" outlineLevel="0" collapsed="false">
      <c r="A782" s="7" t="s">
        <v>3465</v>
      </c>
      <c r="B782" s="7" t="s">
        <v>425</v>
      </c>
      <c r="C782" s="7" t="s">
        <v>439</v>
      </c>
      <c r="D782" s="7" t="s">
        <v>3466</v>
      </c>
      <c r="E782" s="7" t="s">
        <v>1179</v>
      </c>
      <c r="F782" s="7" t="s">
        <v>928</v>
      </c>
      <c r="G782" s="7" t="s">
        <v>1148</v>
      </c>
      <c r="H782" s="8" t="s">
        <v>3463</v>
      </c>
      <c r="I782" s="8" t="s">
        <v>442</v>
      </c>
      <c r="J782" s="7" t="s">
        <v>133</v>
      </c>
      <c r="K782" s="7" t="s">
        <v>3467</v>
      </c>
      <c r="L782" s="7" t="n">
        <v>3</v>
      </c>
      <c r="M782" s="7" t="s">
        <v>440</v>
      </c>
      <c r="N782" s="7"/>
      <c r="O782" s="7" t="s">
        <v>1150</v>
      </c>
      <c r="P782" s="7" t="s">
        <v>1183</v>
      </c>
      <c r="Q782" s="13" t="s">
        <v>1790</v>
      </c>
      <c r="R782" s="8"/>
      <c r="S782" s="12"/>
      <c r="T782" s="12"/>
    </row>
    <row r="783" customFormat="false" ht="35.05" hidden="false" customHeight="false" outlineLevel="0" collapsed="false">
      <c r="A783" s="7" t="s">
        <v>3468</v>
      </c>
      <c r="B783" s="7" t="s">
        <v>425</v>
      </c>
      <c r="C783" s="7" t="s">
        <v>439</v>
      </c>
      <c r="D783" s="7" t="s">
        <v>3469</v>
      </c>
      <c r="E783" s="7" t="s">
        <v>1179</v>
      </c>
      <c r="F783" s="7" t="s">
        <v>928</v>
      </c>
      <c r="G783" s="7" t="s">
        <v>1148</v>
      </c>
      <c r="H783" s="8" t="s">
        <v>3434</v>
      </c>
      <c r="I783" s="8" t="s">
        <v>442</v>
      </c>
      <c r="J783" s="7" t="s">
        <v>133</v>
      </c>
      <c r="K783" s="7" t="s">
        <v>3470</v>
      </c>
      <c r="L783" s="7" t="n">
        <v>3</v>
      </c>
      <c r="M783" s="7" t="s">
        <v>440</v>
      </c>
      <c r="N783" s="7"/>
      <c r="O783" s="7" t="s">
        <v>1150</v>
      </c>
      <c r="P783" s="7" t="s">
        <v>1183</v>
      </c>
      <c r="Q783" s="13" t="s">
        <v>1790</v>
      </c>
      <c r="R783" s="8"/>
      <c r="S783" s="12"/>
      <c r="T783" s="12"/>
    </row>
    <row r="784" customFormat="false" ht="35.05" hidden="false" customHeight="false" outlineLevel="0" collapsed="false">
      <c r="A784" s="7" t="s">
        <v>3471</v>
      </c>
      <c r="B784" s="7" t="s">
        <v>445</v>
      </c>
      <c r="C784" s="7" t="s">
        <v>449</v>
      </c>
      <c r="D784" s="7" t="s">
        <v>449</v>
      </c>
      <c r="E784" s="7" t="s">
        <v>1137</v>
      </c>
      <c r="F784" s="7" t="s">
        <v>928</v>
      </c>
      <c r="G784" s="7" t="s">
        <v>1148</v>
      </c>
      <c r="H784" s="8" t="s">
        <v>3472</v>
      </c>
      <c r="I784" s="8" t="s">
        <v>448</v>
      </c>
      <c r="J784" s="7" t="s">
        <v>87</v>
      </c>
      <c r="K784" s="7" t="s">
        <v>450</v>
      </c>
      <c r="L784" s="7" t="n">
        <v>2</v>
      </c>
      <c r="M784" s="7" t="s">
        <v>446</v>
      </c>
      <c r="N784" s="7"/>
      <c r="O784" s="7" t="s">
        <v>1421</v>
      </c>
      <c r="P784" s="7" t="s">
        <v>1183</v>
      </c>
      <c r="Q784" s="7" t="s">
        <v>1152</v>
      </c>
      <c r="R784" s="8"/>
      <c r="S784" s="12"/>
      <c r="T784" s="12"/>
    </row>
    <row r="785" customFormat="false" ht="35.05" hidden="false" customHeight="false" outlineLevel="0" collapsed="false">
      <c r="A785" s="7" t="s">
        <v>3473</v>
      </c>
      <c r="B785" s="7" t="s">
        <v>445</v>
      </c>
      <c r="C785" s="7" t="s">
        <v>449</v>
      </c>
      <c r="D785" s="7" t="s">
        <v>3474</v>
      </c>
      <c r="E785" s="7" t="s">
        <v>1179</v>
      </c>
      <c r="F785" s="7" t="s">
        <v>943</v>
      </c>
      <c r="G785" s="7" t="s">
        <v>1424</v>
      </c>
      <c r="H785" s="8" t="s">
        <v>451</v>
      </c>
      <c r="I785" s="8" t="s">
        <v>448</v>
      </c>
      <c r="J785" s="7" t="s">
        <v>133</v>
      </c>
      <c r="K785" s="7" t="s">
        <v>3475</v>
      </c>
      <c r="L785" s="7" t="n">
        <v>3</v>
      </c>
      <c r="M785" s="7" t="s">
        <v>450</v>
      </c>
      <c r="N785" s="7"/>
      <c r="O785" s="7" t="s">
        <v>1421</v>
      </c>
      <c r="P785" s="7" t="s">
        <v>1183</v>
      </c>
      <c r="Q785" s="7" t="s">
        <v>1152</v>
      </c>
      <c r="R785" s="8"/>
      <c r="S785" s="12"/>
      <c r="T785" s="12"/>
    </row>
    <row r="786" customFormat="false" ht="35.05" hidden="false" customHeight="false" outlineLevel="0" collapsed="false">
      <c r="A786" s="7" t="s">
        <v>3476</v>
      </c>
      <c r="B786" s="7" t="s">
        <v>445</v>
      </c>
      <c r="C786" s="7" t="s">
        <v>449</v>
      </c>
      <c r="D786" s="7" t="s">
        <v>3477</v>
      </c>
      <c r="E786" s="7" t="s">
        <v>1179</v>
      </c>
      <c r="F786" s="7" t="s">
        <v>943</v>
      </c>
      <c r="G786" s="7" t="s">
        <v>1424</v>
      </c>
      <c r="H786" s="8" t="s">
        <v>451</v>
      </c>
      <c r="I786" s="8" t="s">
        <v>448</v>
      </c>
      <c r="J786" s="7" t="s">
        <v>133</v>
      </c>
      <c r="K786" s="7" t="s">
        <v>3478</v>
      </c>
      <c r="L786" s="7" t="n">
        <v>3</v>
      </c>
      <c r="M786" s="7" t="s">
        <v>450</v>
      </c>
      <c r="N786" s="7"/>
      <c r="O786" s="7" t="s">
        <v>1421</v>
      </c>
      <c r="P786" s="7" t="s">
        <v>1183</v>
      </c>
      <c r="Q786" s="7" t="s">
        <v>1152</v>
      </c>
      <c r="R786" s="8"/>
      <c r="S786" s="12"/>
      <c r="T786" s="12"/>
    </row>
    <row r="787" customFormat="false" ht="35.05" hidden="false" customHeight="false" outlineLevel="0" collapsed="false">
      <c r="A787" s="7" t="s">
        <v>3479</v>
      </c>
      <c r="B787" s="7" t="s">
        <v>445</v>
      </c>
      <c r="C787" s="7" t="s">
        <v>449</v>
      </c>
      <c r="D787" s="7" t="s">
        <v>3480</v>
      </c>
      <c r="E787" s="7" t="s">
        <v>1179</v>
      </c>
      <c r="F787" s="7" t="s">
        <v>943</v>
      </c>
      <c r="G787" s="7" t="s">
        <v>1424</v>
      </c>
      <c r="H787" s="8" t="s">
        <v>451</v>
      </c>
      <c r="I787" s="8" t="s">
        <v>448</v>
      </c>
      <c r="J787" s="7" t="s">
        <v>133</v>
      </c>
      <c r="K787" s="7" t="s">
        <v>3481</v>
      </c>
      <c r="L787" s="7" t="n">
        <v>3</v>
      </c>
      <c r="M787" s="7" t="s">
        <v>450</v>
      </c>
      <c r="N787" s="7"/>
      <c r="O787" s="7" t="s">
        <v>1421</v>
      </c>
      <c r="P787" s="7" t="s">
        <v>1183</v>
      </c>
      <c r="Q787" s="7" t="s">
        <v>1152</v>
      </c>
      <c r="R787" s="8"/>
      <c r="S787" s="12"/>
      <c r="T787" s="12"/>
    </row>
    <row r="788" customFormat="false" ht="35.05" hidden="false" customHeight="false" outlineLevel="0" collapsed="false">
      <c r="A788" s="7" t="s">
        <v>3482</v>
      </c>
      <c r="B788" s="7" t="s">
        <v>445</v>
      </c>
      <c r="C788" s="7" t="s">
        <v>449</v>
      </c>
      <c r="D788" s="7" t="s">
        <v>3483</v>
      </c>
      <c r="E788" s="7" t="s">
        <v>1179</v>
      </c>
      <c r="F788" s="7" t="s">
        <v>943</v>
      </c>
      <c r="G788" s="7" t="s">
        <v>1424</v>
      </c>
      <c r="H788" s="8" t="s">
        <v>451</v>
      </c>
      <c r="I788" s="8" t="s">
        <v>448</v>
      </c>
      <c r="J788" s="7" t="s">
        <v>133</v>
      </c>
      <c r="K788" s="7" t="s">
        <v>3484</v>
      </c>
      <c r="L788" s="7" t="n">
        <v>3</v>
      </c>
      <c r="M788" s="7" t="s">
        <v>450</v>
      </c>
      <c r="N788" s="7"/>
      <c r="O788" s="7" t="s">
        <v>1421</v>
      </c>
      <c r="P788" s="7" t="s">
        <v>1183</v>
      </c>
      <c r="Q788" s="7" t="s">
        <v>1152</v>
      </c>
      <c r="R788" s="8"/>
      <c r="S788" s="12"/>
      <c r="T788" s="12"/>
    </row>
    <row r="789" customFormat="false" ht="35.05" hidden="false" customHeight="false" outlineLevel="0" collapsed="false">
      <c r="A789" s="7" t="s">
        <v>3485</v>
      </c>
      <c r="B789" s="7" t="s">
        <v>445</v>
      </c>
      <c r="C789" s="7" t="s">
        <v>449</v>
      </c>
      <c r="D789" s="7" t="s">
        <v>3486</v>
      </c>
      <c r="E789" s="7" t="s">
        <v>1179</v>
      </c>
      <c r="F789" s="7" t="s">
        <v>943</v>
      </c>
      <c r="G789" s="7" t="s">
        <v>1424</v>
      </c>
      <c r="H789" s="8" t="s">
        <v>451</v>
      </c>
      <c r="I789" s="8" t="s">
        <v>448</v>
      </c>
      <c r="J789" s="7" t="s">
        <v>133</v>
      </c>
      <c r="K789" s="7" t="s">
        <v>3487</v>
      </c>
      <c r="L789" s="7" t="n">
        <v>3</v>
      </c>
      <c r="M789" s="7" t="s">
        <v>450</v>
      </c>
      <c r="N789" s="7"/>
      <c r="O789" s="7" t="s">
        <v>1421</v>
      </c>
      <c r="P789" s="7" t="s">
        <v>1183</v>
      </c>
      <c r="Q789" s="7" t="s">
        <v>1152</v>
      </c>
      <c r="R789" s="8"/>
      <c r="S789" s="12"/>
      <c r="T789" s="12"/>
    </row>
    <row r="790" customFormat="false" ht="35.05" hidden="false" customHeight="false" outlineLevel="0" collapsed="false">
      <c r="A790" s="7" t="s">
        <v>3488</v>
      </c>
      <c r="B790" s="7" t="s">
        <v>445</v>
      </c>
      <c r="C790" s="7" t="s">
        <v>449</v>
      </c>
      <c r="D790" s="7" t="s">
        <v>3489</v>
      </c>
      <c r="E790" s="7" t="s">
        <v>1179</v>
      </c>
      <c r="F790" s="7" t="s">
        <v>943</v>
      </c>
      <c r="G790" s="7" t="s">
        <v>1424</v>
      </c>
      <c r="H790" s="8" t="s">
        <v>451</v>
      </c>
      <c r="I790" s="8" t="s">
        <v>448</v>
      </c>
      <c r="J790" s="7" t="s">
        <v>133</v>
      </c>
      <c r="K790" s="7" t="s">
        <v>3490</v>
      </c>
      <c r="L790" s="7" t="n">
        <v>3</v>
      </c>
      <c r="M790" s="7" t="s">
        <v>450</v>
      </c>
      <c r="N790" s="7"/>
      <c r="O790" s="7" t="s">
        <v>1421</v>
      </c>
      <c r="P790" s="7" t="s">
        <v>1183</v>
      </c>
      <c r="Q790" s="7" t="s">
        <v>1152</v>
      </c>
      <c r="R790" s="8"/>
      <c r="S790" s="12"/>
      <c r="T790" s="12"/>
    </row>
    <row r="791" customFormat="false" ht="35.05" hidden="false" customHeight="false" outlineLevel="0" collapsed="false">
      <c r="A791" s="7" t="s">
        <v>3491</v>
      </c>
      <c r="B791" s="7" t="s">
        <v>445</v>
      </c>
      <c r="C791" s="7" t="s">
        <v>449</v>
      </c>
      <c r="D791" s="7" t="s">
        <v>3492</v>
      </c>
      <c r="E791" s="7" t="s">
        <v>1179</v>
      </c>
      <c r="F791" s="7" t="s">
        <v>943</v>
      </c>
      <c r="G791" s="7" t="s">
        <v>1424</v>
      </c>
      <c r="H791" s="8" t="s">
        <v>451</v>
      </c>
      <c r="I791" s="8" t="s">
        <v>448</v>
      </c>
      <c r="J791" s="7" t="s">
        <v>133</v>
      </c>
      <c r="K791" s="7" t="s">
        <v>3493</v>
      </c>
      <c r="L791" s="7" t="n">
        <v>3</v>
      </c>
      <c r="M791" s="7" t="s">
        <v>450</v>
      </c>
      <c r="N791" s="7"/>
      <c r="O791" s="7" t="s">
        <v>1421</v>
      </c>
      <c r="P791" s="7" t="s">
        <v>1183</v>
      </c>
      <c r="Q791" s="7" t="s">
        <v>1152</v>
      </c>
      <c r="R791" s="8"/>
      <c r="S791" s="12"/>
      <c r="T791" s="12"/>
    </row>
    <row r="792" customFormat="false" ht="35.05" hidden="false" customHeight="false" outlineLevel="0" collapsed="false">
      <c r="A792" s="7" t="s">
        <v>3494</v>
      </c>
      <c r="B792" s="7" t="s">
        <v>445</v>
      </c>
      <c r="C792" s="7" t="s">
        <v>452</v>
      </c>
      <c r="D792" s="7" t="s">
        <v>452</v>
      </c>
      <c r="E792" s="7" t="s">
        <v>1137</v>
      </c>
      <c r="F792" s="7" t="s">
        <v>928</v>
      </c>
      <c r="G792" s="7" t="s">
        <v>1148</v>
      </c>
      <c r="H792" s="8" t="s">
        <v>3495</v>
      </c>
      <c r="I792" s="8" t="s">
        <v>197</v>
      </c>
      <c r="J792" s="7" t="s">
        <v>87</v>
      </c>
      <c r="K792" s="7" t="s">
        <v>453</v>
      </c>
      <c r="L792" s="7" t="n">
        <v>2</v>
      </c>
      <c r="M792" s="7" t="s">
        <v>446</v>
      </c>
      <c r="N792" s="7"/>
      <c r="O792" s="7" t="s">
        <v>1479</v>
      </c>
      <c r="P792" s="7" t="s">
        <v>1480</v>
      </c>
      <c r="Q792" s="7" t="s">
        <v>1152</v>
      </c>
      <c r="R792" s="8"/>
      <c r="S792" s="12"/>
      <c r="T792" s="12"/>
    </row>
    <row r="793" customFormat="false" ht="23.85" hidden="false" customHeight="false" outlineLevel="0" collapsed="false">
      <c r="A793" s="7" t="s">
        <v>3496</v>
      </c>
      <c r="B793" s="7" t="s">
        <v>445</v>
      </c>
      <c r="C793" s="7" t="s">
        <v>452</v>
      </c>
      <c r="D793" s="7" t="s">
        <v>3497</v>
      </c>
      <c r="E793" s="7" t="s">
        <v>1179</v>
      </c>
      <c r="F793" s="7" t="s">
        <v>928</v>
      </c>
      <c r="G793" s="7" t="s">
        <v>1148</v>
      </c>
      <c r="H793" s="8" t="s">
        <v>454</v>
      </c>
      <c r="I793" s="8" t="s">
        <v>197</v>
      </c>
      <c r="J793" s="7" t="s">
        <v>133</v>
      </c>
      <c r="K793" s="7" t="s">
        <v>3498</v>
      </c>
      <c r="L793" s="7" t="n">
        <v>3</v>
      </c>
      <c r="M793" s="7" t="s">
        <v>453</v>
      </c>
      <c r="N793" s="7"/>
      <c r="O793" s="7" t="s">
        <v>1479</v>
      </c>
      <c r="P793" s="7" t="s">
        <v>1480</v>
      </c>
      <c r="Q793" s="7" t="s">
        <v>1152</v>
      </c>
      <c r="R793" s="8"/>
      <c r="S793" s="12"/>
      <c r="T793" s="12"/>
    </row>
    <row r="794" customFormat="false" ht="23.85" hidden="false" customHeight="false" outlineLevel="0" collapsed="false">
      <c r="A794" s="7" t="s">
        <v>3499</v>
      </c>
      <c r="B794" s="7" t="s">
        <v>445</v>
      </c>
      <c r="C794" s="7" t="s">
        <v>452</v>
      </c>
      <c r="D794" s="7" t="s">
        <v>3500</v>
      </c>
      <c r="E794" s="7" t="s">
        <v>1179</v>
      </c>
      <c r="F794" s="7" t="s">
        <v>928</v>
      </c>
      <c r="G794" s="7" t="s">
        <v>1148</v>
      </c>
      <c r="H794" s="8" t="s">
        <v>454</v>
      </c>
      <c r="I794" s="8" t="s">
        <v>197</v>
      </c>
      <c r="J794" s="7" t="s">
        <v>133</v>
      </c>
      <c r="K794" s="7" t="s">
        <v>3501</v>
      </c>
      <c r="L794" s="7" t="n">
        <v>3</v>
      </c>
      <c r="M794" s="7" t="s">
        <v>453</v>
      </c>
      <c r="N794" s="7"/>
      <c r="O794" s="7" t="s">
        <v>1479</v>
      </c>
      <c r="P794" s="7" t="s">
        <v>1480</v>
      </c>
      <c r="Q794" s="7" t="s">
        <v>1152</v>
      </c>
      <c r="R794" s="8"/>
      <c r="S794" s="12"/>
      <c r="T794" s="12"/>
    </row>
    <row r="795" customFormat="false" ht="23.85" hidden="false" customHeight="false" outlineLevel="0" collapsed="false">
      <c r="A795" s="7" t="s">
        <v>3502</v>
      </c>
      <c r="B795" s="7" t="s">
        <v>445</v>
      </c>
      <c r="C795" s="7" t="s">
        <v>455</v>
      </c>
      <c r="D795" s="7" t="s">
        <v>455</v>
      </c>
      <c r="E795" s="7" t="s">
        <v>1137</v>
      </c>
      <c r="F795" s="7" t="s">
        <v>928</v>
      </c>
      <c r="G795" s="7" t="s">
        <v>1148</v>
      </c>
      <c r="H795" s="8" t="s">
        <v>3503</v>
      </c>
      <c r="I795" s="8" t="s">
        <v>197</v>
      </c>
      <c r="J795" s="7" t="s">
        <v>87</v>
      </c>
      <c r="K795" s="7" t="s">
        <v>456</v>
      </c>
      <c r="L795" s="7" t="n">
        <v>2</v>
      </c>
      <c r="M795" s="7" t="s">
        <v>446</v>
      </c>
      <c r="N795" s="7"/>
      <c r="O795" s="7" t="s">
        <v>1479</v>
      </c>
      <c r="P795" s="7" t="s">
        <v>1480</v>
      </c>
      <c r="Q795" s="7" t="s">
        <v>1152</v>
      </c>
      <c r="R795" s="8"/>
      <c r="S795" s="12"/>
      <c r="T795" s="12"/>
    </row>
    <row r="796" customFormat="false" ht="23.85" hidden="false" customHeight="false" outlineLevel="0" collapsed="false">
      <c r="A796" s="7" t="s">
        <v>3504</v>
      </c>
      <c r="B796" s="7" t="s">
        <v>445</v>
      </c>
      <c r="C796" s="7" t="s">
        <v>455</v>
      </c>
      <c r="D796" s="7" t="s">
        <v>3505</v>
      </c>
      <c r="E796" s="7" t="s">
        <v>1179</v>
      </c>
      <c r="F796" s="7" t="s">
        <v>928</v>
      </c>
      <c r="G796" s="7" t="s">
        <v>1148</v>
      </c>
      <c r="H796" s="8" t="s">
        <v>457</v>
      </c>
      <c r="I796" s="8" t="s">
        <v>197</v>
      </c>
      <c r="J796" s="7" t="s">
        <v>133</v>
      </c>
      <c r="K796" s="7" t="s">
        <v>3506</v>
      </c>
      <c r="L796" s="7" t="n">
        <v>3</v>
      </c>
      <c r="M796" s="7" t="s">
        <v>456</v>
      </c>
      <c r="N796" s="7"/>
      <c r="O796" s="7" t="s">
        <v>1479</v>
      </c>
      <c r="P796" s="7" t="s">
        <v>1480</v>
      </c>
      <c r="Q796" s="7" t="s">
        <v>1152</v>
      </c>
      <c r="R796" s="8"/>
      <c r="S796" s="12"/>
      <c r="T796" s="12"/>
    </row>
    <row r="797" customFormat="false" ht="23.85" hidden="false" customHeight="false" outlineLevel="0" collapsed="false">
      <c r="A797" s="7" t="s">
        <v>3507</v>
      </c>
      <c r="B797" s="7" t="s">
        <v>445</v>
      </c>
      <c r="C797" s="7" t="s">
        <v>455</v>
      </c>
      <c r="D797" s="7" t="s">
        <v>3508</v>
      </c>
      <c r="E797" s="7" t="s">
        <v>1179</v>
      </c>
      <c r="F797" s="7" t="s">
        <v>928</v>
      </c>
      <c r="G797" s="7" t="s">
        <v>1148</v>
      </c>
      <c r="H797" s="8" t="s">
        <v>457</v>
      </c>
      <c r="I797" s="8" t="s">
        <v>197</v>
      </c>
      <c r="J797" s="7" t="s">
        <v>133</v>
      </c>
      <c r="K797" s="7" t="s">
        <v>3509</v>
      </c>
      <c r="L797" s="7" t="n">
        <v>3</v>
      </c>
      <c r="M797" s="7" t="s">
        <v>456</v>
      </c>
      <c r="N797" s="7"/>
      <c r="O797" s="7" t="s">
        <v>1479</v>
      </c>
      <c r="P797" s="7" t="s">
        <v>1480</v>
      </c>
      <c r="Q797" s="7" t="s">
        <v>1152</v>
      </c>
      <c r="R797" s="8"/>
      <c r="S797" s="12"/>
      <c r="T797" s="12"/>
    </row>
    <row r="798" customFormat="false" ht="23.85" hidden="false" customHeight="false" outlineLevel="0" collapsed="false">
      <c r="A798" s="7" t="s">
        <v>3510</v>
      </c>
      <c r="B798" s="7" t="s">
        <v>445</v>
      </c>
      <c r="C798" s="7" t="s">
        <v>455</v>
      </c>
      <c r="D798" s="7" t="s">
        <v>3511</v>
      </c>
      <c r="E798" s="7" t="s">
        <v>1179</v>
      </c>
      <c r="F798" s="7" t="s">
        <v>928</v>
      </c>
      <c r="G798" s="7" t="s">
        <v>1148</v>
      </c>
      <c r="H798" s="8" t="s">
        <v>457</v>
      </c>
      <c r="I798" s="8" t="s">
        <v>197</v>
      </c>
      <c r="J798" s="7" t="s">
        <v>133</v>
      </c>
      <c r="K798" s="7" t="s">
        <v>3512</v>
      </c>
      <c r="L798" s="7" t="n">
        <v>3</v>
      </c>
      <c r="M798" s="7" t="s">
        <v>456</v>
      </c>
      <c r="N798" s="7"/>
      <c r="O798" s="7" t="s">
        <v>1479</v>
      </c>
      <c r="P798" s="7" t="s">
        <v>1480</v>
      </c>
      <c r="Q798" s="7" t="s">
        <v>1152</v>
      </c>
      <c r="R798" s="8"/>
      <c r="S798" s="12"/>
      <c r="T798" s="12"/>
    </row>
    <row r="799" customFormat="false" ht="23.85" hidden="false" customHeight="false" outlineLevel="0" collapsed="false">
      <c r="A799" s="7" t="s">
        <v>3513</v>
      </c>
      <c r="B799" s="7" t="s">
        <v>445</v>
      </c>
      <c r="C799" s="7" t="s">
        <v>455</v>
      </c>
      <c r="D799" s="7" t="s">
        <v>3514</v>
      </c>
      <c r="E799" s="7" t="s">
        <v>1179</v>
      </c>
      <c r="F799" s="7" t="s">
        <v>928</v>
      </c>
      <c r="G799" s="7" t="s">
        <v>1148</v>
      </c>
      <c r="H799" s="8" t="s">
        <v>457</v>
      </c>
      <c r="I799" s="8" t="s">
        <v>197</v>
      </c>
      <c r="J799" s="7" t="s">
        <v>133</v>
      </c>
      <c r="K799" s="7" t="s">
        <v>3515</v>
      </c>
      <c r="L799" s="7" t="n">
        <v>3</v>
      </c>
      <c r="M799" s="7" t="s">
        <v>456</v>
      </c>
      <c r="N799" s="7"/>
      <c r="O799" s="7" t="s">
        <v>1479</v>
      </c>
      <c r="P799" s="7" t="s">
        <v>1480</v>
      </c>
      <c r="Q799" s="7" t="s">
        <v>1152</v>
      </c>
      <c r="R799" s="8"/>
      <c r="S799" s="12"/>
      <c r="T799" s="12"/>
    </row>
    <row r="800" customFormat="false" ht="35.05" hidden="false" customHeight="false" outlineLevel="0" collapsed="false">
      <c r="A800" s="7" t="s">
        <v>3516</v>
      </c>
      <c r="B800" s="7" t="s">
        <v>445</v>
      </c>
      <c r="C800" s="7" t="s">
        <v>458</v>
      </c>
      <c r="D800" s="7" t="s">
        <v>458</v>
      </c>
      <c r="E800" s="7" t="s">
        <v>1137</v>
      </c>
      <c r="F800" s="7" t="s">
        <v>928</v>
      </c>
      <c r="G800" s="7" t="s">
        <v>1148</v>
      </c>
      <c r="H800" s="8" t="s">
        <v>3517</v>
      </c>
      <c r="I800" s="8" t="s">
        <v>461</v>
      </c>
      <c r="J800" s="7" t="s">
        <v>87</v>
      </c>
      <c r="K800" s="7" t="s">
        <v>459</v>
      </c>
      <c r="L800" s="7" t="n">
        <v>2</v>
      </c>
      <c r="M800" s="7" t="s">
        <v>446</v>
      </c>
      <c r="N800" s="7"/>
      <c r="O800" s="7" t="s">
        <v>1421</v>
      </c>
      <c r="P800" s="7" t="s">
        <v>1183</v>
      </c>
      <c r="Q800" s="7" t="s">
        <v>1152</v>
      </c>
      <c r="R800" s="8"/>
      <c r="S800" s="12"/>
      <c r="T800" s="12"/>
    </row>
    <row r="801" customFormat="false" ht="23.85" hidden="false" customHeight="false" outlineLevel="0" collapsed="false">
      <c r="A801" s="7" t="s">
        <v>3518</v>
      </c>
      <c r="B801" s="7" t="s">
        <v>445</v>
      </c>
      <c r="C801" s="7" t="s">
        <v>458</v>
      </c>
      <c r="D801" s="7" t="s">
        <v>3519</v>
      </c>
      <c r="E801" s="7" t="s">
        <v>1179</v>
      </c>
      <c r="F801" s="7" t="s">
        <v>943</v>
      </c>
      <c r="G801" s="7" t="s">
        <v>1424</v>
      </c>
      <c r="H801" s="8" t="s">
        <v>460</v>
      </c>
      <c r="I801" s="8" t="s">
        <v>461</v>
      </c>
      <c r="J801" s="7" t="s">
        <v>133</v>
      </c>
      <c r="K801" s="7" t="s">
        <v>3520</v>
      </c>
      <c r="L801" s="7" t="n">
        <v>3</v>
      </c>
      <c r="M801" s="7" t="s">
        <v>459</v>
      </c>
      <c r="N801" s="7"/>
      <c r="O801" s="7" t="s">
        <v>1421</v>
      </c>
      <c r="P801" s="7" t="s">
        <v>1183</v>
      </c>
      <c r="Q801" s="7" t="s">
        <v>1152</v>
      </c>
      <c r="R801" s="8"/>
      <c r="S801" s="12"/>
      <c r="T801" s="12"/>
    </row>
    <row r="802" customFormat="false" ht="23.85" hidden="false" customHeight="false" outlineLevel="0" collapsed="false">
      <c r="A802" s="7" t="s">
        <v>3521</v>
      </c>
      <c r="B802" s="7" t="s">
        <v>445</v>
      </c>
      <c r="C802" s="7" t="s">
        <v>458</v>
      </c>
      <c r="D802" s="7" t="s">
        <v>3522</v>
      </c>
      <c r="E802" s="7" t="s">
        <v>1179</v>
      </c>
      <c r="F802" s="7" t="s">
        <v>943</v>
      </c>
      <c r="G802" s="7" t="s">
        <v>1424</v>
      </c>
      <c r="H802" s="8" t="s">
        <v>460</v>
      </c>
      <c r="I802" s="8" t="s">
        <v>461</v>
      </c>
      <c r="J802" s="7" t="s">
        <v>133</v>
      </c>
      <c r="K802" s="7" t="s">
        <v>3523</v>
      </c>
      <c r="L802" s="7" t="n">
        <v>3</v>
      </c>
      <c r="M802" s="7" t="s">
        <v>459</v>
      </c>
      <c r="N802" s="7"/>
      <c r="O802" s="7" t="s">
        <v>1421</v>
      </c>
      <c r="P802" s="7" t="s">
        <v>1183</v>
      </c>
      <c r="Q802" s="7" t="s">
        <v>1152</v>
      </c>
      <c r="R802" s="8"/>
      <c r="S802" s="12"/>
      <c r="T802" s="12"/>
    </row>
    <row r="803" customFormat="false" ht="23.85" hidden="false" customHeight="false" outlineLevel="0" collapsed="false">
      <c r="A803" s="7" t="s">
        <v>3524</v>
      </c>
      <c r="B803" s="7" t="s">
        <v>445</v>
      </c>
      <c r="C803" s="7" t="s">
        <v>458</v>
      </c>
      <c r="D803" s="7" t="s">
        <v>3525</v>
      </c>
      <c r="E803" s="7" t="s">
        <v>1179</v>
      </c>
      <c r="F803" s="7" t="s">
        <v>943</v>
      </c>
      <c r="G803" s="7" t="s">
        <v>1424</v>
      </c>
      <c r="H803" s="8" t="s">
        <v>460</v>
      </c>
      <c r="I803" s="8" t="s">
        <v>461</v>
      </c>
      <c r="J803" s="7" t="s">
        <v>133</v>
      </c>
      <c r="K803" s="7" t="s">
        <v>3526</v>
      </c>
      <c r="L803" s="7" t="n">
        <v>3</v>
      </c>
      <c r="M803" s="7" t="s">
        <v>459</v>
      </c>
      <c r="N803" s="7"/>
      <c r="O803" s="7" t="s">
        <v>1421</v>
      </c>
      <c r="P803" s="7" t="s">
        <v>1183</v>
      </c>
      <c r="Q803" s="7" t="s">
        <v>1152</v>
      </c>
      <c r="R803" s="8"/>
      <c r="S803" s="12"/>
      <c r="T803" s="12"/>
    </row>
    <row r="804" customFormat="false" ht="23.85" hidden="false" customHeight="false" outlineLevel="0" collapsed="false">
      <c r="A804" s="7" t="s">
        <v>3527</v>
      </c>
      <c r="B804" s="7" t="s">
        <v>445</v>
      </c>
      <c r="C804" s="7" t="s">
        <v>458</v>
      </c>
      <c r="D804" s="7" t="s">
        <v>3528</v>
      </c>
      <c r="E804" s="7" t="s">
        <v>1179</v>
      </c>
      <c r="F804" s="7" t="s">
        <v>943</v>
      </c>
      <c r="G804" s="7" t="s">
        <v>1424</v>
      </c>
      <c r="H804" s="8" t="s">
        <v>460</v>
      </c>
      <c r="I804" s="8" t="s">
        <v>461</v>
      </c>
      <c r="J804" s="7" t="s">
        <v>133</v>
      </c>
      <c r="K804" s="7" t="s">
        <v>3529</v>
      </c>
      <c r="L804" s="7" t="n">
        <v>3</v>
      </c>
      <c r="M804" s="7" t="s">
        <v>459</v>
      </c>
      <c r="N804" s="7"/>
      <c r="O804" s="7" t="s">
        <v>1421</v>
      </c>
      <c r="P804" s="7" t="s">
        <v>1183</v>
      </c>
      <c r="Q804" s="7" t="s">
        <v>1152</v>
      </c>
      <c r="R804" s="8"/>
      <c r="S804" s="12"/>
      <c r="T804" s="12"/>
    </row>
    <row r="805" customFormat="false" ht="23.85" hidden="false" customHeight="false" outlineLevel="0" collapsed="false">
      <c r="A805" s="7" t="s">
        <v>3530</v>
      </c>
      <c r="B805" s="7" t="s">
        <v>445</v>
      </c>
      <c r="C805" s="7" t="s">
        <v>458</v>
      </c>
      <c r="D805" s="7" t="s">
        <v>3531</v>
      </c>
      <c r="E805" s="7" t="s">
        <v>1179</v>
      </c>
      <c r="F805" s="7" t="s">
        <v>943</v>
      </c>
      <c r="G805" s="7" t="s">
        <v>1424</v>
      </c>
      <c r="H805" s="8" t="s">
        <v>460</v>
      </c>
      <c r="I805" s="8" t="s">
        <v>461</v>
      </c>
      <c r="J805" s="7" t="s">
        <v>133</v>
      </c>
      <c r="K805" s="7" t="s">
        <v>3532</v>
      </c>
      <c r="L805" s="7" t="n">
        <v>3</v>
      </c>
      <c r="M805" s="7" t="s">
        <v>459</v>
      </c>
      <c r="N805" s="7"/>
      <c r="O805" s="7" t="s">
        <v>1421</v>
      </c>
      <c r="P805" s="7" t="s">
        <v>1183</v>
      </c>
      <c r="Q805" s="7" t="s">
        <v>1152</v>
      </c>
      <c r="R805" s="8"/>
      <c r="S805" s="12"/>
      <c r="T805" s="12"/>
    </row>
    <row r="806" customFormat="false" ht="23.85" hidden="false" customHeight="false" outlineLevel="0" collapsed="false">
      <c r="A806" s="7" t="s">
        <v>3533</v>
      </c>
      <c r="B806" s="7" t="s">
        <v>445</v>
      </c>
      <c r="C806" s="7" t="s">
        <v>458</v>
      </c>
      <c r="D806" s="7" t="s">
        <v>3534</v>
      </c>
      <c r="E806" s="7" t="s">
        <v>1179</v>
      </c>
      <c r="F806" s="7" t="s">
        <v>943</v>
      </c>
      <c r="G806" s="7" t="s">
        <v>1424</v>
      </c>
      <c r="H806" s="8" t="s">
        <v>460</v>
      </c>
      <c r="I806" s="8" t="s">
        <v>461</v>
      </c>
      <c r="J806" s="7" t="s">
        <v>133</v>
      </c>
      <c r="K806" s="7" t="s">
        <v>3535</v>
      </c>
      <c r="L806" s="7" t="n">
        <v>3</v>
      </c>
      <c r="M806" s="7" t="s">
        <v>459</v>
      </c>
      <c r="N806" s="7"/>
      <c r="O806" s="7" t="s">
        <v>1421</v>
      </c>
      <c r="P806" s="7" t="s">
        <v>1183</v>
      </c>
      <c r="Q806" s="7" t="s">
        <v>1152</v>
      </c>
      <c r="R806" s="8"/>
      <c r="S806" s="12"/>
      <c r="T806" s="12"/>
    </row>
    <row r="807" customFormat="false" ht="23.85" hidden="false" customHeight="false" outlineLevel="0" collapsed="false">
      <c r="A807" s="7" t="s">
        <v>3536</v>
      </c>
      <c r="B807" s="7" t="s">
        <v>445</v>
      </c>
      <c r="C807" s="7" t="s">
        <v>458</v>
      </c>
      <c r="D807" s="7" t="s">
        <v>3537</v>
      </c>
      <c r="E807" s="7" t="s">
        <v>1179</v>
      </c>
      <c r="F807" s="7" t="s">
        <v>943</v>
      </c>
      <c r="G807" s="7" t="s">
        <v>1424</v>
      </c>
      <c r="H807" s="8" t="s">
        <v>460</v>
      </c>
      <c r="I807" s="8" t="s">
        <v>461</v>
      </c>
      <c r="J807" s="7" t="s">
        <v>133</v>
      </c>
      <c r="K807" s="7" t="s">
        <v>3538</v>
      </c>
      <c r="L807" s="7" t="n">
        <v>3</v>
      </c>
      <c r="M807" s="7" t="s">
        <v>459</v>
      </c>
      <c r="N807" s="7"/>
      <c r="O807" s="7" t="s">
        <v>1421</v>
      </c>
      <c r="P807" s="7" t="s">
        <v>1183</v>
      </c>
      <c r="Q807" s="7" t="s">
        <v>1152</v>
      </c>
      <c r="R807" s="8"/>
      <c r="S807" s="12"/>
      <c r="T807" s="12"/>
    </row>
    <row r="808" customFormat="false" ht="23.85" hidden="false" customHeight="false" outlineLevel="0" collapsed="false">
      <c r="A808" s="7" t="s">
        <v>3539</v>
      </c>
      <c r="B808" s="7" t="s">
        <v>445</v>
      </c>
      <c r="C808" s="7" t="s">
        <v>458</v>
      </c>
      <c r="D808" s="7" t="s">
        <v>3540</v>
      </c>
      <c r="E808" s="7" t="s">
        <v>1179</v>
      </c>
      <c r="F808" s="7" t="s">
        <v>943</v>
      </c>
      <c r="G808" s="7" t="s">
        <v>1424</v>
      </c>
      <c r="H808" s="8" t="s">
        <v>460</v>
      </c>
      <c r="I808" s="8" t="s">
        <v>461</v>
      </c>
      <c r="J808" s="7" t="s">
        <v>133</v>
      </c>
      <c r="K808" s="7" t="s">
        <v>3541</v>
      </c>
      <c r="L808" s="7" t="n">
        <v>3</v>
      </c>
      <c r="M808" s="7" t="s">
        <v>459</v>
      </c>
      <c r="N808" s="7"/>
      <c r="O808" s="7" t="s">
        <v>1421</v>
      </c>
      <c r="P808" s="7" t="s">
        <v>1183</v>
      </c>
      <c r="Q808" s="7" t="s">
        <v>1152</v>
      </c>
      <c r="R808" s="8"/>
      <c r="S808" s="12"/>
      <c r="T808" s="12"/>
    </row>
    <row r="809" customFormat="false" ht="23.85" hidden="false" customHeight="false" outlineLevel="0" collapsed="false">
      <c r="A809" s="7" t="s">
        <v>3542</v>
      </c>
      <c r="B809" s="7" t="s">
        <v>445</v>
      </c>
      <c r="C809" s="7" t="s">
        <v>458</v>
      </c>
      <c r="D809" s="7" t="s">
        <v>3543</v>
      </c>
      <c r="E809" s="7" t="s">
        <v>1179</v>
      </c>
      <c r="F809" s="7" t="s">
        <v>943</v>
      </c>
      <c r="G809" s="7" t="s">
        <v>1424</v>
      </c>
      <c r="H809" s="8" t="s">
        <v>460</v>
      </c>
      <c r="I809" s="8" t="s">
        <v>461</v>
      </c>
      <c r="J809" s="7" t="s">
        <v>133</v>
      </c>
      <c r="K809" s="7" t="s">
        <v>3544</v>
      </c>
      <c r="L809" s="7" t="n">
        <v>3</v>
      </c>
      <c r="M809" s="7" t="s">
        <v>459</v>
      </c>
      <c r="N809" s="7"/>
      <c r="O809" s="7" t="s">
        <v>1421</v>
      </c>
      <c r="P809" s="7" t="s">
        <v>1183</v>
      </c>
      <c r="Q809" s="7" t="s">
        <v>1152</v>
      </c>
      <c r="R809" s="8"/>
      <c r="S809" s="12"/>
      <c r="T809" s="12"/>
    </row>
    <row r="810" customFormat="false" ht="35.05" hidden="false" customHeight="false" outlineLevel="0" collapsed="false">
      <c r="A810" s="7" t="s">
        <v>3545</v>
      </c>
      <c r="B810" s="7" t="s">
        <v>445</v>
      </c>
      <c r="C810" s="7" t="s">
        <v>462</v>
      </c>
      <c r="D810" s="7" t="s">
        <v>462</v>
      </c>
      <c r="E810" s="7" t="s">
        <v>1137</v>
      </c>
      <c r="F810" s="7" t="s">
        <v>928</v>
      </c>
      <c r="G810" s="7" t="s">
        <v>1148</v>
      </c>
      <c r="H810" s="8" t="s">
        <v>3546</v>
      </c>
      <c r="I810" s="8" t="s">
        <v>448</v>
      </c>
      <c r="J810" s="7" t="s">
        <v>87</v>
      </c>
      <c r="K810" s="7" t="s">
        <v>463</v>
      </c>
      <c r="L810" s="7" t="n">
        <v>2</v>
      </c>
      <c r="M810" s="7" t="s">
        <v>446</v>
      </c>
      <c r="N810" s="7"/>
      <c r="O810" s="7" t="s">
        <v>1479</v>
      </c>
      <c r="P810" s="7" t="s">
        <v>1480</v>
      </c>
      <c r="Q810" s="7" t="s">
        <v>1152</v>
      </c>
      <c r="R810" s="8"/>
      <c r="S810" s="12"/>
      <c r="T810" s="12"/>
    </row>
    <row r="811" customFormat="false" ht="35.05" hidden="false" customHeight="false" outlineLevel="0" collapsed="false">
      <c r="A811" s="7" t="s">
        <v>3547</v>
      </c>
      <c r="B811" s="7" t="s">
        <v>445</v>
      </c>
      <c r="C811" s="7" t="s">
        <v>462</v>
      </c>
      <c r="D811" s="7" t="s">
        <v>3548</v>
      </c>
      <c r="E811" s="7" t="s">
        <v>1179</v>
      </c>
      <c r="F811" s="7" t="s">
        <v>943</v>
      </c>
      <c r="G811" s="7" t="s">
        <v>1424</v>
      </c>
      <c r="H811" s="8" t="s">
        <v>3549</v>
      </c>
      <c r="I811" s="8" t="s">
        <v>448</v>
      </c>
      <c r="J811" s="7" t="s">
        <v>133</v>
      </c>
      <c r="K811" s="7" t="s">
        <v>3550</v>
      </c>
      <c r="L811" s="7" t="n">
        <v>3</v>
      </c>
      <c r="M811" s="7" t="s">
        <v>463</v>
      </c>
      <c r="N811" s="7"/>
      <c r="O811" s="7" t="s">
        <v>1479</v>
      </c>
      <c r="P811" s="7" t="s">
        <v>1480</v>
      </c>
      <c r="Q811" s="7" t="s">
        <v>1152</v>
      </c>
      <c r="R811" s="8"/>
      <c r="S811" s="12"/>
      <c r="T811" s="12"/>
    </row>
    <row r="812" customFormat="false" ht="35.05" hidden="false" customHeight="false" outlineLevel="0" collapsed="false">
      <c r="A812" s="7" t="s">
        <v>3551</v>
      </c>
      <c r="B812" s="7" t="s">
        <v>445</v>
      </c>
      <c r="C812" s="7" t="s">
        <v>462</v>
      </c>
      <c r="D812" s="7" t="s">
        <v>3552</v>
      </c>
      <c r="E812" s="7" t="s">
        <v>1179</v>
      </c>
      <c r="F812" s="7" t="s">
        <v>943</v>
      </c>
      <c r="G812" s="7" t="s">
        <v>1424</v>
      </c>
      <c r="H812" s="8" t="s">
        <v>464</v>
      </c>
      <c r="I812" s="8" t="s">
        <v>448</v>
      </c>
      <c r="J812" s="7" t="s">
        <v>133</v>
      </c>
      <c r="K812" s="7" t="s">
        <v>3553</v>
      </c>
      <c r="L812" s="7" t="n">
        <v>3</v>
      </c>
      <c r="M812" s="7" t="s">
        <v>463</v>
      </c>
      <c r="N812" s="7"/>
      <c r="O812" s="7" t="s">
        <v>1479</v>
      </c>
      <c r="P812" s="7" t="s">
        <v>1480</v>
      </c>
      <c r="Q812" s="7" t="s">
        <v>1152</v>
      </c>
      <c r="R812" s="8"/>
      <c r="S812" s="12"/>
      <c r="T812" s="12"/>
    </row>
    <row r="813" customFormat="false" ht="35.05" hidden="false" customHeight="false" outlineLevel="0" collapsed="false">
      <c r="A813" s="7" t="s">
        <v>3554</v>
      </c>
      <c r="B813" s="7" t="s">
        <v>445</v>
      </c>
      <c r="C813" s="7" t="s">
        <v>462</v>
      </c>
      <c r="D813" s="7" t="s">
        <v>3555</v>
      </c>
      <c r="E813" s="7" t="s">
        <v>1179</v>
      </c>
      <c r="F813" s="7" t="s">
        <v>943</v>
      </c>
      <c r="G813" s="7" t="s">
        <v>1424</v>
      </c>
      <c r="H813" s="8" t="s">
        <v>464</v>
      </c>
      <c r="I813" s="8" t="s">
        <v>448</v>
      </c>
      <c r="J813" s="7" t="s">
        <v>133</v>
      </c>
      <c r="K813" s="7" t="s">
        <v>3556</v>
      </c>
      <c r="L813" s="7" t="n">
        <v>3</v>
      </c>
      <c r="M813" s="7" t="s">
        <v>463</v>
      </c>
      <c r="N813" s="7"/>
      <c r="O813" s="7" t="s">
        <v>1479</v>
      </c>
      <c r="P813" s="7" t="s">
        <v>1480</v>
      </c>
      <c r="Q813" s="7" t="s">
        <v>1152</v>
      </c>
      <c r="R813" s="8"/>
      <c r="S813" s="12"/>
      <c r="T813" s="12"/>
    </row>
    <row r="814" customFormat="false" ht="35.05" hidden="false" customHeight="false" outlineLevel="0" collapsed="false">
      <c r="A814" s="7" t="s">
        <v>3557</v>
      </c>
      <c r="B814" s="7" t="s">
        <v>445</v>
      </c>
      <c r="C814" s="7" t="s">
        <v>462</v>
      </c>
      <c r="D814" s="7" t="s">
        <v>3558</v>
      </c>
      <c r="E814" s="7" t="s">
        <v>1179</v>
      </c>
      <c r="F814" s="7" t="s">
        <v>943</v>
      </c>
      <c r="G814" s="7" t="s">
        <v>1424</v>
      </c>
      <c r="H814" s="8" t="s">
        <v>464</v>
      </c>
      <c r="I814" s="8" t="s">
        <v>448</v>
      </c>
      <c r="J814" s="7" t="s">
        <v>133</v>
      </c>
      <c r="K814" s="7" t="s">
        <v>3559</v>
      </c>
      <c r="L814" s="7" t="n">
        <v>3</v>
      </c>
      <c r="M814" s="7" t="s">
        <v>463</v>
      </c>
      <c r="N814" s="7"/>
      <c r="O814" s="7" t="s">
        <v>1479</v>
      </c>
      <c r="P814" s="7" t="s">
        <v>1480</v>
      </c>
      <c r="Q814" s="7" t="s">
        <v>1152</v>
      </c>
      <c r="R814" s="8"/>
      <c r="S814" s="12"/>
      <c r="T814" s="12"/>
    </row>
    <row r="815" customFormat="false" ht="35.05" hidden="false" customHeight="false" outlineLevel="0" collapsed="false">
      <c r="A815" s="7" t="s">
        <v>3560</v>
      </c>
      <c r="B815" s="7" t="s">
        <v>445</v>
      </c>
      <c r="C815" s="7" t="s">
        <v>465</v>
      </c>
      <c r="D815" s="7" t="s">
        <v>465</v>
      </c>
      <c r="E815" s="7" t="s">
        <v>1137</v>
      </c>
      <c r="F815" s="7" t="s">
        <v>928</v>
      </c>
      <c r="G815" s="7" t="s">
        <v>1148</v>
      </c>
      <c r="H815" s="8" t="s">
        <v>3561</v>
      </c>
      <c r="I815" s="8" t="s">
        <v>468</v>
      </c>
      <c r="J815" s="7" t="s">
        <v>87</v>
      </c>
      <c r="K815" s="7" t="s">
        <v>466</v>
      </c>
      <c r="L815" s="7" t="n">
        <v>2</v>
      </c>
      <c r="M815" s="7" t="s">
        <v>446</v>
      </c>
      <c r="N815" s="7"/>
      <c r="O815" s="7" t="s">
        <v>1421</v>
      </c>
      <c r="P815" s="7" t="s">
        <v>1183</v>
      </c>
      <c r="Q815" s="7" t="s">
        <v>1152</v>
      </c>
      <c r="R815" s="8"/>
      <c r="S815" s="12"/>
      <c r="T815" s="12"/>
    </row>
    <row r="816" customFormat="false" ht="23.85" hidden="false" customHeight="false" outlineLevel="0" collapsed="false">
      <c r="A816" s="7" t="s">
        <v>3562</v>
      </c>
      <c r="B816" s="7" t="s">
        <v>445</v>
      </c>
      <c r="C816" s="7" t="s">
        <v>465</v>
      </c>
      <c r="D816" s="7" t="s">
        <v>3563</v>
      </c>
      <c r="E816" s="7" t="s">
        <v>1179</v>
      </c>
      <c r="F816" s="7" t="s">
        <v>928</v>
      </c>
      <c r="G816" s="7" t="s">
        <v>1148</v>
      </c>
      <c r="H816" s="8" t="s">
        <v>467</v>
      </c>
      <c r="I816" s="8" t="s">
        <v>468</v>
      </c>
      <c r="J816" s="7" t="s">
        <v>133</v>
      </c>
      <c r="K816" s="7" t="s">
        <v>3564</v>
      </c>
      <c r="L816" s="7" t="n">
        <v>3</v>
      </c>
      <c r="M816" s="7" t="s">
        <v>466</v>
      </c>
      <c r="N816" s="7"/>
      <c r="O816" s="7" t="s">
        <v>1421</v>
      </c>
      <c r="P816" s="7" t="s">
        <v>1183</v>
      </c>
      <c r="Q816" s="7" t="s">
        <v>1152</v>
      </c>
      <c r="R816" s="8"/>
      <c r="S816" s="12"/>
      <c r="T816" s="12"/>
    </row>
    <row r="817" customFormat="false" ht="23.85" hidden="false" customHeight="false" outlineLevel="0" collapsed="false">
      <c r="A817" s="7" t="s">
        <v>3565</v>
      </c>
      <c r="B817" s="7" t="s">
        <v>445</v>
      </c>
      <c r="C817" s="7" t="s">
        <v>465</v>
      </c>
      <c r="D817" s="7" t="s">
        <v>3566</v>
      </c>
      <c r="E817" s="7" t="s">
        <v>1179</v>
      </c>
      <c r="F817" s="7" t="s">
        <v>928</v>
      </c>
      <c r="G817" s="7" t="s">
        <v>1148</v>
      </c>
      <c r="H817" s="8" t="s">
        <v>467</v>
      </c>
      <c r="I817" s="8" t="s">
        <v>468</v>
      </c>
      <c r="J817" s="7" t="s">
        <v>133</v>
      </c>
      <c r="K817" s="7" t="s">
        <v>3567</v>
      </c>
      <c r="L817" s="7" t="n">
        <v>3</v>
      </c>
      <c r="M817" s="7" t="s">
        <v>466</v>
      </c>
      <c r="N817" s="7"/>
      <c r="O817" s="7" t="s">
        <v>1421</v>
      </c>
      <c r="P817" s="7" t="s">
        <v>1183</v>
      </c>
      <c r="Q817" s="7" t="s">
        <v>1152</v>
      </c>
      <c r="R817" s="8"/>
      <c r="S817" s="12"/>
      <c r="T817" s="12"/>
    </row>
    <row r="818" customFormat="false" ht="46.25" hidden="false" customHeight="false" outlineLevel="0" collapsed="false">
      <c r="A818" s="7" t="s">
        <v>3568</v>
      </c>
      <c r="B818" s="7" t="s">
        <v>79</v>
      </c>
      <c r="C818" s="7" t="s">
        <v>3569</v>
      </c>
      <c r="D818" s="7" t="s">
        <v>3570</v>
      </c>
      <c r="E818" s="7" t="s">
        <v>3571</v>
      </c>
      <c r="F818" s="7" t="s">
        <v>1029</v>
      </c>
      <c r="G818" s="7" t="s">
        <v>3572</v>
      </c>
      <c r="H818" s="8" t="s">
        <v>3573</v>
      </c>
      <c r="I818" s="8" t="s">
        <v>83</v>
      </c>
      <c r="J818" s="7" t="s">
        <v>720</v>
      </c>
      <c r="K818" s="7" t="s">
        <v>3574</v>
      </c>
      <c r="L818" s="7" t="n">
        <v>2</v>
      </c>
      <c r="M818" s="7" t="s">
        <v>80</v>
      </c>
      <c r="N818" s="7"/>
      <c r="O818" s="7" t="s">
        <v>1150</v>
      </c>
      <c r="P818" s="7" t="s">
        <v>1151</v>
      </c>
      <c r="Q818" s="7" t="s">
        <v>1152</v>
      </c>
      <c r="R818" s="8"/>
      <c r="S818" s="12"/>
      <c r="T818" s="12"/>
    </row>
    <row r="819" customFormat="false" ht="46.25" hidden="false" customHeight="false" outlineLevel="0" collapsed="false">
      <c r="A819" s="7" t="s">
        <v>3575</v>
      </c>
      <c r="B819" s="7" t="s">
        <v>79</v>
      </c>
      <c r="C819" s="7" t="s">
        <v>3569</v>
      </c>
      <c r="D819" s="7" t="s">
        <v>3576</v>
      </c>
      <c r="E819" s="7" t="s">
        <v>3571</v>
      </c>
      <c r="F819" s="7" t="s">
        <v>1029</v>
      </c>
      <c r="G819" s="7" t="s">
        <v>3572</v>
      </c>
      <c r="H819" s="8" t="s">
        <v>3577</v>
      </c>
      <c r="I819" s="8" t="s">
        <v>83</v>
      </c>
      <c r="J819" s="7" t="s">
        <v>720</v>
      </c>
      <c r="K819" s="7" t="s">
        <v>3578</v>
      </c>
      <c r="L819" s="7" t="n">
        <v>2</v>
      </c>
      <c r="M819" s="7" t="s">
        <v>80</v>
      </c>
      <c r="N819" s="7"/>
      <c r="O819" s="7" t="s">
        <v>1150</v>
      </c>
      <c r="P819" s="7" t="s">
        <v>1151</v>
      </c>
      <c r="Q819" s="7" t="s">
        <v>1152</v>
      </c>
      <c r="R819" s="8"/>
      <c r="S819" s="12"/>
      <c r="T819" s="12"/>
    </row>
    <row r="820" customFormat="false" ht="46.25" hidden="false" customHeight="false" outlineLevel="0" collapsed="false">
      <c r="A820" s="7" t="s">
        <v>3579</v>
      </c>
      <c r="B820" s="7" t="s">
        <v>79</v>
      </c>
      <c r="C820" s="7" t="s">
        <v>3569</v>
      </c>
      <c r="D820" s="7" t="s">
        <v>3580</v>
      </c>
      <c r="E820" s="7" t="s">
        <v>3571</v>
      </c>
      <c r="F820" s="7" t="s">
        <v>1029</v>
      </c>
      <c r="G820" s="7" t="s">
        <v>3572</v>
      </c>
      <c r="H820" s="8" t="s">
        <v>3577</v>
      </c>
      <c r="I820" s="8" t="s">
        <v>83</v>
      </c>
      <c r="J820" s="7" t="s">
        <v>720</v>
      </c>
      <c r="K820" s="7" t="s">
        <v>3581</v>
      </c>
      <c r="L820" s="7" t="n">
        <v>2</v>
      </c>
      <c r="M820" s="7" t="s">
        <v>80</v>
      </c>
      <c r="N820" s="7"/>
      <c r="O820" s="7" t="s">
        <v>1150</v>
      </c>
      <c r="P820" s="7" t="s">
        <v>1183</v>
      </c>
      <c r="Q820" s="7" t="s">
        <v>1152</v>
      </c>
      <c r="R820" s="8"/>
      <c r="S820" s="12"/>
      <c r="T820" s="12"/>
    </row>
    <row r="821" customFormat="false" ht="46.25" hidden="false" customHeight="false" outlineLevel="0" collapsed="false">
      <c r="A821" s="7" t="s">
        <v>3582</v>
      </c>
      <c r="B821" s="7" t="s">
        <v>79</v>
      </c>
      <c r="C821" s="7" t="s">
        <v>3569</v>
      </c>
      <c r="D821" s="7" t="s">
        <v>3583</v>
      </c>
      <c r="E821" s="7" t="s">
        <v>3571</v>
      </c>
      <c r="F821" s="7" t="s">
        <v>1029</v>
      </c>
      <c r="G821" s="7" t="s">
        <v>3572</v>
      </c>
      <c r="H821" s="8" t="s">
        <v>3577</v>
      </c>
      <c r="I821" s="8" t="s">
        <v>83</v>
      </c>
      <c r="J821" s="7" t="s">
        <v>720</v>
      </c>
      <c r="K821" s="7" t="s">
        <v>3584</v>
      </c>
      <c r="L821" s="7" t="n">
        <v>2</v>
      </c>
      <c r="M821" s="7" t="s">
        <v>80</v>
      </c>
      <c r="N821" s="7"/>
      <c r="O821" s="7" t="s">
        <v>1150</v>
      </c>
      <c r="P821" s="7" t="s">
        <v>1151</v>
      </c>
      <c r="Q821" s="7" t="s">
        <v>1152</v>
      </c>
      <c r="R821" s="8"/>
      <c r="S821" s="12"/>
      <c r="T821" s="12"/>
    </row>
    <row r="822" customFormat="false" ht="46.25" hidden="false" customHeight="false" outlineLevel="0" collapsed="false">
      <c r="A822" s="7" t="s">
        <v>3585</v>
      </c>
      <c r="B822" s="7" t="s">
        <v>79</v>
      </c>
      <c r="C822" s="7" t="s">
        <v>3569</v>
      </c>
      <c r="D822" s="7" t="s">
        <v>3586</v>
      </c>
      <c r="E822" s="7" t="s">
        <v>3571</v>
      </c>
      <c r="F822" s="7" t="s">
        <v>1029</v>
      </c>
      <c r="G822" s="7" t="s">
        <v>3572</v>
      </c>
      <c r="H822" s="8" t="s">
        <v>3577</v>
      </c>
      <c r="I822" s="8" t="s">
        <v>83</v>
      </c>
      <c r="J822" s="7" t="s">
        <v>720</v>
      </c>
      <c r="K822" s="7" t="s">
        <v>3587</v>
      </c>
      <c r="L822" s="7" t="n">
        <v>2</v>
      </c>
      <c r="M822" s="7" t="s">
        <v>80</v>
      </c>
      <c r="N822" s="7"/>
      <c r="O822" s="7" t="s">
        <v>1150</v>
      </c>
      <c r="P822" s="7" t="s">
        <v>1183</v>
      </c>
      <c r="Q822" s="7" t="s">
        <v>1152</v>
      </c>
      <c r="R822" s="8"/>
      <c r="S822" s="12"/>
      <c r="T822" s="12"/>
    </row>
    <row r="823" customFormat="false" ht="46.25" hidden="false" customHeight="false" outlineLevel="0" collapsed="false">
      <c r="A823" s="7" t="s">
        <v>3588</v>
      </c>
      <c r="B823" s="7" t="s">
        <v>79</v>
      </c>
      <c r="C823" s="7" t="s">
        <v>3569</v>
      </c>
      <c r="D823" s="7" t="s">
        <v>3589</v>
      </c>
      <c r="E823" s="7" t="s">
        <v>3571</v>
      </c>
      <c r="F823" s="7" t="s">
        <v>1029</v>
      </c>
      <c r="G823" s="7" t="s">
        <v>3572</v>
      </c>
      <c r="H823" s="8" t="s">
        <v>3590</v>
      </c>
      <c r="I823" s="8" t="s">
        <v>83</v>
      </c>
      <c r="J823" s="7" t="s">
        <v>1056</v>
      </c>
      <c r="K823" s="7" t="s">
        <v>3591</v>
      </c>
      <c r="L823" s="7" t="n">
        <v>2</v>
      </c>
      <c r="M823" s="7" t="s">
        <v>80</v>
      </c>
      <c r="N823" s="7"/>
      <c r="O823" s="7" t="s">
        <v>1150</v>
      </c>
      <c r="P823" s="7" t="s">
        <v>1151</v>
      </c>
      <c r="Q823" s="7" t="s">
        <v>1152</v>
      </c>
      <c r="R823" s="8"/>
      <c r="S823" s="12"/>
      <c r="T823" s="12"/>
    </row>
    <row r="824" customFormat="false" ht="46.25" hidden="false" customHeight="false" outlineLevel="0" collapsed="false">
      <c r="A824" s="7" t="s">
        <v>3592</v>
      </c>
      <c r="B824" s="7" t="s">
        <v>79</v>
      </c>
      <c r="C824" s="7" t="s">
        <v>3569</v>
      </c>
      <c r="D824" s="7" t="s">
        <v>3593</v>
      </c>
      <c r="E824" s="7" t="s">
        <v>3571</v>
      </c>
      <c r="F824" s="7" t="s">
        <v>1029</v>
      </c>
      <c r="G824" s="7" t="s">
        <v>3572</v>
      </c>
      <c r="H824" s="8" t="s">
        <v>3590</v>
      </c>
      <c r="I824" s="8" t="s">
        <v>83</v>
      </c>
      <c r="J824" s="7" t="s">
        <v>1056</v>
      </c>
      <c r="K824" s="7" t="s">
        <v>3594</v>
      </c>
      <c r="L824" s="7" t="n">
        <v>2</v>
      </c>
      <c r="M824" s="7" t="s">
        <v>80</v>
      </c>
      <c r="N824" s="7"/>
      <c r="O824" s="7" t="s">
        <v>1150</v>
      </c>
      <c r="P824" s="7" t="s">
        <v>1151</v>
      </c>
      <c r="Q824" s="7" t="s">
        <v>1152</v>
      </c>
      <c r="R824" s="8"/>
      <c r="S824" s="12"/>
      <c r="T824" s="12"/>
    </row>
    <row r="825" customFormat="false" ht="46.25" hidden="false" customHeight="false" outlineLevel="0" collapsed="false">
      <c r="A825" s="7" t="s">
        <v>3595</v>
      </c>
      <c r="B825" s="7" t="s">
        <v>79</v>
      </c>
      <c r="C825" s="7" t="s">
        <v>3569</v>
      </c>
      <c r="D825" s="7" t="s">
        <v>3596</v>
      </c>
      <c r="E825" s="7" t="s">
        <v>3571</v>
      </c>
      <c r="F825" s="7" t="s">
        <v>1029</v>
      </c>
      <c r="G825" s="7" t="s">
        <v>3572</v>
      </c>
      <c r="H825" s="8" t="s">
        <v>3577</v>
      </c>
      <c r="I825" s="8" t="s">
        <v>83</v>
      </c>
      <c r="J825" s="7" t="s">
        <v>720</v>
      </c>
      <c r="K825" s="7" t="s">
        <v>3597</v>
      </c>
      <c r="L825" s="7" t="n">
        <v>2</v>
      </c>
      <c r="M825" s="7" t="s">
        <v>80</v>
      </c>
      <c r="N825" s="7"/>
      <c r="O825" s="7" t="s">
        <v>1150</v>
      </c>
      <c r="P825" s="7" t="s">
        <v>1183</v>
      </c>
      <c r="Q825" s="7" t="s">
        <v>1152</v>
      </c>
      <c r="R825" s="8"/>
      <c r="S825" s="12"/>
      <c r="T825" s="12"/>
    </row>
    <row r="826" customFormat="false" ht="46.25" hidden="false" customHeight="false" outlineLevel="0" collapsed="false">
      <c r="A826" s="7" t="s">
        <v>3598</v>
      </c>
      <c r="B826" s="7" t="s">
        <v>79</v>
      </c>
      <c r="C826" s="7" t="s">
        <v>3569</v>
      </c>
      <c r="D826" s="7" t="s">
        <v>3599</v>
      </c>
      <c r="E826" s="7" t="s">
        <v>3571</v>
      </c>
      <c r="F826" s="7" t="s">
        <v>1029</v>
      </c>
      <c r="G826" s="7" t="s">
        <v>3572</v>
      </c>
      <c r="H826" s="8" t="s">
        <v>3577</v>
      </c>
      <c r="I826" s="8" t="s">
        <v>83</v>
      </c>
      <c r="J826" s="7" t="s">
        <v>720</v>
      </c>
      <c r="K826" s="7" t="s">
        <v>3600</v>
      </c>
      <c r="L826" s="7" t="n">
        <v>2</v>
      </c>
      <c r="M826" s="7" t="s">
        <v>80</v>
      </c>
      <c r="N826" s="7"/>
      <c r="O826" s="7" t="s">
        <v>1150</v>
      </c>
      <c r="P826" s="7" t="s">
        <v>1183</v>
      </c>
      <c r="Q826" s="7" t="s">
        <v>1152</v>
      </c>
      <c r="R826" s="8"/>
      <c r="S826" s="12"/>
      <c r="T826" s="12"/>
    </row>
    <row r="827" customFormat="false" ht="46.25" hidden="false" customHeight="false" outlineLevel="0" collapsed="false">
      <c r="A827" s="7" t="s">
        <v>3601</v>
      </c>
      <c r="B827" s="7" t="s">
        <v>79</v>
      </c>
      <c r="C827" s="7" t="s">
        <v>3569</v>
      </c>
      <c r="D827" s="7" t="s">
        <v>3602</v>
      </c>
      <c r="E827" s="7" t="s">
        <v>3571</v>
      </c>
      <c r="F827" s="7" t="s">
        <v>1029</v>
      </c>
      <c r="G827" s="7" t="s">
        <v>3572</v>
      </c>
      <c r="H827" s="8" t="s">
        <v>3603</v>
      </c>
      <c r="I827" s="8" t="s">
        <v>83</v>
      </c>
      <c r="J827" s="7" t="s">
        <v>720</v>
      </c>
      <c r="K827" s="7" t="s">
        <v>3604</v>
      </c>
      <c r="L827" s="7" t="n">
        <v>2</v>
      </c>
      <c r="M827" s="7" t="s">
        <v>80</v>
      </c>
      <c r="N827" s="7"/>
      <c r="O827" s="7" t="s">
        <v>1150</v>
      </c>
      <c r="P827" s="7" t="s">
        <v>1183</v>
      </c>
      <c r="Q827" s="7" t="s">
        <v>1152</v>
      </c>
      <c r="R827" s="8"/>
      <c r="S827" s="12"/>
      <c r="T827" s="12"/>
    </row>
    <row r="828" customFormat="false" ht="46.25" hidden="false" customHeight="false" outlineLevel="0" collapsed="false">
      <c r="A828" s="7" t="s">
        <v>3605</v>
      </c>
      <c r="B828" s="7" t="s">
        <v>79</v>
      </c>
      <c r="C828" s="7" t="s">
        <v>3569</v>
      </c>
      <c r="D828" s="7" t="s">
        <v>3606</v>
      </c>
      <c r="E828" s="7" t="s">
        <v>3571</v>
      </c>
      <c r="F828" s="7" t="s">
        <v>1029</v>
      </c>
      <c r="G828" s="7" t="s">
        <v>3572</v>
      </c>
      <c r="H828" s="8" t="s">
        <v>3603</v>
      </c>
      <c r="I828" s="8" t="s">
        <v>83</v>
      </c>
      <c r="J828" s="7" t="s">
        <v>720</v>
      </c>
      <c r="K828" s="7" t="s">
        <v>3607</v>
      </c>
      <c r="L828" s="7" t="n">
        <v>2</v>
      </c>
      <c r="M828" s="7" t="s">
        <v>80</v>
      </c>
      <c r="N828" s="7"/>
      <c r="O828" s="7" t="s">
        <v>1150</v>
      </c>
      <c r="P828" s="7" t="s">
        <v>1183</v>
      </c>
      <c r="Q828" s="7" t="s">
        <v>1152</v>
      </c>
      <c r="R828" s="8"/>
      <c r="S828" s="12"/>
      <c r="T828" s="12"/>
    </row>
    <row r="829" customFormat="false" ht="46.25" hidden="false" customHeight="false" outlineLevel="0" collapsed="false">
      <c r="A829" s="7" t="s">
        <v>3608</v>
      </c>
      <c r="B829" s="7" t="s">
        <v>79</v>
      </c>
      <c r="C829" s="7" t="s">
        <v>3569</v>
      </c>
      <c r="D829" s="7" t="s">
        <v>3609</v>
      </c>
      <c r="E829" s="7" t="s">
        <v>3571</v>
      </c>
      <c r="F829" s="7" t="s">
        <v>1029</v>
      </c>
      <c r="G829" s="7" t="s">
        <v>3572</v>
      </c>
      <c r="H829" s="8" t="s">
        <v>3577</v>
      </c>
      <c r="I829" s="8" t="s">
        <v>83</v>
      </c>
      <c r="J829" s="7" t="s">
        <v>720</v>
      </c>
      <c r="K829" s="7" t="s">
        <v>3610</v>
      </c>
      <c r="L829" s="7" t="n">
        <v>2</v>
      </c>
      <c r="M829" s="7" t="s">
        <v>80</v>
      </c>
      <c r="N829" s="7"/>
      <c r="O829" s="7" t="s">
        <v>1150</v>
      </c>
      <c r="P829" s="7" t="s">
        <v>1183</v>
      </c>
      <c r="Q829" s="7" t="s">
        <v>1152</v>
      </c>
      <c r="R829" s="8"/>
      <c r="S829" s="12"/>
      <c r="T829" s="12"/>
    </row>
    <row r="830" customFormat="false" ht="46.25" hidden="false" customHeight="false" outlineLevel="0" collapsed="false">
      <c r="A830" s="7" t="s">
        <v>3611</v>
      </c>
      <c r="B830" s="7" t="s">
        <v>79</v>
      </c>
      <c r="C830" s="7" t="s">
        <v>3569</v>
      </c>
      <c r="D830" s="7" t="s">
        <v>3612</v>
      </c>
      <c r="E830" s="7" t="s">
        <v>3571</v>
      </c>
      <c r="F830" s="7" t="s">
        <v>1029</v>
      </c>
      <c r="G830" s="7" t="s">
        <v>3572</v>
      </c>
      <c r="H830" s="8" t="s">
        <v>3577</v>
      </c>
      <c r="I830" s="8" t="s">
        <v>83</v>
      </c>
      <c r="J830" s="7" t="s">
        <v>720</v>
      </c>
      <c r="K830" s="7" t="s">
        <v>3613</v>
      </c>
      <c r="L830" s="7" t="n">
        <v>2</v>
      </c>
      <c r="M830" s="7" t="s">
        <v>80</v>
      </c>
      <c r="N830" s="7"/>
      <c r="O830" s="7" t="s">
        <v>1150</v>
      </c>
      <c r="P830" s="7" t="s">
        <v>1183</v>
      </c>
      <c r="Q830" s="7" t="s">
        <v>1152</v>
      </c>
      <c r="R830" s="8"/>
      <c r="S830" s="12"/>
      <c r="T830" s="12"/>
    </row>
    <row r="831" customFormat="false" ht="46.25" hidden="false" customHeight="false" outlineLevel="0" collapsed="false">
      <c r="A831" s="7" t="s">
        <v>3614</v>
      </c>
      <c r="B831" s="7" t="s">
        <v>79</v>
      </c>
      <c r="C831" s="7" t="s">
        <v>3569</v>
      </c>
      <c r="D831" s="7" t="s">
        <v>3615</v>
      </c>
      <c r="E831" s="7" t="s">
        <v>3571</v>
      </c>
      <c r="F831" s="7" t="s">
        <v>1029</v>
      </c>
      <c r="G831" s="7" t="s">
        <v>3572</v>
      </c>
      <c r="H831" s="8" t="s">
        <v>3616</v>
      </c>
      <c r="I831" s="8" t="s">
        <v>83</v>
      </c>
      <c r="J831" s="7" t="s">
        <v>1063</v>
      </c>
      <c r="K831" s="7" t="s">
        <v>3617</v>
      </c>
      <c r="L831" s="7" t="n">
        <v>2</v>
      </c>
      <c r="M831" s="7" t="s">
        <v>80</v>
      </c>
      <c r="N831" s="7"/>
      <c r="O831" s="7" t="s">
        <v>1150</v>
      </c>
      <c r="P831" s="7" t="s">
        <v>1151</v>
      </c>
      <c r="Q831" s="7" t="s">
        <v>1152</v>
      </c>
      <c r="R831" s="8"/>
      <c r="S831" s="12"/>
      <c r="T831" s="12"/>
    </row>
    <row r="832" customFormat="false" ht="46.25" hidden="false" customHeight="false" outlineLevel="0" collapsed="false">
      <c r="A832" s="7" t="s">
        <v>3618</v>
      </c>
      <c r="B832" s="7" t="s">
        <v>142</v>
      </c>
      <c r="C832" s="7" t="s">
        <v>3569</v>
      </c>
      <c r="D832" s="7" t="s">
        <v>3619</v>
      </c>
      <c r="E832" s="7" t="s">
        <v>3571</v>
      </c>
      <c r="F832" s="7" t="s">
        <v>1029</v>
      </c>
      <c r="G832" s="7" t="s">
        <v>3572</v>
      </c>
      <c r="H832" s="8" t="s">
        <v>3620</v>
      </c>
      <c r="I832" s="8" t="s">
        <v>145</v>
      </c>
      <c r="J832" s="7" t="s">
        <v>720</v>
      </c>
      <c r="K832" s="7" t="s">
        <v>3621</v>
      </c>
      <c r="L832" s="7" t="n">
        <v>2</v>
      </c>
      <c r="M832" s="7" t="s">
        <v>143</v>
      </c>
      <c r="N832" s="7"/>
      <c r="O832" s="7" t="s">
        <v>1150</v>
      </c>
      <c r="P832" s="7" t="s">
        <v>1151</v>
      </c>
      <c r="Q832" s="7" t="s">
        <v>1152</v>
      </c>
      <c r="R832" s="8"/>
      <c r="S832" s="12"/>
      <c r="T832" s="12"/>
    </row>
    <row r="833" customFormat="false" ht="46.25" hidden="false" customHeight="false" outlineLevel="0" collapsed="false">
      <c r="A833" s="7" t="s">
        <v>3622</v>
      </c>
      <c r="B833" s="7" t="s">
        <v>142</v>
      </c>
      <c r="C833" s="7" t="s">
        <v>3569</v>
      </c>
      <c r="D833" s="7" t="s">
        <v>3623</v>
      </c>
      <c r="E833" s="7" t="s">
        <v>3571</v>
      </c>
      <c r="F833" s="7" t="s">
        <v>1029</v>
      </c>
      <c r="G833" s="7" t="s">
        <v>3572</v>
      </c>
      <c r="H833" s="8" t="s">
        <v>3624</v>
      </c>
      <c r="I833" s="8" t="s">
        <v>145</v>
      </c>
      <c r="J833" s="7" t="s">
        <v>720</v>
      </c>
      <c r="K833" s="7" t="s">
        <v>3625</v>
      </c>
      <c r="L833" s="7" t="n">
        <v>2</v>
      </c>
      <c r="M833" s="7" t="s">
        <v>143</v>
      </c>
      <c r="N833" s="7"/>
      <c r="O833" s="7" t="s">
        <v>1150</v>
      </c>
      <c r="P833" s="7" t="s">
        <v>1151</v>
      </c>
      <c r="Q833" s="7" t="s">
        <v>1152</v>
      </c>
      <c r="R833" s="8"/>
      <c r="S833" s="12"/>
      <c r="T833" s="12"/>
    </row>
    <row r="834" customFormat="false" ht="46.25" hidden="false" customHeight="false" outlineLevel="0" collapsed="false">
      <c r="A834" s="7" t="s">
        <v>3626</v>
      </c>
      <c r="B834" s="7" t="s">
        <v>142</v>
      </c>
      <c r="C834" s="7" t="s">
        <v>3569</v>
      </c>
      <c r="D834" s="7" t="s">
        <v>3627</v>
      </c>
      <c r="E834" s="7" t="s">
        <v>3571</v>
      </c>
      <c r="F834" s="7" t="s">
        <v>1029</v>
      </c>
      <c r="G834" s="7" t="s">
        <v>3572</v>
      </c>
      <c r="H834" s="8" t="s">
        <v>3624</v>
      </c>
      <c r="I834" s="8" t="s">
        <v>145</v>
      </c>
      <c r="J834" s="7" t="s">
        <v>720</v>
      </c>
      <c r="K834" s="7" t="s">
        <v>3628</v>
      </c>
      <c r="L834" s="7" t="n">
        <v>2</v>
      </c>
      <c r="M834" s="7" t="s">
        <v>143</v>
      </c>
      <c r="N834" s="7"/>
      <c r="O834" s="7" t="s">
        <v>1150</v>
      </c>
      <c r="P834" s="7" t="s">
        <v>1151</v>
      </c>
      <c r="Q834" s="7" t="s">
        <v>1152</v>
      </c>
      <c r="R834" s="8"/>
      <c r="S834" s="12"/>
      <c r="T834" s="12"/>
    </row>
    <row r="835" customFormat="false" ht="46.25" hidden="false" customHeight="false" outlineLevel="0" collapsed="false">
      <c r="A835" s="7" t="s">
        <v>3629</v>
      </c>
      <c r="B835" s="7" t="s">
        <v>142</v>
      </c>
      <c r="C835" s="7" t="s">
        <v>3569</v>
      </c>
      <c r="D835" s="7" t="s">
        <v>3630</v>
      </c>
      <c r="E835" s="7" t="s">
        <v>3571</v>
      </c>
      <c r="F835" s="7" t="s">
        <v>1029</v>
      </c>
      <c r="G835" s="7" t="s">
        <v>3572</v>
      </c>
      <c r="H835" s="8" t="s">
        <v>3631</v>
      </c>
      <c r="I835" s="8" t="s">
        <v>145</v>
      </c>
      <c r="J835" s="7" t="s">
        <v>720</v>
      </c>
      <c r="K835" s="7" t="s">
        <v>3632</v>
      </c>
      <c r="L835" s="7" t="n">
        <v>2</v>
      </c>
      <c r="M835" s="7" t="s">
        <v>143</v>
      </c>
      <c r="N835" s="7"/>
      <c r="O835" s="7" t="s">
        <v>1150</v>
      </c>
      <c r="P835" s="7" t="s">
        <v>1183</v>
      </c>
      <c r="Q835" s="7" t="s">
        <v>1152</v>
      </c>
      <c r="R835" s="8"/>
      <c r="S835" s="12"/>
      <c r="T835" s="12"/>
    </row>
    <row r="836" customFormat="false" ht="46.25" hidden="false" customHeight="false" outlineLevel="0" collapsed="false">
      <c r="A836" s="7" t="s">
        <v>3633</v>
      </c>
      <c r="B836" s="7" t="s">
        <v>142</v>
      </c>
      <c r="C836" s="7" t="s">
        <v>3569</v>
      </c>
      <c r="D836" s="7" t="s">
        <v>3634</v>
      </c>
      <c r="E836" s="7" t="s">
        <v>3571</v>
      </c>
      <c r="F836" s="7" t="s">
        <v>1029</v>
      </c>
      <c r="G836" s="7" t="s">
        <v>3572</v>
      </c>
      <c r="H836" s="8" t="s">
        <v>3635</v>
      </c>
      <c r="I836" s="8" t="s">
        <v>145</v>
      </c>
      <c r="J836" s="7" t="s">
        <v>1056</v>
      </c>
      <c r="K836" s="7" t="s">
        <v>3636</v>
      </c>
      <c r="L836" s="7" t="n">
        <v>2</v>
      </c>
      <c r="M836" s="7" t="s">
        <v>143</v>
      </c>
      <c r="N836" s="7"/>
      <c r="O836" s="7" t="s">
        <v>1150</v>
      </c>
      <c r="P836" s="7" t="s">
        <v>1151</v>
      </c>
      <c r="Q836" s="7" t="s">
        <v>1152</v>
      </c>
      <c r="R836" s="8"/>
      <c r="S836" s="12"/>
      <c r="T836" s="12"/>
    </row>
    <row r="837" customFormat="false" ht="46.25" hidden="false" customHeight="false" outlineLevel="0" collapsed="false">
      <c r="A837" s="7" t="s">
        <v>3637</v>
      </c>
      <c r="B837" s="7" t="s">
        <v>142</v>
      </c>
      <c r="C837" s="7" t="s">
        <v>3569</v>
      </c>
      <c r="D837" s="7" t="s">
        <v>3638</v>
      </c>
      <c r="E837" s="7" t="s">
        <v>3571</v>
      </c>
      <c r="F837" s="7" t="s">
        <v>1029</v>
      </c>
      <c r="G837" s="7" t="s">
        <v>3572</v>
      </c>
      <c r="H837" s="8" t="s">
        <v>3631</v>
      </c>
      <c r="I837" s="8" t="s">
        <v>145</v>
      </c>
      <c r="J837" s="7" t="s">
        <v>720</v>
      </c>
      <c r="K837" s="7" t="s">
        <v>3639</v>
      </c>
      <c r="L837" s="7" t="n">
        <v>2</v>
      </c>
      <c r="M837" s="7" t="s">
        <v>143</v>
      </c>
      <c r="N837" s="7"/>
      <c r="O837" s="7" t="s">
        <v>1150</v>
      </c>
      <c r="P837" s="7" t="s">
        <v>1183</v>
      </c>
      <c r="Q837" s="7" t="s">
        <v>1152</v>
      </c>
      <c r="R837" s="8"/>
      <c r="S837" s="12"/>
      <c r="T837" s="12"/>
    </row>
    <row r="838" customFormat="false" ht="46.25" hidden="false" customHeight="false" outlineLevel="0" collapsed="false">
      <c r="A838" s="7" t="s">
        <v>3640</v>
      </c>
      <c r="B838" s="7" t="s">
        <v>142</v>
      </c>
      <c r="C838" s="7" t="s">
        <v>3569</v>
      </c>
      <c r="D838" s="7" t="s">
        <v>3641</v>
      </c>
      <c r="E838" s="7" t="s">
        <v>3571</v>
      </c>
      <c r="F838" s="7" t="s">
        <v>1029</v>
      </c>
      <c r="G838" s="7" t="s">
        <v>3572</v>
      </c>
      <c r="H838" s="8" t="s">
        <v>3631</v>
      </c>
      <c r="I838" s="8" t="s">
        <v>145</v>
      </c>
      <c r="J838" s="7" t="s">
        <v>720</v>
      </c>
      <c r="K838" s="7" t="s">
        <v>3642</v>
      </c>
      <c r="L838" s="7" t="n">
        <v>2</v>
      </c>
      <c r="M838" s="7" t="s">
        <v>143</v>
      </c>
      <c r="N838" s="7"/>
      <c r="O838" s="7" t="s">
        <v>1150</v>
      </c>
      <c r="P838" s="7" t="s">
        <v>1183</v>
      </c>
      <c r="Q838" s="7" t="s">
        <v>1152</v>
      </c>
      <c r="R838" s="8"/>
      <c r="S838" s="12"/>
      <c r="T838" s="12"/>
    </row>
    <row r="839" customFormat="false" ht="46.25" hidden="false" customHeight="false" outlineLevel="0" collapsed="false">
      <c r="A839" s="7" t="s">
        <v>3643</v>
      </c>
      <c r="B839" s="7" t="s">
        <v>142</v>
      </c>
      <c r="C839" s="7" t="s">
        <v>3569</v>
      </c>
      <c r="D839" s="7" t="s">
        <v>3644</v>
      </c>
      <c r="E839" s="7" t="s">
        <v>3571</v>
      </c>
      <c r="F839" s="7" t="s">
        <v>1029</v>
      </c>
      <c r="G839" s="7" t="s">
        <v>3572</v>
      </c>
      <c r="H839" s="8" t="s">
        <v>3631</v>
      </c>
      <c r="I839" s="8" t="s">
        <v>145</v>
      </c>
      <c r="J839" s="7" t="s">
        <v>720</v>
      </c>
      <c r="K839" s="7" t="s">
        <v>3645</v>
      </c>
      <c r="L839" s="7" t="n">
        <v>2</v>
      </c>
      <c r="M839" s="7" t="s">
        <v>143</v>
      </c>
      <c r="N839" s="7"/>
      <c r="O839" s="7" t="s">
        <v>1150</v>
      </c>
      <c r="P839" s="7" t="s">
        <v>1183</v>
      </c>
      <c r="Q839" s="7" t="s">
        <v>1152</v>
      </c>
      <c r="R839" s="8"/>
      <c r="S839" s="12"/>
      <c r="T839" s="12"/>
    </row>
    <row r="840" customFormat="false" ht="46.25" hidden="false" customHeight="false" outlineLevel="0" collapsed="false">
      <c r="A840" s="7" t="s">
        <v>3646</v>
      </c>
      <c r="B840" s="7" t="s">
        <v>142</v>
      </c>
      <c r="C840" s="7" t="s">
        <v>3569</v>
      </c>
      <c r="D840" s="7" t="s">
        <v>3647</v>
      </c>
      <c r="E840" s="7" t="s">
        <v>3571</v>
      </c>
      <c r="F840" s="7" t="s">
        <v>1029</v>
      </c>
      <c r="G840" s="7" t="s">
        <v>3572</v>
      </c>
      <c r="H840" s="8" t="s">
        <v>3648</v>
      </c>
      <c r="I840" s="8" t="s">
        <v>145</v>
      </c>
      <c r="J840" s="7" t="s">
        <v>720</v>
      </c>
      <c r="K840" s="7" t="s">
        <v>3649</v>
      </c>
      <c r="L840" s="7" t="n">
        <v>2</v>
      </c>
      <c r="M840" s="7" t="s">
        <v>143</v>
      </c>
      <c r="N840" s="7"/>
      <c r="O840" s="7" t="s">
        <v>1150</v>
      </c>
      <c r="P840" s="7" t="s">
        <v>1183</v>
      </c>
      <c r="Q840" s="7" t="s">
        <v>1152</v>
      </c>
      <c r="R840" s="8"/>
      <c r="S840" s="12"/>
      <c r="T840" s="12"/>
    </row>
    <row r="841" customFormat="false" ht="46.25" hidden="false" customHeight="false" outlineLevel="0" collapsed="false">
      <c r="A841" s="7" t="s">
        <v>3650</v>
      </c>
      <c r="B841" s="7" t="s">
        <v>142</v>
      </c>
      <c r="C841" s="7" t="s">
        <v>3569</v>
      </c>
      <c r="D841" s="7" t="s">
        <v>3651</v>
      </c>
      <c r="E841" s="7" t="s">
        <v>3571</v>
      </c>
      <c r="F841" s="7" t="s">
        <v>1029</v>
      </c>
      <c r="G841" s="7" t="s">
        <v>3572</v>
      </c>
      <c r="H841" s="8" t="s">
        <v>3648</v>
      </c>
      <c r="I841" s="8" t="s">
        <v>145</v>
      </c>
      <c r="J841" s="7" t="s">
        <v>720</v>
      </c>
      <c r="K841" s="7" t="s">
        <v>3652</v>
      </c>
      <c r="L841" s="7" t="n">
        <v>2</v>
      </c>
      <c r="M841" s="7" t="s">
        <v>143</v>
      </c>
      <c r="N841" s="7"/>
      <c r="O841" s="7" t="s">
        <v>1150</v>
      </c>
      <c r="P841" s="7" t="s">
        <v>1183</v>
      </c>
      <c r="Q841" s="7" t="s">
        <v>1152</v>
      </c>
      <c r="R841" s="8"/>
      <c r="S841" s="12"/>
      <c r="T841" s="12"/>
    </row>
    <row r="842" customFormat="false" ht="46.25" hidden="false" customHeight="false" outlineLevel="0" collapsed="false">
      <c r="A842" s="7" t="s">
        <v>3653</v>
      </c>
      <c r="B842" s="7" t="s">
        <v>142</v>
      </c>
      <c r="C842" s="7" t="s">
        <v>3569</v>
      </c>
      <c r="D842" s="7" t="s">
        <v>3654</v>
      </c>
      <c r="E842" s="7" t="s">
        <v>3571</v>
      </c>
      <c r="F842" s="7" t="s">
        <v>1029</v>
      </c>
      <c r="G842" s="7" t="s">
        <v>3572</v>
      </c>
      <c r="H842" s="8" t="s">
        <v>3635</v>
      </c>
      <c r="I842" s="8" t="s">
        <v>145</v>
      </c>
      <c r="J842" s="7" t="s">
        <v>1056</v>
      </c>
      <c r="K842" s="7" t="s">
        <v>3655</v>
      </c>
      <c r="L842" s="7" t="n">
        <v>2</v>
      </c>
      <c r="M842" s="7" t="s">
        <v>143</v>
      </c>
      <c r="N842" s="7"/>
      <c r="O842" s="7" t="s">
        <v>1150</v>
      </c>
      <c r="P842" s="7" t="s">
        <v>1151</v>
      </c>
      <c r="Q842" s="7" t="s">
        <v>1152</v>
      </c>
      <c r="R842" s="8"/>
      <c r="S842" s="12"/>
      <c r="T842" s="12"/>
    </row>
    <row r="843" customFormat="false" ht="46.25" hidden="false" customHeight="false" outlineLevel="0" collapsed="false">
      <c r="A843" s="7" t="s">
        <v>3656</v>
      </c>
      <c r="B843" s="7" t="s">
        <v>142</v>
      </c>
      <c r="C843" s="7" t="s">
        <v>3569</v>
      </c>
      <c r="D843" s="7" t="s">
        <v>3657</v>
      </c>
      <c r="E843" s="7" t="s">
        <v>3571</v>
      </c>
      <c r="F843" s="7" t="s">
        <v>1029</v>
      </c>
      <c r="G843" s="7" t="s">
        <v>3572</v>
      </c>
      <c r="H843" s="8" t="s">
        <v>3635</v>
      </c>
      <c r="I843" s="8" t="s">
        <v>145</v>
      </c>
      <c r="J843" s="7" t="s">
        <v>1056</v>
      </c>
      <c r="K843" s="7" t="s">
        <v>3658</v>
      </c>
      <c r="L843" s="7" t="n">
        <v>2</v>
      </c>
      <c r="M843" s="7" t="s">
        <v>143</v>
      </c>
      <c r="N843" s="7"/>
      <c r="O843" s="7" t="s">
        <v>1150</v>
      </c>
      <c r="P843" s="7" t="s">
        <v>1151</v>
      </c>
      <c r="Q843" s="7" t="s">
        <v>1152</v>
      </c>
      <c r="R843" s="8"/>
      <c r="S843" s="12"/>
      <c r="T843" s="12"/>
    </row>
    <row r="844" customFormat="false" ht="46.25" hidden="false" customHeight="false" outlineLevel="0" collapsed="false">
      <c r="A844" s="7" t="s">
        <v>3659</v>
      </c>
      <c r="B844" s="7" t="s">
        <v>142</v>
      </c>
      <c r="C844" s="7" t="s">
        <v>3569</v>
      </c>
      <c r="D844" s="7" t="s">
        <v>3660</v>
      </c>
      <c r="E844" s="7" t="s">
        <v>3571</v>
      </c>
      <c r="F844" s="7" t="s">
        <v>1029</v>
      </c>
      <c r="G844" s="7" t="s">
        <v>3572</v>
      </c>
      <c r="H844" s="8" t="s">
        <v>3624</v>
      </c>
      <c r="I844" s="8" t="s">
        <v>145</v>
      </c>
      <c r="J844" s="7" t="s">
        <v>720</v>
      </c>
      <c r="K844" s="7" t="s">
        <v>3661</v>
      </c>
      <c r="L844" s="7" t="n">
        <v>2</v>
      </c>
      <c r="M844" s="7" t="s">
        <v>143</v>
      </c>
      <c r="N844" s="7"/>
      <c r="O844" s="7" t="s">
        <v>1150</v>
      </c>
      <c r="P844" s="7" t="s">
        <v>1183</v>
      </c>
      <c r="Q844" s="7" t="s">
        <v>1152</v>
      </c>
      <c r="R844" s="8"/>
      <c r="S844" s="12"/>
      <c r="T844" s="12"/>
    </row>
    <row r="845" customFormat="false" ht="46.25" hidden="false" customHeight="false" outlineLevel="0" collapsed="false">
      <c r="A845" s="7" t="s">
        <v>3662</v>
      </c>
      <c r="B845" s="7" t="s">
        <v>142</v>
      </c>
      <c r="C845" s="7" t="s">
        <v>3569</v>
      </c>
      <c r="D845" s="7" t="s">
        <v>3663</v>
      </c>
      <c r="E845" s="7" t="s">
        <v>3571</v>
      </c>
      <c r="F845" s="7" t="s">
        <v>1029</v>
      </c>
      <c r="G845" s="7" t="s">
        <v>3572</v>
      </c>
      <c r="H845" s="8" t="s">
        <v>3631</v>
      </c>
      <c r="I845" s="8" t="s">
        <v>145</v>
      </c>
      <c r="J845" s="7" t="s">
        <v>720</v>
      </c>
      <c r="K845" s="7" t="s">
        <v>3664</v>
      </c>
      <c r="L845" s="7" t="n">
        <v>2</v>
      </c>
      <c r="M845" s="7" t="s">
        <v>143</v>
      </c>
      <c r="N845" s="7"/>
      <c r="O845" s="7" t="s">
        <v>1150</v>
      </c>
      <c r="P845" s="7" t="s">
        <v>1183</v>
      </c>
      <c r="Q845" s="7" t="s">
        <v>1152</v>
      </c>
      <c r="R845" s="8"/>
      <c r="S845" s="12"/>
      <c r="T845" s="12"/>
    </row>
    <row r="846" customFormat="false" ht="46.25" hidden="false" customHeight="false" outlineLevel="0" collapsed="false">
      <c r="A846" s="7" t="s">
        <v>3665</v>
      </c>
      <c r="B846" s="7" t="s">
        <v>142</v>
      </c>
      <c r="C846" s="7" t="s">
        <v>3569</v>
      </c>
      <c r="D846" s="7" t="s">
        <v>3666</v>
      </c>
      <c r="E846" s="7" t="s">
        <v>3571</v>
      </c>
      <c r="F846" s="7" t="s">
        <v>1029</v>
      </c>
      <c r="G846" s="7" t="s">
        <v>3572</v>
      </c>
      <c r="H846" s="8" t="s">
        <v>3616</v>
      </c>
      <c r="I846" s="8" t="s">
        <v>145</v>
      </c>
      <c r="J846" s="7" t="s">
        <v>1063</v>
      </c>
      <c r="K846" s="7" t="s">
        <v>3667</v>
      </c>
      <c r="L846" s="7" t="n">
        <v>2</v>
      </c>
      <c r="M846" s="7" t="s">
        <v>143</v>
      </c>
      <c r="N846" s="7"/>
      <c r="O846" s="7" t="s">
        <v>1150</v>
      </c>
      <c r="P846" s="7" t="s">
        <v>1151</v>
      </c>
      <c r="Q846" s="7" t="s">
        <v>1152</v>
      </c>
      <c r="R846" s="8"/>
      <c r="S846" s="12"/>
      <c r="T846" s="12"/>
    </row>
    <row r="847" customFormat="false" ht="35.05" hidden="false" customHeight="false" outlineLevel="0" collapsed="false">
      <c r="A847" s="7" t="s">
        <v>3668</v>
      </c>
      <c r="B847" s="7" t="s">
        <v>182</v>
      </c>
      <c r="C847" s="7" t="s">
        <v>3569</v>
      </c>
      <c r="D847" s="7" t="s">
        <v>3669</v>
      </c>
      <c r="E847" s="7" t="s">
        <v>3571</v>
      </c>
      <c r="F847" s="7" t="s">
        <v>1029</v>
      </c>
      <c r="G847" s="7" t="s">
        <v>3572</v>
      </c>
      <c r="H847" s="8" t="s">
        <v>3670</v>
      </c>
      <c r="I847" s="8" t="s">
        <v>185</v>
      </c>
      <c r="J847" s="7" t="s">
        <v>720</v>
      </c>
      <c r="K847" s="7" t="s">
        <v>3671</v>
      </c>
      <c r="L847" s="7" t="n">
        <v>2</v>
      </c>
      <c r="M847" s="7" t="s">
        <v>183</v>
      </c>
      <c r="N847" s="7"/>
      <c r="O847" s="7" t="s">
        <v>1150</v>
      </c>
      <c r="P847" s="7" t="s">
        <v>1151</v>
      </c>
      <c r="Q847" s="7" t="s">
        <v>1152</v>
      </c>
      <c r="R847" s="8"/>
      <c r="S847" s="12"/>
      <c r="T847" s="12"/>
    </row>
    <row r="848" customFormat="false" ht="35.05" hidden="false" customHeight="false" outlineLevel="0" collapsed="false">
      <c r="A848" s="7" t="s">
        <v>3672</v>
      </c>
      <c r="B848" s="7" t="s">
        <v>182</v>
      </c>
      <c r="C848" s="7" t="s">
        <v>3569</v>
      </c>
      <c r="D848" s="7" t="s">
        <v>3673</v>
      </c>
      <c r="E848" s="7" t="s">
        <v>3571</v>
      </c>
      <c r="F848" s="7" t="s">
        <v>1029</v>
      </c>
      <c r="G848" s="7" t="s">
        <v>3572</v>
      </c>
      <c r="H848" s="8" t="s">
        <v>3670</v>
      </c>
      <c r="I848" s="8" t="s">
        <v>185</v>
      </c>
      <c r="J848" s="7" t="s">
        <v>720</v>
      </c>
      <c r="K848" s="7" t="s">
        <v>3674</v>
      </c>
      <c r="L848" s="7" t="n">
        <v>2</v>
      </c>
      <c r="M848" s="7" t="s">
        <v>183</v>
      </c>
      <c r="N848" s="7"/>
      <c r="O848" s="7" t="s">
        <v>1150</v>
      </c>
      <c r="P848" s="7" t="s">
        <v>1151</v>
      </c>
      <c r="Q848" s="7" t="s">
        <v>1152</v>
      </c>
      <c r="R848" s="8"/>
      <c r="S848" s="12"/>
      <c r="T848" s="12"/>
    </row>
    <row r="849" customFormat="false" ht="35.05" hidden="false" customHeight="false" outlineLevel="0" collapsed="false">
      <c r="A849" s="7" t="s">
        <v>3675</v>
      </c>
      <c r="B849" s="7" t="s">
        <v>182</v>
      </c>
      <c r="C849" s="7" t="s">
        <v>3569</v>
      </c>
      <c r="D849" s="7" t="s">
        <v>3676</v>
      </c>
      <c r="E849" s="7" t="s">
        <v>3571</v>
      </c>
      <c r="F849" s="7" t="s">
        <v>1029</v>
      </c>
      <c r="G849" s="7" t="s">
        <v>3572</v>
      </c>
      <c r="H849" s="8" t="s">
        <v>3670</v>
      </c>
      <c r="I849" s="8" t="s">
        <v>185</v>
      </c>
      <c r="J849" s="7" t="s">
        <v>720</v>
      </c>
      <c r="K849" s="7" t="s">
        <v>3677</v>
      </c>
      <c r="L849" s="7" t="n">
        <v>2</v>
      </c>
      <c r="M849" s="7" t="s">
        <v>183</v>
      </c>
      <c r="N849" s="7"/>
      <c r="O849" s="7" t="s">
        <v>1150</v>
      </c>
      <c r="P849" s="7" t="s">
        <v>1151</v>
      </c>
      <c r="Q849" s="7" t="s">
        <v>1152</v>
      </c>
      <c r="R849" s="8"/>
      <c r="S849" s="12"/>
      <c r="T849" s="12"/>
    </row>
    <row r="850" customFormat="false" ht="35.05" hidden="false" customHeight="false" outlineLevel="0" collapsed="false">
      <c r="A850" s="7" t="s">
        <v>3678</v>
      </c>
      <c r="B850" s="7" t="s">
        <v>182</v>
      </c>
      <c r="C850" s="7" t="s">
        <v>3569</v>
      </c>
      <c r="D850" s="7" t="s">
        <v>3679</v>
      </c>
      <c r="E850" s="7" t="s">
        <v>3571</v>
      </c>
      <c r="F850" s="7" t="s">
        <v>1029</v>
      </c>
      <c r="G850" s="7" t="s">
        <v>3572</v>
      </c>
      <c r="H850" s="8" t="s">
        <v>3670</v>
      </c>
      <c r="I850" s="8" t="s">
        <v>185</v>
      </c>
      <c r="J850" s="7" t="s">
        <v>720</v>
      </c>
      <c r="K850" s="7" t="s">
        <v>3680</v>
      </c>
      <c r="L850" s="7" t="n">
        <v>2</v>
      </c>
      <c r="M850" s="7" t="s">
        <v>183</v>
      </c>
      <c r="N850" s="7"/>
      <c r="O850" s="7" t="s">
        <v>1150</v>
      </c>
      <c r="P850" s="7" t="s">
        <v>1183</v>
      </c>
      <c r="Q850" s="7" t="s">
        <v>1152</v>
      </c>
      <c r="R850" s="8"/>
      <c r="S850" s="12"/>
      <c r="T850" s="12"/>
    </row>
    <row r="851" customFormat="false" ht="35.05" hidden="false" customHeight="false" outlineLevel="0" collapsed="false">
      <c r="A851" s="7" t="s">
        <v>3681</v>
      </c>
      <c r="B851" s="7" t="s">
        <v>182</v>
      </c>
      <c r="C851" s="7" t="s">
        <v>3569</v>
      </c>
      <c r="D851" s="7" t="s">
        <v>3682</v>
      </c>
      <c r="E851" s="7" t="s">
        <v>3571</v>
      </c>
      <c r="F851" s="7" t="s">
        <v>1029</v>
      </c>
      <c r="G851" s="7" t="s">
        <v>3572</v>
      </c>
      <c r="H851" s="8" t="s">
        <v>3670</v>
      </c>
      <c r="I851" s="8" t="s">
        <v>185</v>
      </c>
      <c r="J851" s="7" t="s">
        <v>720</v>
      </c>
      <c r="K851" s="7" t="s">
        <v>3683</v>
      </c>
      <c r="L851" s="7" t="n">
        <v>2</v>
      </c>
      <c r="M851" s="7" t="s">
        <v>183</v>
      </c>
      <c r="N851" s="7"/>
      <c r="O851" s="7" t="s">
        <v>1150</v>
      </c>
      <c r="P851" s="7" t="s">
        <v>1183</v>
      </c>
      <c r="Q851" s="7" t="s">
        <v>1152</v>
      </c>
      <c r="R851" s="8"/>
      <c r="S851" s="12"/>
      <c r="T851" s="12"/>
    </row>
    <row r="852" customFormat="false" ht="35.05" hidden="false" customHeight="false" outlineLevel="0" collapsed="false">
      <c r="A852" s="7" t="s">
        <v>3684</v>
      </c>
      <c r="B852" s="7" t="s">
        <v>182</v>
      </c>
      <c r="C852" s="7" t="s">
        <v>3569</v>
      </c>
      <c r="D852" s="7" t="s">
        <v>3685</v>
      </c>
      <c r="E852" s="7" t="s">
        <v>3571</v>
      </c>
      <c r="F852" s="7" t="s">
        <v>1029</v>
      </c>
      <c r="G852" s="7" t="s">
        <v>3572</v>
      </c>
      <c r="H852" s="8" t="s">
        <v>3670</v>
      </c>
      <c r="I852" s="8" t="s">
        <v>185</v>
      </c>
      <c r="J852" s="7" t="s">
        <v>720</v>
      </c>
      <c r="K852" s="7" t="s">
        <v>3686</v>
      </c>
      <c r="L852" s="7" t="n">
        <v>2</v>
      </c>
      <c r="M852" s="7" t="s">
        <v>183</v>
      </c>
      <c r="N852" s="7"/>
      <c r="O852" s="7" t="s">
        <v>1150</v>
      </c>
      <c r="P852" s="7" t="s">
        <v>1183</v>
      </c>
      <c r="Q852" s="7" t="s">
        <v>1152</v>
      </c>
      <c r="R852" s="8"/>
      <c r="S852" s="12"/>
      <c r="T852" s="12"/>
    </row>
    <row r="853" customFormat="false" ht="35.05" hidden="false" customHeight="false" outlineLevel="0" collapsed="false">
      <c r="A853" s="7" t="s">
        <v>3687</v>
      </c>
      <c r="B853" s="7" t="s">
        <v>182</v>
      </c>
      <c r="C853" s="7" t="s">
        <v>3569</v>
      </c>
      <c r="D853" s="7" t="s">
        <v>3688</v>
      </c>
      <c r="E853" s="7" t="s">
        <v>3571</v>
      </c>
      <c r="F853" s="7" t="s">
        <v>1029</v>
      </c>
      <c r="G853" s="7" t="s">
        <v>3572</v>
      </c>
      <c r="H853" s="8" t="s">
        <v>3670</v>
      </c>
      <c r="I853" s="8" t="s">
        <v>185</v>
      </c>
      <c r="J853" s="7" t="s">
        <v>720</v>
      </c>
      <c r="K853" s="7" t="s">
        <v>3689</v>
      </c>
      <c r="L853" s="7" t="n">
        <v>2</v>
      </c>
      <c r="M853" s="7" t="s">
        <v>183</v>
      </c>
      <c r="N853" s="7"/>
      <c r="O853" s="7" t="s">
        <v>1150</v>
      </c>
      <c r="P853" s="7" t="s">
        <v>1183</v>
      </c>
      <c r="Q853" s="7" t="s">
        <v>1152</v>
      </c>
      <c r="R853" s="8"/>
      <c r="S853" s="12"/>
      <c r="T853" s="12"/>
    </row>
    <row r="854" customFormat="false" ht="35.05" hidden="false" customHeight="false" outlineLevel="0" collapsed="false">
      <c r="A854" s="7" t="s">
        <v>3690</v>
      </c>
      <c r="B854" s="7" t="s">
        <v>182</v>
      </c>
      <c r="C854" s="7" t="s">
        <v>3569</v>
      </c>
      <c r="D854" s="7" t="s">
        <v>3691</v>
      </c>
      <c r="E854" s="7" t="s">
        <v>3571</v>
      </c>
      <c r="F854" s="7" t="s">
        <v>1029</v>
      </c>
      <c r="G854" s="7" t="s">
        <v>3572</v>
      </c>
      <c r="H854" s="8" t="s">
        <v>3670</v>
      </c>
      <c r="I854" s="8" t="s">
        <v>185</v>
      </c>
      <c r="J854" s="7" t="s">
        <v>720</v>
      </c>
      <c r="K854" s="7" t="s">
        <v>3692</v>
      </c>
      <c r="L854" s="7" t="n">
        <v>2</v>
      </c>
      <c r="M854" s="7" t="s">
        <v>183</v>
      </c>
      <c r="N854" s="7"/>
      <c r="O854" s="7" t="s">
        <v>1150</v>
      </c>
      <c r="P854" s="7" t="s">
        <v>1183</v>
      </c>
      <c r="Q854" s="7" t="s">
        <v>1152</v>
      </c>
      <c r="R854" s="8"/>
      <c r="S854" s="12"/>
      <c r="T854" s="12"/>
    </row>
    <row r="855" customFormat="false" ht="35.05" hidden="false" customHeight="false" outlineLevel="0" collapsed="false">
      <c r="A855" s="7" t="s">
        <v>3693</v>
      </c>
      <c r="B855" s="7" t="s">
        <v>182</v>
      </c>
      <c r="C855" s="7" t="s">
        <v>3569</v>
      </c>
      <c r="D855" s="7" t="s">
        <v>3694</v>
      </c>
      <c r="E855" s="7" t="s">
        <v>3571</v>
      </c>
      <c r="F855" s="7" t="s">
        <v>1029</v>
      </c>
      <c r="G855" s="7" t="s">
        <v>3572</v>
      </c>
      <c r="H855" s="8" t="s">
        <v>3670</v>
      </c>
      <c r="I855" s="8" t="s">
        <v>185</v>
      </c>
      <c r="J855" s="7" t="s">
        <v>720</v>
      </c>
      <c r="K855" s="7" t="s">
        <v>3695</v>
      </c>
      <c r="L855" s="7" t="n">
        <v>2</v>
      </c>
      <c r="M855" s="7" t="s">
        <v>183</v>
      </c>
      <c r="N855" s="7"/>
      <c r="O855" s="7" t="s">
        <v>1150</v>
      </c>
      <c r="P855" s="7" t="s">
        <v>1183</v>
      </c>
      <c r="Q855" s="7" t="s">
        <v>1152</v>
      </c>
      <c r="R855" s="8"/>
      <c r="S855" s="12"/>
      <c r="T855" s="12"/>
    </row>
    <row r="856" customFormat="false" ht="35.05" hidden="false" customHeight="false" outlineLevel="0" collapsed="false">
      <c r="A856" s="7" t="s">
        <v>3696</v>
      </c>
      <c r="B856" s="7" t="s">
        <v>182</v>
      </c>
      <c r="C856" s="7" t="s">
        <v>3569</v>
      </c>
      <c r="D856" s="7" t="s">
        <v>3697</v>
      </c>
      <c r="E856" s="7" t="s">
        <v>3571</v>
      </c>
      <c r="F856" s="7" t="s">
        <v>1029</v>
      </c>
      <c r="G856" s="7" t="s">
        <v>3572</v>
      </c>
      <c r="H856" s="8" t="s">
        <v>3670</v>
      </c>
      <c r="I856" s="8" t="s">
        <v>185</v>
      </c>
      <c r="J856" s="7" t="s">
        <v>720</v>
      </c>
      <c r="K856" s="7" t="s">
        <v>3698</v>
      </c>
      <c r="L856" s="7" t="n">
        <v>2</v>
      </c>
      <c r="M856" s="7" t="s">
        <v>183</v>
      </c>
      <c r="N856" s="7"/>
      <c r="O856" s="7" t="s">
        <v>1150</v>
      </c>
      <c r="P856" s="7" t="s">
        <v>1183</v>
      </c>
      <c r="Q856" s="7" t="s">
        <v>1152</v>
      </c>
      <c r="R856" s="8"/>
      <c r="S856" s="12"/>
      <c r="T856" s="12"/>
    </row>
    <row r="857" customFormat="false" ht="35.05" hidden="false" customHeight="false" outlineLevel="0" collapsed="false">
      <c r="A857" s="7" t="s">
        <v>3699</v>
      </c>
      <c r="B857" s="7" t="s">
        <v>231</v>
      </c>
      <c r="C857" s="7" t="s">
        <v>3569</v>
      </c>
      <c r="D857" s="7" t="s">
        <v>3700</v>
      </c>
      <c r="E857" s="7" t="s">
        <v>3571</v>
      </c>
      <c r="F857" s="7" t="s">
        <v>1029</v>
      </c>
      <c r="G857" s="7" t="s">
        <v>3572</v>
      </c>
      <c r="H857" s="8" t="s">
        <v>3701</v>
      </c>
      <c r="I857" s="8" t="s">
        <v>234</v>
      </c>
      <c r="J857" s="7" t="s">
        <v>720</v>
      </c>
      <c r="K857" s="7" t="s">
        <v>3702</v>
      </c>
      <c r="L857" s="7" t="n">
        <v>2</v>
      </c>
      <c r="M857" s="7" t="s">
        <v>232</v>
      </c>
      <c r="N857" s="7"/>
      <c r="O857" s="7" t="s">
        <v>1150</v>
      </c>
      <c r="P857" s="7" t="s">
        <v>1183</v>
      </c>
      <c r="Q857" s="7" t="s">
        <v>1152</v>
      </c>
      <c r="R857" s="8"/>
      <c r="S857" s="12"/>
      <c r="T857" s="12"/>
    </row>
    <row r="858" customFormat="false" ht="35.05" hidden="false" customHeight="false" outlineLevel="0" collapsed="false">
      <c r="A858" s="7" t="s">
        <v>3703</v>
      </c>
      <c r="B858" s="7" t="s">
        <v>231</v>
      </c>
      <c r="C858" s="7" t="s">
        <v>3569</v>
      </c>
      <c r="D858" s="7" t="s">
        <v>3704</v>
      </c>
      <c r="E858" s="7" t="s">
        <v>3571</v>
      </c>
      <c r="F858" s="7" t="s">
        <v>1029</v>
      </c>
      <c r="G858" s="7" t="s">
        <v>3572</v>
      </c>
      <c r="H858" s="8" t="s">
        <v>3701</v>
      </c>
      <c r="I858" s="8" t="s">
        <v>234</v>
      </c>
      <c r="J858" s="7" t="s">
        <v>720</v>
      </c>
      <c r="K858" s="7" t="s">
        <v>3705</v>
      </c>
      <c r="L858" s="7" t="n">
        <v>2</v>
      </c>
      <c r="M858" s="7" t="s">
        <v>232</v>
      </c>
      <c r="N858" s="7"/>
      <c r="O858" s="7" t="s">
        <v>1150</v>
      </c>
      <c r="P858" s="7" t="s">
        <v>1183</v>
      </c>
      <c r="Q858" s="7" t="s">
        <v>1152</v>
      </c>
      <c r="R858" s="8"/>
      <c r="S858" s="12"/>
      <c r="T858" s="12"/>
    </row>
    <row r="859" customFormat="false" ht="35.05" hidden="false" customHeight="false" outlineLevel="0" collapsed="false">
      <c r="A859" s="7" t="s">
        <v>3706</v>
      </c>
      <c r="B859" s="7" t="s">
        <v>231</v>
      </c>
      <c r="C859" s="7" t="s">
        <v>3569</v>
      </c>
      <c r="D859" s="7" t="s">
        <v>3707</v>
      </c>
      <c r="E859" s="7" t="s">
        <v>3571</v>
      </c>
      <c r="F859" s="7" t="s">
        <v>1029</v>
      </c>
      <c r="G859" s="7" t="s">
        <v>3572</v>
      </c>
      <c r="H859" s="8" t="s">
        <v>3701</v>
      </c>
      <c r="I859" s="8" t="s">
        <v>234</v>
      </c>
      <c r="J859" s="7" t="s">
        <v>720</v>
      </c>
      <c r="K859" s="7" t="s">
        <v>3708</v>
      </c>
      <c r="L859" s="7" t="n">
        <v>2</v>
      </c>
      <c r="M859" s="7" t="s">
        <v>232</v>
      </c>
      <c r="N859" s="7"/>
      <c r="O859" s="7" t="s">
        <v>1150</v>
      </c>
      <c r="P859" s="7" t="s">
        <v>1183</v>
      </c>
      <c r="Q859" s="7" t="s">
        <v>1152</v>
      </c>
      <c r="R859" s="8"/>
      <c r="S859" s="12"/>
      <c r="T859" s="12"/>
    </row>
    <row r="860" customFormat="false" ht="35.05" hidden="false" customHeight="false" outlineLevel="0" collapsed="false">
      <c r="A860" s="7" t="s">
        <v>3709</v>
      </c>
      <c r="B860" s="7" t="s">
        <v>231</v>
      </c>
      <c r="C860" s="7" t="s">
        <v>3569</v>
      </c>
      <c r="D860" s="7" t="s">
        <v>3710</v>
      </c>
      <c r="E860" s="7" t="s">
        <v>3571</v>
      </c>
      <c r="F860" s="7" t="s">
        <v>1029</v>
      </c>
      <c r="G860" s="7" t="s">
        <v>3572</v>
      </c>
      <c r="H860" s="8" t="s">
        <v>3701</v>
      </c>
      <c r="I860" s="8" t="s">
        <v>234</v>
      </c>
      <c r="J860" s="7" t="s">
        <v>720</v>
      </c>
      <c r="K860" s="7" t="s">
        <v>3711</v>
      </c>
      <c r="L860" s="7" t="n">
        <v>2</v>
      </c>
      <c r="M860" s="7" t="s">
        <v>232</v>
      </c>
      <c r="N860" s="7"/>
      <c r="O860" s="7" t="s">
        <v>1150</v>
      </c>
      <c r="P860" s="7" t="s">
        <v>1151</v>
      </c>
      <c r="Q860" s="7" t="s">
        <v>1152</v>
      </c>
      <c r="R860" s="8"/>
      <c r="S860" s="12"/>
      <c r="T860" s="12"/>
    </row>
    <row r="861" customFormat="false" ht="35.05" hidden="false" customHeight="false" outlineLevel="0" collapsed="false">
      <c r="A861" s="7" t="s">
        <v>3712</v>
      </c>
      <c r="B861" s="7" t="s">
        <v>231</v>
      </c>
      <c r="C861" s="7" t="s">
        <v>3569</v>
      </c>
      <c r="D861" s="7" t="s">
        <v>3713</v>
      </c>
      <c r="E861" s="7" t="s">
        <v>3571</v>
      </c>
      <c r="F861" s="7" t="s">
        <v>1029</v>
      </c>
      <c r="G861" s="7" t="s">
        <v>3572</v>
      </c>
      <c r="H861" s="8" t="s">
        <v>3701</v>
      </c>
      <c r="I861" s="8" t="s">
        <v>234</v>
      </c>
      <c r="J861" s="7" t="s">
        <v>720</v>
      </c>
      <c r="K861" s="7" t="s">
        <v>3714</v>
      </c>
      <c r="L861" s="7" t="n">
        <v>2</v>
      </c>
      <c r="M861" s="7" t="s">
        <v>232</v>
      </c>
      <c r="N861" s="7"/>
      <c r="O861" s="7" t="s">
        <v>1150</v>
      </c>
      <c r="P861" s="7" t="s">
        <v>1183</v>
      </c>
      <c r="Q861" s="7" t="s">
        <v>1152</v>
      </c>
      <c r="R861" s="8"/>
      <c r="S861" s="12"/>
      <c r="T861" s="12"/>
    </row>
    <row r="862" customFormat="false" ht="35.05" hidden="false" customHeight="false" outlineLevel="0" collapsed="false">
      <c r="A862" s="7" t="s">
        <v>3715</v>
      </c>
      <c r="B862" s="7" t="s">
        <v>231</v>
      </c>
      <c r="C862" s="7" t="s">
        <v>3569</v>
      </c>
      <c r="D862" s="7" t="s">
        <v>3716</v>
      </c>
      <c r="E862" s="7" t="s">
        <v>3571</v>
      </c>
      <c r="F862" s="7" t="s">
        <v>1029</v>
      </c>
      <c r="G862" s="7" t="s">
        <v>3572</v>
      </c>
      <c r="H862" s="8" t="s">
        <v>3701</v>
      </c>
      <c r="I862" s="8" t="s">
        <v>234</v>
      </c>
      <c r="J862" s="7" t="s">
        <v>720</v>
      </c>
      <c r="K862" s="7" t="s">
        <v>3717</v>
      </c>
      <c r="L862" s="7" t="n">
        <v>2</v>
      </c>
      <c r="M862" s="7" t="s">
        <v>232</v>
      </c>
      <c r="N862" s="7"/>
      <c r="O862" s="7" t="s">
        <v>1150</v>
      </c>
      <c r="P862" s="7" t="s">
        <v>1183</v>
      </c>
      <c r="Q862" s="7" t="s">
        <v>1152</v>
      </c>
      <c r="R862" s="8"/>
      <c r="S862" s="12"/>
      <c r="T862" s="12"/>
    </row>
    <row r="863" customFormat="false" ht="35.05" hidden="false" customHeight="false" outlineLevel="0" collapsed="false">
      <c r="A863" s="7" t="s">
        <v>3718</v>
      </c>
      <c r="B863" s="7" t="s">
        <v>231</v>
      </c>
      <c r="C863" s="7" t="s">
        <v>3569</v>
      </c>
      <c r="D863" s="7" t="s">
        <v>3719</v>
      </c>
      <c r="E863" s="7" t="s">
        <v>3571</v>
      </c>
      <c r="F863" s="7" t="s">
        <v>1029</v>
      </c>
      <c r="G863" s="7" t="s">
        <v>3572</v>
      </c>
      <c r="H863" s="8" t="s">
        <v>3701</v>
      </c>
      <c r="I863" s="8" t="s">
        <v>234</v>
      </c>
      <c r="J863" s="7" t="s">
        <v>720</v>
      </c>
      <c r="K863" s="7" t="s">
        <v>3720</v>
      </c>
      <c r="L863" s="7" t="n">
        <v>2</v>
      </c>
      <c r="M863" s="7" t="s">
        <v>232</v>
      </c>
      <c r="N863" s="7"/>
      <c r="O863" s="7" t="s">
        <v>1150</v>
      </c>
      <c r="P863" s="7" t="s">
        <v>1183</v>
      </c>
      <c r="Q863" s="7" t="s">
        <v>1152</v>
      </c>
      <c r="R863" s="8"/>
      <c r="S863" s="12"/>
      <c r="T863" s="12"/>
    </row>
    <row r="864" customFormat="false" ht="35.05" hidden="false" customHeight="false" outlineLevel="0" collapsed="false">
      <c r="A864" s="7" t="s">
        <v>3721</v>
      </c>
      <c r="B864" s="7" t="s">
        <v>231</v>
      </c>
      <c r="C864" s="7" t="s">
        <v>3569</v>
      </c>
      <c r="D864" s="7" t="s">
        <v>3722</v>
      </c>
      <c r="E864" s="7" t="s">
        <v>3571</v>
      </c>
      <c r="F864" s="7" t="s">
        <v>1029</v>
      </c>
      <c r="G864" s="7" t="s">
        <v>3572</v>
      </c>
      <c r="H864" s="8" t="s">
        <v>3723</v>
      </c>
      <c r="I864" s="8" t="s">
        <v>234</v>
      </c>
      <c r="J864" s="7" t="s">
        <v>720</v>
      </c>
      <c r="K864" s="7" t="s">
        <v>3724</v>
      </c>
      <c r="L864" s="7" t="n">
        <v>2</v>
      </c>
      <c r="M864" s="7" t="s">
        <v>232</v>
      </c>
      <c r="N864" s="7"/>
      <c r="O864" s="7" t="s">
        <v>1150</v>
      </c>
      <c r="P864" s="7" t="s">
        <v>1183</v>
      </c>
      <c r="Q864" s="7" t="s">
        <v>1152</v>
      </c>
      <c r="R864" s="8"/>
      <c r="S864" s="12"/>
      <c r="T864" s="12"/>
    </row>
    <row r="865" customFormat="false" ht="35.05" hidden="false" customHeight="false" outlineLevel="0" collapsed="false">
      <c r="A865" s="7" t="s">
        <v>3725</v>
      </c>
      <c r="B865" s="7" t="s">
        <v>231</v>
      </c>
      <c r="C865" s="7" t="s">
        <v>3569</v>
      </c>
      <c r="D865" s="7" t="s">
        <v>3726</v>
      </c>
      <c r="E865" s="7" t="s">
        <v>3571</v>
      </c>
      <c r="F865" s="7" t="s">
        <v>1029</v>
      </c>
      <c r="G865" s="7" t="s">
        <v>3572</v>
      </c>
      <c r="H865" s="8" t="s">
        <v>3701</v>
      </c>
      <c r="I865" s="8" t="s">
        <v>234</v>
      </c>
      <c r="J865" s="7" t="s">
        <v>720</v>
      </c>
      <c r="K865" s="7" t="s">
        <v>3727</v>
      </c>
      <c r="L865" s="7" t="n">
        <v>2</v>
      </c>
      <c r="M865" s="7" t="s">
        <v>232</v>
      </c>
      <c r="N865" s="7"/>
      <c r="O865" s="7" t="s">
        <v>1150</v>
      </c>
      <c r="P865" s="7" t="s">
        <v>1183</v>
      </c>
      <c r="Q865" s="7" t="s">
        <v>1152</v>
      </c>
      <c r="R865" s="8"/>
      <c r="S865" s="12"/>
      <c r="T865" s="12"/>
    </row>
    <row r="866" customFormat="false" ht="35.05" hidden="false" customHeight="false" outlineLevel="0" collapsed="false">
      <c r="A866" s="7" t="s">
        <v>3728</v>
      </c>
      <c r="B866" s="7" t="s">
        <v>231</v>
      </c>
      <c r="C866" s="7" t="s">
        <v>3569</v>
      </c>
      <c r="D866" s="7" t="s">
        <v>3729</v>
      </c>
      <c r="E866" s="7" t="s">
        <v>3571</v>
      </c>
      <c r="F866" s="7" t="s">
        <v>1029</v>
      </c>
      <c r="G866" s="7" t="s">
        <v>3572</v>
      </c>
      <c r="H866" s="8" t="s">
        <v>3730</v>
      </c>
      <c r="I866" s="8" t="s">
        <v>234</v>
      </c>
      <c r="J866" s="7" t="s">
        <v>1056</v>
      </c>
      <c r="K866" s="7" t="s">
        <v>3731</v>
      </c>
      <c r="L866" s="7" t="n">
        <v>2</v>
      </c>
      <c r="M866" s="7" t="s">
        <v>232</v>
      </c>
      <c r="N866" s="7"/>
      <c r="O866" s="7" t="s">
        <v>1150</v>
      </c>
      <c r="P866" s="7" t="s">
        <v>1151</v>
      </c>
      <c r="Q866" s="7" t="s">
        <v>1152</v>
      </c>
      <c r="R866" s="8"/>
      <c r="S866" s="12"/>
      <c r="T866" s="12"/>
    </row>
    <row r="867" customFormat="false" ht="35.05" hidden="false" customHeight="false" outlineLevel="0" collapsed="false">
      <c r="A867" s="7" t="s">
        <v>3732</v>
      </c>
      <c r="B867" s="7" t="s">
        <v>265</v>
      </c>
      <c r="C867" s="7" t="s">
        <v>3569</v>
      </c>
      <c r="D867" s="7" t="s">
        <v>3733</v>
      </c>
      <c r="E867" s="7" t="s">
        <v>3571</v>
      </c>
      <c r="F867" s="7" t="s">
        <v>1029</v>
      </c>
      <c r="G867" s="7" t="s">
        <v>3572</v>
      </c>
      <c r="H867" s="8" t="s">
        <v>3734</v>
      </c>
      <c r="I867" s="8" t="s">
        <v>268</v>
      </c>
      <c r="J867" s="7" t="s">
        <v>720</v>
      </c>
      <c r="K867" s="7" t="s">
        <v>3735</v>
      </c>
      <c r="L867" s="7" t="n">
        <v>2</v>
      </c>
      <c r="M867" s="7" t="s">
        <v>266</v>
      </c>
      <c r="N867" s="7"/>
      <c r="O867" s="7" t="s">
        <v>1150</v>
      </c>
      <c r="P867" s="7" t="s">
        <v>1183</v>
      </c>
      <c r="Q867" s="7" t="s">
        <v>1152</v>
      </c>
      <c r="R867" s="8"/>
      <c r="S867" s="12"/>
      <c r="T867" s="12"/>
    </row>
    <row r="868" customFormat="false" ht="35.05" hidden="false" customHeight="false" outlineLevel="0" collapsed="false">
      <c r="A868" s="7" t="s">
        <v>3736</v>
      </c>
      <c r="B868" s="7" t="s">
        <v>265</v>
      </c>
      <c r="C868" s="7" t="s">
        <v>3569</v>
      </c>
      <c r="D868" s="7" t="s">
        <v>3737</v>
      </c>
      <c r="E868" s="7" t="s">
        <v>3571</v>
      </c>
      <c r="F868" s="7" t="s">
        <v>1029</v>
      </c>
      <c r="G868" s="7" t="s">
        <v>3572</v>
      </c>
      <c r="H868" s="8" t="s">
        <v>3738</v>
      </c>
      <c r="I868" s="8" t="s">
        <v>268</v>
      </c>
      <c r="J868" s="7" t="s">
        <v>1056</v>
      </c>
      <c r="K868" s="7" t="s">
        <v>3739</v>
      </c>
      <c r="L868" s="7" t="n">
        <v>2</v>
      </c>
      <c r="M868" s="7" t="s">
        <v>266</v>
      </c>
      <c r="N868" s="7"/>
      <c r="O868" s="7" t="s">
        <v>1150</v>
      </c>
      <c r="P868" s="7" t="s">
        <v>1151</v>
      </c>
      <c r="Q868" s="7" t="s">
        <v>1152</v>
      </c>
      <c r="R868" s="8"/>
      <c r="S868" s="12"/>
      <c r="T868" s="12"/>
    </row>
    <row r="869" customFormat="false" ht="46.25" hidden="false" customHeight="false" outlineLevel="0" collapsed="false">
      <c r="A869" s="7" t="s">
        <v>3740</v>
      </c>
      <c r="B869" s="7" t="s">
        <v>265</v>
      </c>
      <c r="C869" s="7" t="s">
        <v>3569</v>
      </c>
      <c r="D869" s="7" t="s">
        <v>3741</v>
      </c>
      <c r="E869" s="7" t="s">
        <v>3571</v>
      </c>
      <c r="F869" s="7" t="s">
        <v>1029</v>
      </c>
      <c r="G869" s="7" t="s">
        <v>3572</v>
      </c>
      <c r="H869" s="8" t="s">
        <v>3742</v>
      </c>
      <c r="I869" s="8" t="s">
        <v>268</v>
      </c>
      <c r="J869" s="7" t="s">
        <v>720</v>
      </c>
      <c r="K869" s="7" t="s">
        <v>3743</v>
      </c>
      <c r="L869" s="7" t="n">
        <v>2</v>
      </c>
      <c r="M869" s="7" t="s">
        <v>266</v>
      </c>
      <c r="N869" s="7"/>
      <c r="O869" s="7" t="s">
        <v>1150</v>
      </c>
      <c r="P869" s="7" t="s">
        <v>1183</v>
      </c>
      <c r="Q869" s="7" t="s">
        <v>1152</v>
      </c>
      <c r="R869" s="8"/>
      <c r="S869" s="12"/>
      <c r="T869" s="12"/>
    </row>
    <row r="870" customFormat="false" ht="35.05" hidden="false" customHeight="false" outlineLevel="0" collapsed="false">
      <c r="A870" s="7" t="s">
        <v>3744</v>
      </c>
      <c r="B870" s="7" t="s">
        <v>265</v>
      </c>
      <c r="C870" s="7" t="s">
        <v>3569</v>
      </c>
      <c r="D870" s="7" t="s">
        <v>3745</v>
      </c>
      <c r="E870" s="7" t="s">
        <v>3571</v>
      </c>
      <c r="F870" s="7" t="s">
        <v>1029</v>
      </c>
      <c r="G870" s="7" t="s">
        <v>3572</v>
      </c>
      <c r="H870" s="8" t="s">
        <v>3734</v>
      </c>
      <c r="I870" s="8" t="s">
        <v>268</v>
      </c>
      <c r="J870" s="7" t="s">
        <v>720</v>
      </c>
      <c r="K870" s="7" t="s">
        <v>3746</v>
      </c>
      <c r="L870" s="7" t="n">
        <v>2</v>
      </c>
      <c r="M870" s="7" t="s">
        <v>266</v>
      </c>
      <c r="N870" s="7"/>
      <c r="O870" s="7" t="s">
        <v>1150</v>
      </c>
      <c r="P870" s="7" t="s">
        <v>1183</v>
      </c>
      <c r="Q870" s="7" t="s">
        <v>1152</v>
      </c>
      <c r="R870" s="8"/>
      <c r="S870" s="12"/>
      <c r="T870" s="12"/>
    </row>
    <row r="871" customFormat="false" ht="35.05" hidden="false" customHeight="false" outlineLevel="0" collapsed="false">
      <c r="A871" s="7" t="s">
        <v>3747</v>
      </c>
      <c r="B871" s="7" t="s">
        <v>265</v>
      </c>
      <c r="C871" s="7" t="s">
        <v>3569</v>
      </c>
      <c r="D871" s="7" t="s">
        <v>3748</v>
      </c>
      <c r="E871" s="7" t="s">
        <v>3571</v>
      </c>
      <c r="F871" s="7" t="s">
        <v>1029</v>
      </c>
      <c r="G871" s="7" t="s">
        <v>3572</v>
      </c>
      <c r="H871" s="8" t="s">
        <v>3738</v>
      </c>
      <c r="I871" s="8" t="s">
        <v>268</v>
      </c>
      <c r="J871" s="7" t="s">
        <v>1056</v>
      </c>
      <c r="K871" s="7" t="s">
        <v>3749</v>
      </c>
      <c r="L871" s="7" t="n">
        <v>2</v>
      </c>
      <c r="M871" s="7" t="s">
        <v>266</v>
      </c>
      <c r="N871" s="7"/>
      <c r="O871" s="7" t="s">
        <v>1150</v>
      </c>
      <c r="P871" s="7" t="s">
        <v>1151</v>
      </c>
      <c r="Q871" s="7" t="s">
        <v>1152</v>
      </c>
      <c r="R871" s="8"/>
      <c r="S871" s="12"/>
      <c r="T871" s="12"/>
    </row>
    <row r="872" customFormat="false" ht="35.05" hidden="false" customHeight="false" outlineLevel="0" collapsed="false">
      <c r="A872" s="7" t="s">
        <v>3750</v>
      </c>
      <c r="B872" s="7" t="s">
        <v>265</v>
      </c>
      <c r="C872" s="7" t="s">
        <v>3569</v>
      </c>
      <c r="D872" s="7" t="s">
        <v>3751</v>
      </c>
      <c r="E872" s="7" t="s">
        <v>3571</v>
      </c>
      <c r="F872" s="7" t="s">
        <v>1029</v>
      </c>
      <c r="G872" s="7" t="s">
        <v>3572</v>
      </c>
      <c r="H872" s="8" t="s">
        <v>3734</v>
      </c>
      <c r="I872" s="8" t="s">
        <v>268</v>
      </c>
      <c r="J872" s="7" t="s">
        <v>720</v>
      </c>
      <c r="K872" s="7" t="s">
        <v>3752</v>
      </c>
      <c r="L872" s="7" t="n">
        <v>2</v>
      </c>
      <c r="M872" s="7" t="s">
        <v>266</v>
      </c>
      <c r="N872" s="7"/>
      <c r="O872" s="7" t="s">
        <v>1150</v>
      </c>
      <c r="P872" s="7" t="s">
        <v>1183</v>
      </c>
      <c r="Q872" s="7" t="s">
        <v>1152</v>
      </c>
      <c r="R872" s="8"/>
      <c r="S872" s="12"/>
      <c r="T872" s="12"/>
    </row>
    <row r="873" customFormat="false" ht="35.05" hidden="false" customHeight="false" outlineLevel="0" collapsed="false">
      <c r="A873" s="7" t="s">
        <v>3753</v>
      </c>
      <c r="B873" s="7" t="s">
        <v>265</v>
      </c>
      <c r="C873" s="7" t="s">
        <v>3569</v>
      </c>
      <c r="D873" s="7" t="s">
        <v>3754</v>
      </c>
      <c r="E873" s="7" t="s">
        <v>3571</v>
      </c>
      <c r="F873" s="7" t="s">
        <v>1029</v>
      </c>
      <c r="G873" s="7" t="s">
        <v>3572</v>
      </c>
      <c r="H873" s="8" t="s">
        <v>3734</v>
      </c>
      <c r="I873" s="8" t="s">
        <v>268</v>
      </c>
      <c r="J873" s="7" t="s">
        <v>720</v>
      </c>
      <c r="K873" s="7" t="s">
        <v>3755</v>
      </c>
      <c r="L873" s="7" t="n">
        <v>2</v>
      </c>
      <c r="M873" s="7" t="s">
        <v>266</v>
      </c>
      <c r="N873" s="7"/>
      <c r="O873" s="7" t="s">
        <v>1150</v>
      </c>
      <c r="P873" s="7" t="s">
        <v>1183</v>
      </c>
      <c r="Q873" s="7" t="s">
        <v>1152</v>
      </c>
      <c r="R873" s="8"/>
      <c r="S873" s="12"/>
      <c r="T873" s="12"/>
    </row>
    <row r="874" customFormat="false" ht="35.05" hidden="false" customHeight="false" outlineLevel="0" collapsed="false">
      <c r="A874" s="7" t="s">
        <v>3756</v>
      </c>
      <c r="B874" s="7" t="s">
        <v>265</v>
      </c>
      <c r="C874" s="7" t="s">
        <v>3569</v>
      </c>
      <c r="D874" s="7" t="s">
        <v>3757</v>
      </c>
      <c r="E874" s="7" t="s">
        <v>3571</v>
      </c>
      <c r="F874" s="7" t="s">
        <v>1029</v>
      </c>
      <c r="G874" s="7" t="s">
        <v>3572</v>
      </c>
      <c r="H874" s="8" t="s">
        <v>3734</v>
      </c>
      <c r="I874" s="8" t="s">
        <v>268</v>
      </c>
      <c r="J874" s="7" t="s">
        <v>720</v>
      </c>
      <c r="K874" s="7" t="s">
        <v>3758</v>
      </c>
      <c r="L874" s="7" t="n">
        <v>2</v>
      </c>
      <c r="M874" s="7" t="s">
        <v>266</v>
      </c>
      <c r="N874" s="7"/>
      <c r="O874" s="7" t="s">
        <v>1150</v>
      </c>
      <c r="P874" s="7" t="s">
        <v>1183</v>
      </c>
      <c r="Q874" s="7" t="s">
        <v>1152</v>
      </c>
      <c r="R874" s="8"/>
      <c r="S874" s="12"/>
      <c r="T874" s="12"/>
    </row>
    <row r="875" customFormat="false" ht="35.05" hidden="false" customHeight="false" outlineLevel="0" collapsed="false">
      <c r="A875" s="7" t="s">
        <v>3759</v>
      </c>
      <c r="B875" s="7" t="s">
        <v>291</v>
      </c>
      <c r="C875" s="7" t="s">
        <v>3569</v>
      </c>
      <c r="D875" s="7" t="s">
        <v>3760</v>
      </c>
      <c r="E875" s="7" t="s">
        <v>3571</v>
      </c>
      <c r="F875" s="7" t="s">
        <v>1029</v>
      </c>
      <c r="G875" s="7" t="s">
        <v>3572</v>
      </c>
      <c r="H875" s="8" t="s">
        <v>3761</v>
      </c>
      <c r="I875" s="8" t="s">
        <v>294</v>
      </c>
      <c r="J875" s="7" t="s">
        <v>720</v>
      </c>
      <c r="K875" s="7" t="s">
        <v>3762</v>
      </c>
      <c r="L875" s="7" t="n">
        <v>2</v>
      </c>
      <c r="M875" s="7" t="s">
        <v>292</v>
      </c>
      <c r="N875" s="7"/>
      <c r="O875" s="7" t="s">
        <v>1150</v>
      </c>
      <c r="P875" s="7" t="s">
        <v>1183</v>
      </c>
      <c r="Q875" s="7" t="s">
        <v>1152</v>
      </c>
      <c r="R875" s="8"/>
      <c r="S875" s="12"/>
      <c r="T875" s="12"/>
    </row>
    <row r="876" customFormat="false" ht="35.05" hidden="false" customHeight="false" outlineLevel="0" collapsed="false">
      <c r="A876" s="7" t="s">
        <v>3763</v>
      </c>
      <c r="B876" s="7" t="s">
        <v>291</v>
      </c>
      <c r="C876" s="7" t="s">
        <v>3569</v>
      </c>
      <c r="D876" s="7" t="s">
        <v>3764</v>
      </c>
      <c r="E876" s="7" t="s">
        <v>3571</v>
      </c>
      <c r="F876" s="7" t="s">
        <v>1029</v>
      </c>
      <c r="G876" s="7" t="s">
        <v>3572</v>
      </c>
      <c r="H876" s="8" t="s">
        <v>3761</v>
      </c>
      <c r="I876" s="8" t="s">
        <v>294</v>
      </c>
      <c r="J876" s="7" t="s">
        <v>720</v>
      </c>
      <c r="K876" s="7" t="s">
        <v>3765</v>
      </c>
      <c r="L876" s="7" t="n">
        <v>2</v>
      </c>
      <c r="M876" s="7" t="s">
        <v>292</v>
      </c>
      <c r="N876" s="7"/>
      <c r="O876" s="7" t="s">
        <v>1150</v>
      </c>
      <c r="P876" s="7" t="s">
        <v>1183</v>
      </c>
      <c r="Q876" s="7" t="s">
        <v>1152</v>
      </c>
      <c r="R876" s="8"/>
      <c r="S876" s="12"/>
      <c r="T876" s="12"/>
    </row>
    <row r="877" customFormat="false" ht="35.05" hidden="false" customHeight="false" outlineLevel="0" collapsed="false">
      <c r="A877" s="7" t="s">
        <v>3766</v>
      </c>
      <c r="B877" s="7" t="s">
        <v>291</v>
      </c>
      <c r="C877" s="7" t="s">
        <v>3569</v>
      </c>
      <c r="D877" s="7" t="s">
        <v>3767</v>
      </c>
      <c r="E877" s="7" t="s">
        <v>3571</v>
      </c>
      <c r="F877" s="7" t="s">
        <v>1029</v>
      </c>
      <c r="G877" s="7" t="s">
        <v>3572</v>
      </c>
      <c r="H877" s="8" t="s">
        <v>3761</v>
      </c>
      <c r="I877" s="8" t="s">
        <v>294</v>
      </c>
      <c r="J877" s="7" t="s">
        <v>720</v>
      </c>
      <c r="K877" s="7" t="s">
        <v>3768</v>
      </c>
      <c r="L877" s="7" t="n">
        <v>2</v>
      </c>
      <c r="M877" s="7" t="s">
        <v>292</v>
      </c>
      <c r="N877" s="7"/>
      <c r="O877" s="7" t="s">
        <v>1150</v>
      </c>
      <c r="P877" s="7" t="s">
        <v>1183</v>
      </c>
      <c r="Q877" s="7" t="s">
        <v>1152</v>
      </c>
      <c r="R877" s="8"/>
      <c r="S877" s="12"/>
      <c r="T877" s="12"/>
    </row>
    <row r="878" customFormat="false" ht="35.05" hidden="false" customHeight="false" outlineLevel="0" collapsed="false">
      <c r="A878" s="7" t="s">
        <v>3769</v>
      </c>
      <c r="B878" s="7" t="s">
        <v>291</v>
      </c>
      <c r="C878" s="7" t="s">
        <v>3569</v>
      </c>
      <c r="D878" s="7" t="s">
        <v>3770</v>
      </c>
      <c r="E878" s="7" t="s">
        <v>3571</v>
      </c>
      <c r="F878" s="7" t="s">
        <v>1029</v>
      </c>
      <c r="G878" s="7" t="s">
        <v>3572</v>
      </c>
      <c r="H878" s="8" t="s">
        <v>3761</v>
      </c>
      <c r="I878" s="8" t="s">
        <v>294</v>
      </c>
      <c r="J878" s="7" t="s">
        <v>720</v>
      </c>
      <c r="K878" s="7" t="s">
        <v>3771</v>
      </c>
      <c r="L878" s="7" t="n">
        <v>2</v>
      </c>
      <c r="M878" s="7" t="s">
        <v>292</v>
      </c>
      <c r="N878" s="7"/>
      <c r="O878" s="7" t="s">
        <v>1150</v>
      </c>
      <c r="P878" s="7" t="s">
        <v>1151</v>
      </c>
      <c r="Q878" s="7" t="s">
        <v>1152</v>
      </c>
      <c r="R878" s="8"/>
      <c r="S878" s="12"/>
      <c r="T878" s="12"/>
    </row>
    <row r="879" customFormat="false" ht="46.25" hidden="false" customHeight="false" outlineLevel="0" collapsed="false">
      <c r="A879" s="7" t="s">
        <v>3772</v>
      </c>
      <c r="B879" s="7" t="s">
        <v>291</v>
      </c>
      <c r="C879" s="7" t="s">
        <v>3569</v>
      </c>
      <c r="D879" s="7" t="s">
        <v>3773</v>
      </c>
      <c r="E879" s="7" t="s">
        <v>3571</v>
      </c>
      <c r="F879" s="7" t="s">
        <v>1029</v>
      </c>
      <c r="G879" s="7" t="s">
        <v>3572</v>
      </c>
      <c r="H879" s="8" t="s">
        <v>3774</v>
      </c>
      <c r="I879" s="8" t="s">
        <v>294</v>
      </c>
      <c r="J879" s="7" t="s">
        <v>720</v>
      </c>
      <c r="K879" s="7" t="s">
        <v>3775</v>
      </c>
      <c r="L879" s="7" t="n">
        <v>2</v>
      </c>
      <c r="M879" s="7" t="s">
        <v>292</v>
      </c>
      <c r="N879" s="7"/>
      <c r="O879" s="7" t="s">
        <v>1150</v>
      </c>
      <c r="P879" s="7" t="s">
        <v>1183</v>
      </c>
      <c r="Q879" s="7" t="s">
        <v>1152</v>
      </c>
      <c r="R879" s="8"/>
      <c r="S879" s="12"/>
      <c r="T879" s="12"/>
    </row>
    <row r="880" customFormat="false" ht="46.25" hidden="false" customHeight="false" outlineLevel="0" collapsed="false">
      <c r="A880" s="7" t="s">
        <v>3776</v>
      </c>
      <c r="B880" s="7" t="s">
        <v>309</v>
      </c>
      <c r="C880" s="7" t="s">
        <v>3569</v>
      </c>
      <c r="D880" s="7" t="s">
        <v>3777</v>
      </c>
      <c r="E880" s="7" t="s">
        <v>3571</v>
      </c>
      <c r="F880" s="7" t="s">
        <v>1029</v>
      </c>
      <c r="G880" s="7" t="s">
        <v>3572</v>
      </c>
      <c r="H880" s="8" t="s">
        <v>3778</v>
      </c>
      <c r="I880" s="8" t="s">
        <v>312</v>
      </c>
      <c r="J880" s="7" t="s">
        <v>720</v>
      </c>
      <c r="K880" s="7" t="s">
        <v>3779</v>
      </c>
      <c r="L880" s="7" t="n">
        <v>2</v>
      </c>
      <c r="M880" s="7" t="s">
        <v>310</v>
      </c>
      <c r="N880" s="7"/>
      <c r="O880" s="7" t="s">
        <v>1150</v>
      </c>
      <c r="P880" s="7" t="s">
        <v>1151</v>
      </c>
      <c r="Q880" s="7" t="s">
        <v>1152</v>
      </c>
      <c r="R880" s="8"/>
      <c r="S880" s="12"/>
      <c r="T880" s="12"/>
    </row>
    <row r="881" customFormat="false" ht="46.25" hidden="false" customHeight="false" outlineLevel="0" collapsed="false">
      <c r="A881" s="7" t="s">
        <v>3780</v>
      </c>
      <c r="B881" s="7" t="s">
        <v>309</v>
      </c>
      <c r="C881" s="7" t="s">
        <v>3569</v>
      </c>
      <c r="D881" s="7" t="s">
        <v>3781</v>
      </c>
      <c r="E881" s="7" t="s">
        <v>3571</v>
      </c>
      <c r="F881" s="7" t="s">
        <v>1029</v>
      </c>
      <c r="G881" s="7" t="s">
        <v>3572</v>
      </c>
      <c r="H881" s="8" t="s">
        <v>3778</v>
      </c>
      <c r="I881" s="8" t="s">
        <v>312</v>
      </c>
      <c r="J881" s="7" t="s">
        <v>720</v>
      </c>
      <c r="K881" s="7" t="s">
        <v>3782</v>
      </c>
      <c r="L881" s="7" t="n">
        <v>2</v>
      </c>
      <c r="M881" s="7" t="s">
        <v>310</v>
      </c>
      <c r="N881" s="7"/>
      <c r="O881" s="7" t="s">
        <v>1150</v>
      </c>
      <c r="P881" s="7" t="s">
        <v>1183</v>
      </c>
      <c r="Q881" s="7" t="s">
        <v>1152</v>
      </c>
      <c r="R881" s="8"/>
      <c r="S881" s="12"/>
      <c r="T881" s="12"/>
    </row>
    <row r="882" customFormat="false" ht="46.25" hidden="false" customHeight="false" outlineLevel="0" collapsed="false">
      <c r="A882" s="7" t="s">
        <v>3783</v>
      </c>
      <c r="B882" s="7" t="s">
        <v>309</v>
      </c>
      <c r="C882" s="7" t="s">
        <v>3569</v>
      </c>
      <c r="D882" s="7" t="s">
        <v>3784</v>
      </c>
      <c r="E882" s="7" t="s">
        <v>3571</v>
      </c>
      <c r="F882" s="7" t="s">
        <v>1029</v>
      </c>
      <c r="G882" s="7" t="s">
        <v>3572</v>
      </c>
      <c r="H882" s="8" t="s">
        <v>3778</v>
      </c>
      <c r="I882" s="8" t="s">
        <v>312</v>
      </c>
      <c r="J882" s="7" t="s">
        <v>720</v>
      </c>
      <c r="K882" s="7" t="s">
        <v>3785</v>
      </c>
      <c r="L882" s="7" t="n">
        <v>2</v>
      </c>
      <c r="M882" s="7" t="s">
        <v>310</v>
      </c>
      <c r="N882" s="7"/>
      <c r="O882" s="7" t="s">
        <v>1150</v>
      </c>
      <c r="P882" s="7" t="s">
        <v>1183</v>
      </c>
      <c r="Q882" s="7" t="s">
        <v>1152</v>
      </c>
      <c r="R882" s="8"/>
      <c r="S882" s="12"/>
      <c r="T882" s="12"/>
    </row>
    <row r="883" customFormat="false" ht="46.25" hidden="false" customHeight="false" outlineLevel="0" collapsed="false">
      <c r="A883" s="7" t="s">
        <v>3786</v>
      </c>
      <c r="B883" s="7" t="s">
        <v>309</v>
      </c>
      <c r="C883" s="7" t="s">
        <v>3569</v>
      </c>
      <c r="D883" s="7" t="s">
        <v>3787</v>
      </c>
      <c r="E883" s="7" t="s">
        <v>3571</v>
      </c>
      <c r="F883" s="7" t="s">
        <v>1029</v>
      </c>
      <c r="G883" s="7" t="s">
        <v>3572</v>
      </c>
      <c r="H883" s="8" t="s">
        <v>3788</v>
      </c>
      <c r="I883" s="8" t="s">
        <v>312</v>
      </c>
      <c r="J883" s="7" t="s">
        <v>1056</v>
      </c>
      <c r="K883" s="7" t="s">
        <v>3789</v>
      </c>
      <c r="L883" s="7" t="n">
        <v>2</v>
      </c>
      <c r="M883" s="7" t="s">
        <v>310</v>
      </c>
      <c r="N883" s="7"/>
      <c r="O883" s="7" t="s">
        <v>1150</v>
      </c>
      <c r="P883" s="7" t="s">
        <v>1151</v>
      </c>
      <c r="Q883" s="7" t="s">
        <v>1152</v>
      </c>
      <c r="R883" s="8"/>
      <c r="S883" s="12"/>
      <c r="T883" s="12"/>
    </row>
    <row r="884" customFormat="false" ht="46.25" hidden="false" customHeight="false" outlineLevel="0" collapsed="false">
      <c r="A884" s="7" t="s">
        <v>3790</v>
      </c>
      <c r="B884" s="7" t="s">
        <v>309</v>
      </c>
      <c r="C884" s="7" t="s">
        <v>3569</v>
      </c>
      <c r="D884" s="7" t="s">
        <v>3791</v>
      </c>
      <c r="E884" s="7" t="s">
        <v>3571</v>
      </c>
      <c r="F884" s="7" t="s">
        <v>1029</v>
      </c>
      <c r="G884" s="7" t="s">
        <v>3572</v>
      </c>
      <c r="H884" s="8" t="s">
        <v>3778</v>
      </c>
      <c r="I884" s="8" t="s">
        <v>312</v>
      </c>
      <c r="J884" s="7" t="s">
        <v>720</v>
      </c>
      <c r="K884" s="7" t="s">
        <v>3792</v>
      </c>
      <c r="L884" s="7" t="n">
        <v>2</v>
      </c>
      <c r="M884" s="7" t="s">
        <v>310</v>
      </c>
      <c r="N884" s="7"/>
      <c r="O884" s="7" t="s">
        <v>1150</v>
      </c>
      <c r="P884" s="7" t="s">
        <v>1183</v>
      </c>
      <c r="Q884" s="7" t="s">
        <v>1152</v>
      </c>
      <c r="R884" s="8"/>
      <c r="S884" s="12"/>
      <c r="T884" s="12"/>
    </row>
    <row r="885" customFormat="false" ht="46.25" hidden="false" customHeight="false" outlineLevel="0" collapsed="false">
      <c r="A885" s="7" t="s">
        <v>3793</v>
      </c>
      <c r="B885" s="7" t="s">
        <v>309</v>
      </c>
      <c r="C885" s="7" t="s">
        <v>3569</v>
      </c>
      <c r="D885" s="7" t="s">
        <v>3794</v>
      </c>
      <c r="E885" s="7" t="s">
        <v>3571</v>
      </c>
      <c r="F885" s="7" t="s">
        <v>1029</v>
      </c>
      <c r="G885" s="7" t="s">
        <v>3572</v>
      </c>
      <c r="H885" s="8" t="s">
        <v>3778</v>
      </c>
      <c r="I885" s="8" t="s">
        <v>312</v>
      </c>
      <c r="J885" s="7" t="s">
        <v>720</v>
      </c>
      <c r="K885" s="7" t="s">
        <v>3795</v>
      </c>
      <c r="L885" s="7" t="n">
        <v>2</v>
      </c>
      <c r="M885" s="7" t="s">
        <v>310</v>
      </c>
      <c r="N885" s="7"/>
      <c r="O885" s="7" t="s">
        <v>1150</v>
      </c>
      <c r="P885" s="7" t="s">
        <v>1183</v>
      </c>
      <c r="Q885" s="7" t="s">
        <v>1152</v>
      </c>
      <c r="R885" s="8"/>
      <c r="S885" s="12"/>
      <c r="T885" s="12"/>
    </row>
    <row r="886" customFormat="false" ht="46.25" hidden="false" customHeight="false" outlineLevel="0" collapsed="false">
      <c r="A886" s="7" t="s">
        <v>3796</v>
      </c>
      <c r="B886" s="7" t="s">
        <v>309</v>
      </c>
      <c r="C886" s="7" t="s">
        <v>3569</v>
      </c>
      <c r="D886" s="7" t="s">
        <v>3797</v>
      </c>
      <c r="E886" s="7" t="s">
        <v>3571</v>
      </c>
      <c r="F886" s="7" t="s">
        <v>1029</v>
      </c>
      <c r="G886" s="7" t="s">
        <v>3572</v>
      </c>
      <c r="H886" s="8" t="s">
        <v>3778</v>
      </c>
      <c r="I886" s="8" t="s">
        <v>312</v>
      </c>
      <c r="J886" s="7" t="s">
        <v>720</v>
      </c>
      <c r="K886" s="7" t="s">
        <v>3798</v>
      </c>
      <c r="L886" s="7" t="n">
        <v>2</v>
      </c>
      <c r="M886" s="7" t="s">
        <v>310</v>
      </c>
      <c r="N886" s="7"/>
      <c r="O886" s="7" t="s">
        <v>1150</v>
      </c>
      <c r="P886" s="7" t="s">
        <v>1183</v>
      </c>
      <c r="Q886" s="7" t="s">
        <v>1152</v>
      </c>
      <c r="R886" s="8"/>
      <c r="S886" s="12"/>
      <c r="T886" s="12"/>
    </row>
    <row r="887" customFormat="false" ht="46.25" hidden="false" customHeight="false" outlineLevel="0" collapsed="false">
      <c r="A887" s="7" t="s">
        <v>3799</v>
      </c>
      <c r="B887" s="7" t="s">
        <v>309</v>
      </c>
      <c r="C887" s="7" t="s">
        <v>3569</v>
      </c>
      <c r="D887" s="7" t="s">
        <v>3800</v>
      </c>
      <c r="E887" s="7" t="s">
        <v>3571</v>
      </c>
      <c r="F887" s="7" t="s">
        <v>1029</v>
      </c>
      <c r="G887" s="7" t="s">
        <v>3572</v>
      </c>
      <c r="H887" s="8" t="s">
        <v>3778</v>
      </c>
      <c r="I887" s="8" t="s">
        <v>312</v>
      </c>
      <c r="J887" s="7" t="s">
        <v>720</v>
      </c>
      <c r="K887" s="7" t="s">
        <v>3801</v>
      </c>
      <c r="L887" s="7" t="n">
        <v>2</v>
      </c>
      <c r="M887" s="7" t="s">
        <v>310</v>
      </c>
      <c r="N887" s="7"/>
      <c r="O887" s="7" t="s">
        <v>1150</v>
      </c>
      <c r="P887" s="7" t="s">
        <v>1183</v>
      </c>
      <c r="Q887" s="7" t="s">
        <v>1152</v>
      </c>
      <c r="R887" s="8"/>
      <c r="S887" s="12"/>
      <c r="T887" s="12"/>
    </row>
    <row r="888" customFormat="false" ht="46.25" hidden="false" customHeight="false" outlineLevel="0" collapsed="false">
      <c r="A888" s="7" t="s">
        <v>3802</v>
      </c>
      <c r="B888" s="7" t="s">
        <v>309</v>
      </c>
      <c r="C888" s="7" t="s">
        <v>3569</v>
      </c>
      <c r="D888" s="7" t="s">
        <v>3803</v>
      </c>
      <c r="E888" s="7" t="s">
        <v>3571</v>
      </c>
      <c r="F888" s="7" t="s">
        <v>1029</v>
      </c>
      <c r="G888" s="7" t="s">
        <v>3572</v>
      </c>
      <c r="H888" s="8" t="s">
        <v>3804</v>
      </c>
      <c r="I888" s="8" t="s">
        <v>312</v>
      </c>
      <c r="J888" s="7" t="s">
        <v>1056</v>
      </c>
      <c r="K888" s="7" t="s">
        <v>3805</v>
      </c>
      <c r="L888" s="7" t="n">
        <v>2</v>
      </c>
      <c r="M888" s="7" t="s">
        <v>310</v>
      </c>
      <c r="N888" s="7"/>
      <c r="O888" s="7" t="s">
        <v>1150</v>
      </c>
      <c r="P888" s="7" t="s">
        <v>1151</v>
      </c>
      <c r="Q888" s="7" t="s">
        <v>1152</v>
      </c>
      <c r="R888" s="8"/>
      <c r="S888" s="12"/>
      <c r="T888" s="12"/>
    </row>
    <row r="889" customFormat="false" ht="46.25" hidden="false" customHeight="false" outlineLevel="0" collapsed="false">
      <c r="A889" s="7" t="s">
        <v>3806</v>
      </c>
      <c r="B889" s="7" t="s">
        <v>309</v>
      </c>
      <c r="C889" s="7" t="s">
        <v>3569</v>
      </c>
      <c r="D889" s="7" t="s">
        <v>3807</v>
      </c>
      <c r="E889" s="7" t="s">
        <v>3571</v>
      </c>
      <c r="F889" s="7" t="s">
        <v>1029</v>
      </c>
      <c r="G889" s="7" t="s">
        <v>3572</v>
      </c>
      <c r="H889" s="8" t="s">
        <v>3804</v>
      </c>
      <c r="I889" s="8" t="s">
        <v>312</v>
      </c>
      <c r="J889" s="7" t="s">
        <v>1056</v>
      </c>
      <c r="K889" s="7" t="s">
        <v>3808</v>
      </c>
      <c r="L889" s="7" t="n">
        <v>2</v>
      </c>
      <c r="M889" s="7" t="s">
        <v>310</v>
      </c>
      <c r="N889" s="7"/>
      <c r="O889" s="7" t="s">
        <v>1150</v>
      </c>
      <c r="P889" s="7" t="s">
        <v>1151</v>
      </c>
      <c r="Q889" s="7" t="s">
        <v>1152</v>
      </c>
      <c r="R889" s="8"/>
      <c r="S889" s="12"/>
      <c r="T889" s="12"/>
    </row>
    <row r="890" customFormat="false" ht="35.05" hidden="false" customHeight="false" outlineLevel="0" collapsed="false">
      <c r="A890" s="7" t="s">
        <v>3809</v>
      </c>
      <c r="B890" s="7" t="s">
        <v>345</v>
      </c>
      <c r="C890" s="7" t="s">
        <v>3569</v>
      </c>
      <c r="D890" s="7" t="s">
        <v>3810</v>
      </c>
      <c r="E890" s="7" t="s">
        <v>3571</v>
      </c>
      <c r="F890" s="7" t="s">
        <v>1029</v>
      </c>
      <c r="G890" s="7" t="s">
        <v>3572</v>
      </c>
      <c r="H890" s="8" t="s">
        <v>3811</v>
      </c>
      <c r="I890" s="8" t="s">
        <v>164</v>
      </c>
      <c r="J890" s="7" t="s">
        <v>1056</v>
      </c>
      <c r="K890" s="7" t="s">
        <v>3812</v>
      </c>
      <c r="L890" s="7" t="n">
        <v>2</v>
      </c>
      <c r="M890" s="7" t="s">
        <v>346</v>
      </c>
      <c r="N890" s="7"/>
      <c r="O890" s="7" t="s">
        <v>1150</v>
      </c>
      <c r="P890" s="7" t="s">
        <v>1151</v>
      </c>
      <c r="Q890" s="7" t="s">
        <v>1152</v>
      </c>
      <c r="R890" s="8"/>
      <c r="S890" s="12"/>
      <c r="T890" s="12"/>
    </row>
    <row r="891" customFormat="false" ht="35.05" hidden="false" customHeight="false" outlineLevel="0" collapsed="false">
      <c r="A891" s="7" t="s">
        <v>3813</v>
      </c>
      <c r="B891" s="7" t="s">
        <v>345</v>
      </c>
      <c r="C891" s="7" t="s">
        <v>3569</v>
      </c>
      <c r="D891" s="7" t="s">
        <v>3814</v>
      </c>
      <c r="E891" s="7" t="s">
        <v>3571</v>
      </c>
      <c r="F891" s="7" t="s">
        <v>1029</v>
      </c>
      <c r="G891" s="7" t="s">
        <v>3572</v>
      </c>
      <c r="H891" s="8" t="s">
        <v>3815</v>
      </c>
      <c r="I891" s="8" t="s">
        <v>164</v>
      </c>
      <c r="J891" s="7" t="s">
        <v>720</v>
      </c>
      <c r="K891" s="7" t="s">
        <v>3816</v>
      </c>
      <c r="L891" s="7" t="n">
        <v>2</v>
      </c>
      <c r="M891" s="7" t="s">
        <v>346</v>
      </c>
      <c r="N891" s="7"/>
      <c r="O891" s="7" t="s">
        <v>1150</v>
      </c>
      <c r="P891" s="7" t="s">
        <v>1183</v>
      </c>
      <c r="Q891" s="7" t="s">
        <v>1152</v>
      </c>
      <c r="R891" s="8"/>
      <c r="S891" s="12"/>
      <c r="T891" s="12"/>
    </row>
    <row r="892" customFormat="false" ht="35.05" hidden="false" customHeight="false" outlineLevel="0" collapsed="false">
      <c r="A892" s="7" t="s">
        <v>3817</v>
      </c>
      <c r="B892" s="7" t="s">
        <v>345</v>
      </c>
      <c r="C892" s="7" t="s">
        <v>3569</v>
      </c>
      <c r="D892" s="7" t="s">
        <v>3818</v>
      </c>
      <c r="E892" s="7" t="s">
        <v>3571</v>
      </c>
      <c r="F892" s="7" t="s">
        <v>1029</v>
      </c>
      <c r="G892" s="7" t="s">
        <v>3572</v>
      </c>
      <c r="H892" s="8" t="s">
        <v>3815</v>
      </c>
      <c r="I892" s="8" t="s">
        <v>164</v>
      </c>
      <c r="J892" s="7" t="s">
        <v>720</v>
      </c>
      <c r="K892" s="7" t="s">
        <v>3819</v>
      </c>
      <c r="L892" s="7" t="n">
        <v>2</v>
      </c>
      <c r="M892" s="7" t="s">
        <v>346</v>
      </c>
      <c r="N892" s="7"/>
      <c r="O892" s="7" t="s">
        <v>1150</v>
      </c>
      <c r="P892" s="7" t="s">
        <v>1183</v>
      </c>
      <c r="Q892" s="7" t="s">
        <v>1152</v>
      </c>
      <c r="R892" s="8"/>
      <c r="S892" s="12"/>
      <c r="T892" s="12"/>
    </row>
    <row r="893" customFormat="false" ht="35.05" hidden="false" customHeight="false" outlineLevel="0" collapsed="false">
      <c r="A893" s="7" t="s">
        <v>3820</v>
      </c>
      <c r="B893" s="7" t="s">
        <v>345</v>
      </c>
      <c r="C893" s="7" t="s">
        <v>3569</v>
      </c>
      <c r="D893" s="7" t="s">
        <v>3821</v>
      </c>
      <c r="E893" s="7" t="s">
        <v>3571</v>
      </c>
      <c r="F893" s="7" t="s">
        <v>1029</v>
      </c>
      <c r="G893" s="7" t="s">
        <v>3572</v>
      </c>
      <c r="H893" s="8" t="s">
        <v>3822</v>
      </c>
      <c r="I893" s="8" t="s">
        <v>164</v>
      </c>
      <c r="J893" s="7" t="s">
        <v>720</v>
      </c>
      <c r="K893" s="7" t="s">
        <v>3823</v>
      </c>
      <c r="L893" s="7" t="n">
        <v>2</v>
      </c>
      <c r="M893" s="7" t="s">
        <v>346</v>
      </c>
      <c r="N893" s="7"/>
      <c r="O893" s="7" t="s">
        <v>1150</v>
      </c>
      <c r="P893" s="7" t="s">
        <v>1183</v>
      </c>
      <c r="Q893" s="7" t="s">
        <v>1152</v>
      </c>
      <c r="R893" s="8"/>
      <c r="S893" s="12"/>
      <c r="T893" s="12"/>
    </row>
    <row r="894" customFormat="false" ht="35.05" hidden="false" customHeight="false" outlineLevel="0" collapsed="false">
      <c r="A894" s="7" t="s">
        <v>3824</v>
      </c>
      <c r="B894" s="7" t="s">
        <v>345</v>
      </c>
      <c r="C894" s="7" t="s">
        <v>3569</v>
      </c>
      <c r="D894" s="7" t="s">
        <v>3825</v>
      </c>
      <c r="E894" s="7" t="s">
        <v>3571</v>
      </c>
      <c r="F894" s="7" t="s">
        <v>1029</v>
      </c>
      <c r="G894" s="7" t="s">
        <v>3572</v>
      </c>
      <c r="H894" s="8" t="s">
        <v>3811</v>
      </c>
      <c r="I894" s="8" t="s">
        <v>164</v>
      </c>
      <c r="J894" s="7" t="s">
        <v>1056</v>
      </c>
      <c r="K894" s="7" t="s">
        <v>3826</v>
      </c>
      <c r="L894" s="7" t="n">
        <v>2</v>
      </c>
      <c r="M894" s="7" t="s">
        <v>346</v>
      </c>
      <c r="N894" s="7"/>
      <c r="O894" s="7" t="s">
        <v>1150</v>
      </c>
      <c r="P894" s="7" t="s">
        <v>1151</v>
      </c>
      <c r="Q894" s="7" t="s">
        <v>1152</v>
      </c>
      <c r="R894" s="8"/>
      <c r="S894" s="12"/>
      <c r="T894" s="12"/>
    </row>
    <row r="895" customFormat="false" ht="35.05" hidden="false" customHeight="false" outlineLevel="0" collapsed="false">
      <c r="A895" s="7" t="s">
        <v>3827</v>
      </c>
      <c r="B895" s="7" t="s">
        <v>345</v>
      </c>
      <c r="C895" s="7" t="s">
        <v>3569</v>
      </c>
      <c r="D895" s="7" t="s">
        <v>3828</v>
      </c>
      <c r="E895" s="7" t="s">
        <v>3571</v>
      </c>
      <c r="F895" s="7" t="s">
        <v>1029</v>
      </c>
      <c r="G895" s="7" t="s">
        <v>3572</v>
      </c>
      <c r="H895" s="8" t="s">
        <v>3822</v>
      </c>
      <c r="I895" s="8" t="s">
        <v>164</v>
      </c>
      <c r="J895" s="7" t="s">
        <v>720</v>
      </c>
      <c r="K895" s="7" t="s">
        <v>3829</v>
      </c>
      <c r="L895" s="7" t="n">
        <v>2</v>
      </c>
      <c r="M895" s="7" t="s">
        <v>346</v>
      </c>
      <c r="N895" s="7"/>
      <c r="O895" s="7" t="s">
        <v>1150</v>
      </c>
      <c r="P895" s="7" t="s">
        <v>1151</v>
      </c>
      <c r="Q895" s="7" t="s">
        <v>1152</v>
      </c>
      <c r="R895" s="8"/>
      <c r="S895" s="12"/>
      <c r="T895" s="12"/>
    </row>
    <row r="896" customFormat="false" ht="35.05" hidden="false" customHeight="false" outlineLevel="0" collapsed="false">
      <c r="A896" s="7" t="s">
        <v>3830</v>
      </c>
      <c r="B896" s="7" t="s">
        <v>345</v>
      </c>
      <c r="C896" s="7" t="s">
        <v>3569</v>
      </c>
      <c r="D896" s="7" t="s">
        <v>3831</v>
      </c>
      <c r="E896" s="7" t="s">
        <v>3571</v>
      </c>
      <c r="F896" s="7" t="s">
        <v>1029</v>
      </c>
      <c r="G896" s="7" t="s">
        <v>3572</v>
      </c>
      <c r="H896" s="8" t="s">
        <v>3822</v>
      </c>
      <c r="I896" s="8" t="s">
        <v>164</v>
      </c>
      <c r="J896" s="7" t="s">
        <v>720</v>
      </c>
      <c r="K896" s="7" t="s">
        <v>3832</v>
      </c>
      <c r="L896" s="7" t="n">
        <v>2</v>
      </c>
      <c r="M896" s="7" t="s">
        <v>346</v>
      </c>
      <c r="N896" s="7"/>
      <c r="O896" s="7" t="s">
        <v>1150</v>
      </c>
      <c r="P896" s="7" t="s">
        <v>1183</v>
      </c>
      <c r="Q896" s="7" t="s">
        <v>1152</v>
      </c>
      <c r="R896" s="8"/>
      <c r="S896" s="12"/>
      <c r="T896" s="12"/>
    </row>
    <row r="897" customFormat="false" ht="35.05" hidden="false" customHeight="false" outlineLevel="0" collapsed="false">
      <c r="A897" s="7" t="s">
        <v>3833</v>
      </c>
      <c r="B897" s="7" t="s">
        <v>345</v>
      </c>
      <c r="C897" s="7" t="s">
        <v>3569</v>
      </c>
      <c r="D897" s="7" t="s">
        <v>3834</v>
      </c>
      <c r="E897" s="7" t="s">
        <v>3571</v>
      </c>
      <c r="F897" s="7" t="s">
        <v>1029</v>
      </c>
      <c r="G897" s="7" t="s">
        <v>3572</v>
      </c>
      <c r="H897" s="8" t="s">
        <v>3815</v>
      </c>
      <c r="I897" s="8" t="s">
        <v>164</v>
      </c>
      <c r="J897" s="7" t="s">
        <v>720</v>
      </c>
      <c r="K897" s="7" t="s">
        <v>3835</v>
      </c>
      <c r="L897" s="7" t="n">
        <v>2</v>
      </c>
      <c r="M897" s="7" t="s">
        <v>346</v>
      </c>
      <c r="N897" s="7"/>
      <c r="O897" s="7" t="s">
        <v>1150</v>
      </c>
      <c r="P897" s="7" t="s">
        <v>1183</v>
      </c>
      <c r="Q897" s="7" t="s">
        <v>1152</v>
      </c>
      <c r="R897" s="8"/>
      <c r="S897" s="12"/>
      <c r="T897" s="12"/>
    </row>
    <row r="898" customFormat="false" ht="35.05" hidden="false" customHeight="false" outlineLevel="0" collapsed="false">
      <c r="A898" s="7" t="s">
        <v>3836</v>
      </c>
      <c r="B898" s="7" t="s">
        <v>371</v>
      </c>
      <c r="C898" s="7" t="s">
        <v>3569</v>
      </c>
      <c r="D898" s="7" t="s">
        <v>3837</v>
      </c>
      <c r="E898" s="7" t="s">
        <v>3571</v>
      </c>
      <c r="F898" s="7" t="s">
        <v>1029</v>
      </c>
      <c r="G898" s="7" t="s">
        <v>3572</v>
      </c>
      <c r="H898" s="8" t="s">
        <v>3838</v>
      </c>
      <c r="I898" s="8" t="s">
        <v>374</v>
      </c>
      <c r="J898" s="7" t="s">
        <v>720</v>
      </c>
      <c r="K898" s="7" t="s">
        <v>3839</v>
      </c>
      <c r="L898" s="7" t="n">
        <v>2</v>
      </c>
      <c r="M898" s="7" t="s">
        <v>372</v>
      </c>
      <c r="N898" s="7"/>
      <c r="O898" s="7" t="s">
        <v>1150</v>
      </c>
      <c r="P898" s="7" t="s">
        <v>1151</v>
      </c>
      <c r="Q898" s="7" t="s">
        <v>1152</v>
      </c>
      <c r="R898" s="8"/>
      <c r="S898" s="12"/>
      <c r="T898" s="12"/>
    </row>
    <row r="899" customFormat="false" ht="46.25" hidden="false" customHeight="false" outlineLevel="0" collapsed="false">
      <c r="A899" s="7" t="s">
        <v>3840</v>
      </c>
      <c r="B899" s="7" t="s">
        <v>371</v>
      </c>
      <c r="C899" s="7" t="s">
        <v>3569</v>
      </c>
      <c r="D899" s="7" t="s">
        <v>3841</v>
      </c>
      <c r="E899" s="7" t="s">
        <v>3571</v>
      </c>
      <c r="F899" s="7" t="s">
        <v>1029</v>
      </c>
      <c r="G899" s="7" t="s">
        <v>3572</v>
      </c>
      <c r="H899" s="8" t="s">
        <v>3842</v>
      </c>
      <c r="I899" s="8" t="s">
        <v>374</v>
      </c>
      <c r="J899" s="7" t="s">
        <v>720</v>
      </c>
      <c r="K899" s="7" t="s">
        <v>3843</v>
      </c>
      <c r="L899" s="7" t="n">
        <v>2</v>
      </c>
      <c r="M899" s="7" t="s">
        <v>372</v>
      </c>
      <c r="N899" s="7"/>
      <c r="O899" s="7" t="s">
        <v>1150</v>
      </c>
      <c r="P899" s="7" t="s">
        <v>1183</v>
      </c>
      <c r="Q899" s="7" t="s">
        <v>1152</v>
      </c>
      <c r="R899" s="8"/>
      <c r="S899" s="12"/>
      <c r="T899" s="12"/>
    </row>
    <row r="900" customFormat="false" ht="35.05" hidden="false" customHeight="false" outlineLevel="0" collapsed="false">
      <c r="A900" s="7" t="s">
        <v>3844</v>
      </c>
      <c r="B900" s="7" t="s">
        <v>371</v>
      </c>
      <c r="C900" s="7" t="s">
        <v>3569</v>
      </c>
      <c r="D900" s="7" t="s">
        <v>3845</v>
      </c>
      <c r="E900" s="7" t="s">
        <v>3571</v>
      </c>
      <c r="F900" s="7" t="s">
        <v>1029</v>
      </c>
      <c r="G900" s="7" t="s">
        <v>3572</v>
      </c>
      <c r="H900" s="8" t="s">
        <v>3838</v>
      </c>
      <c r="I900" s="8" t="s">
        <v>374</v>
      </c>
      <c r="J900" s="7" t="s">
        <v>720</v>
      </c>
      <c r="K900" s="7" t="s">
        <v>3846</v>
      </c>
      <c r="L900" s="7" t="n">
        <v>2</v>
      </c>
      <c r="M900" s="7" t="s">
        <v>372</v>
      </c>
      <c r="N900" s="7"/>
      <c r="O900" s="7" t="s">
        <v>1150</v>
      </c>
      <c r="P900" s="7" t="s">
        <v>1183</v>
      </c>
      <c r="Q900" s="7" t="s">
        <v>1152</v>
      </c>
      <c r="R900" s="8"/>
      <c r="S900" s="12"/>
      <c r="T900" s="12"/>
    </row>
    <row r="901" customFormat="false" ht="35.05" hidden="false" customHeight="false" outlineLevel="0" collapsed="false">
      <c r="A901" s="7" t="s">
        <v>3847</v>
      </c>
      <c r="B901" s="7" t="s">
        <v>371</v>
      </c>
      <c r="C901" s="7" t="s">
        <v>3569</v>
      </c>
      <c r="D901" s="7" t="s">
        <v>3848</v>
      </c>
      <c r="E901" s="7" t="s">
        <v>3571</v>
      </c>
      <c r="F901" s="7" t="s">
        <v>1029</v>
      </c>
      <c r="G901" s="7" t="s">
        <v>3572</v>
      </c>
      <c r="H901" s="8" t="s">
        <v>3838</v>
      </c>
      <c r="I901" s="8" t="s">
        <v>374</v>
      </c>
      <c r="J901" s="7" t="s">
        <v>720</v>
      </c>
      <c r="K901" s="7" t="s">
        <v>3849</v>
      </c>
      <c r="L901" s="7" t="n">
        <v>2</v>
      </c>
      <c r="M901" s="7" t="s">
        <v>372</v>
      </c>
      <c r="N901" s="7"/>
      <c r="O901" s="7" t="s">
        <v>1150</v>
      </c>
      <c r="P901" s="7" t="s">
        <v>1183</v>
      </c>
      <c r="Q901" s="7" t="s">
        <v>1152</v>
      </c>
      <c r="R901" s="8"/>
      <c r="S901" s="12"/>
      <c r="T901" s="12"/>
    </row>
    <row r="902" customFormat="false" ht="35.05" hidden="false" customHeight="false" outlineLevel="0" collapsed="false">
      <c r="A902" s="7" t="s">
        <v>3850</v>
      </c>
      <c r="B902" s="7" t="s">
        <v>371</v>
      </c>
      <c r="C902" s="7" t="s">
        <v>3569</v>
      </c>
      <c r="D902" s="7" t="s">
        <v>3851</v>
      </c>
      <c r="E902" s="7" t="s">
        <v>3571</v>
      </c>
      <c r="F902" s="7" t="s">
        <v>1029</v>
      </c>
      <c r="G902" s="7" t="s">
        <v>3572</v>
      </c>
      <c r="H902" s="8" t="s">
        <v>3852</v>
      </c>
      <c r="I902" s="8" t="s">
        <v>374</v>
      </c>
      <c r="J902" s="7" t="s">
        <v>1056</v>
      </c>
      <c r="K902" s="7" t="s">
        <v>3853</v>
      </c>
      <c r="L902" s="7" t="n">
        <v>2</v>
      </c>
      <c r="M902" s="7" t="s">
        <v>372</v>
      </c>
      <c r="N902" s="7"/>
      <c r="O902" s="7" t="s">
        <v>1150</v>
      </c>
      <c r="P902" s="7" t="s">
        <v>1151</v>
      </c>
      <c r="Q902" s="7" t="s">
        <v>1152</v>
      </c>
      <c r="R902" s="8"/>
      <c r="S902" s="12"/>
      <c r="T902" s="12"/>
    </row>
    <row r="903" customFormat="false" ht="35.05" hidden="false" customHeight="false" outlineLevel="0" collapsed="false">
      <c r="A903" s="7" t="s">
        <v>3854</v>
      </c>
      <c r="B903" s="7" t="s">
        <v>400</v>
      </c>
      <c r="C903" s="7" t="s">
        <v>3569</v>
      </c>
      <c r="D903" s="7" t="s">
        <v>3855</v>
      </c>
      <c r="E903" s="7" t="s">
        <v>3571</v>
      </c>
      <c r="F903" s="7" t="s">
        <v>1029</v>
      </c>
      <c r="G903" s="7" t="s">
        <v>3572</v>
      </c>
      <c r="H903" s="8" t="s">
        <v>3856</v>
      </c>
      <c r="I903" s="8" t="s">
        <v>403</v>
      </c>
      <c r="J903" s="7" t="s">
        <v>720</v>
      </c>
      <c r="K903" s="7" t="s">
        <v>3857</v>
      </c>
      <c r="L903" s="7" t="n">
        <v>2</v>
      </c>
      <c r="M903" s="7" t="s">
        <v>401</v>
      </c>
      <c r="N903" s="7"/>
      <c r="O903" s="7" t="s">
        <v>1150</v>
      </c>
      <c r="P903" s="7" t="s">
        <v>1183</v>
      </c>
      <c r="Q903" s="7" t="s">
        <v>1152</v>
      </c>
      <c r="R903" s="8"/>
      <c r="S903" s="12"/>
      <c r="T903" s="12"/>
    </row>
    <row r="904" customFormat="false" ht="35.05" hidden="false" customHeight="false" outlineLevel="0" collapsed="false">
      <c r="A904" s="7" t="s">
        <v>3858</v>
      </c>
      <c r="B904" s="7" t="s">
        <v>400</v>
      </c>
      <c r="C904" s="7" t="s">
        <v>3569</v>
      </c>
      <c r="D904" s="7" t="s">
        <v>3859</v>
      </c>
      <c r="E904" s="7" t="s">
        <v>3571</v>
      </c>
      <c r="F904" s="7" t="s">
        <v>1029</v>
      </c>
      <c r="G904" s="7" t="s">
        <v>3572</v>
      </c>
      <c r="H904" s="8" t="s">
        <v>3856</v>
      </c>
      <c r="I904" s="8" t="s">
        <v>403</v>
      </c>
      <c r="J904" s="7" t="s">
        <v>720</v>
      </c>
      <c r="K904" s="7" t="s">
        <v>3860</v>
      </c>
      <c r="L904" s="7" t="n">
        <v>2</v>
      </c>
      <c r="M904" s="7" t="s">
        <v>401</v>
      </c>
      <c r="N904" s="7"/>
      <c r="O904" s="7" t="s">
        <v>1150</v>
      </c>
      <c r="P904" s="7" t="s">
        <v>1183</v>
      </c>
      <c r="Q904" s="7" t="s">
        <v>1152</v>
      </c>
      <c r="R904" s="8"/>
      <c r="S904" s="12"/>
      <c r="T904" s="12"/>
    </row>
    <row r="905" customFormat="false" ht="35.05" hidden="false" customHeight="false" outlineLevel="0" collapsed="false">
      <c r="A905" s="7" t="s">
        <v>3861</v>
      </c>
      <c r="B905" s="7" t="s">
        <v>400</v>
      </c>
      <c r="C905" s="7" t="s">
        <v>3569</v>
      </c>
      <c r="D905" s="7" t="s">
        <v>3862</v>
      </c>
      <c r="E905" s="7" t="s">
        <v>3571</v>
      </c>
      <c r="F905" s="7" t="s">
        <v>1029</v>
      </c>
      <c r="G905" s="7" t="s">
        <v>3572</v>
      </c>
      <c r="H905" s="8" t="s">
        <v>3856</v>
      </c>
      <c r="I905" s="8" t="s">
        <v>403</v>
      </c>
      <c r="J905" s="7" t="s">
        <v>720</v>
      </c>
      <c r="K905" s="7" t="s">
        <v>3863</v>
      </c>
      <c r="L905" s="7" t="n">
        <v>2</v>
      </c>
      <c r="M905" s="7" t="s">
        <v>401</v>
      </c>
      <c r="N905" s="7"/>
      <c r="O905" s="7" t="s">
        <v>1150</v>
      </c>
      <c r="P905" s="7" t="s">
        <v>1183</v>
      </c>
      <c r="Q905" s="7" t="s">
        <v>1152</v>
      </c>
      <c r="R905" s="8"/>
      <c r="S905" s="12"/>
      <c r="T905" s="12"/>
    </row>
    <row r="906" customFormat="false" ht="35.05" hidden="false" customHeight="false" outlineLevel="0" collapsed="false">
      <c r="A906" s="7" t="s">
        <v>3864</v>
      </c>
      <c r="B906" s="7" t="s">
        <v>400</v>
      </c>
      <c r="C906" s="7" t="s">
        <v>3569</v>
      </c>
      <c r="D906" s="7" t="s">
        <v>3865</v>
      </c>
      <c r="E906" s="7" t="s">
        <v>3571</v>
      </c>
      <c r="F906" s="7" t="s">
        <v>1029</v>
      </c>
      <c r="G906" s="7" t="s">
        <v>3572</v>
      </c>
      <c r="H906" s="8" t="s">
        <v>3856</v>
      </c>
      <c r="I906" s="8" t="s">
        <v>403</v>
      </c>
      <c r="J906" s="7" t="s">
        <v>720</v>
      </c>
      <c r="K906" s="7" t="s">
        <v>3866</v>
      </c>
      <c r="L906" s="7" t="n">
        <v>2</v>
      </c>
      <c r="M906" s="7" t="s">
        <v>401</v>
      </c>
      <c r="N906" s="7"/>
      <c r="O906" s="7" t="s">
        <v>1150</v>
      </c>
      <c r="P906" s="7" t="s">
        <v>1183</v>
      </c>
      <c r="Q906" s="7" t="s">
        <v>1152</v>
      </c>
      <c r="R906" s="8"/>
      <c r="S906" s="12"/>
      <c r="T906" s="12"/>
    </row>
    <row r="907" customFormat="false" ht="35.05" hidden="false" customHeight="false" outlineLevel="0" collapsed="false">
      <c r="A907" s="7" t="s">
        <v>3867</v>
      </c>
      <c r="B907" s="7" t="s">
        <v>400</v>
      </c>
      <c r="C907" s="7" t="s">
        <v>3569</v>
      </c>
      <c r="D907" s="7" t="s">
        <v>3868</v>
      </c>
      <c r="E907" s="7" t="s">
        <v>3571</v>
      </c>
      <c r="F907" s="7" t="s">
        <v>1029</v>
      </c>
      <c r="G907" s="7" t="s">
        <v>3572</v>
      </c>
      <c r="H907" s="8" t="s">
        <v>3856</v>
      </c>
      <c r="I907" s="8" t="s">
        <v>403</v>
      </c>
      <c r="J907" s="7" t="s">
        <v>720</v>
      </c>
      <c r="K907" s="7" t="s">
        <v>3869</v>
      </c>
      <c r="L907" s="7" t="n">
        <v>2</v>
      </c>
      <c r="M907" s="7" t="s">
        <v>401</v>
      </c>
      <c r="N907" s="7"/>
      <c r="O907" s="7" t="s">
        <v>1150</v>
      </c>
      <c r="P907" s="7" t="s">
        <v>1183</v>
      </c>
      <c r="Q907" s="7" t="s">
        <v>1152</v>
      </c>
      <c r="R907" s="8"/>
      <c r="S907" s="12"/>
      <c r="T907" s="12"/>
    </row>
    <row r="908" customFormat="false" ht="46.25" hidden="false" customHeight="false" outlineLevel="0" collapsed="false">
      <c r="A908" s="7" t="s">
        <v>3870</v>
      </c>
      <c r="B908" s="7" t="s">
        <v>400</v>
      </c>
      <c r="C908" s="7" t="s">
        <v>3569</v>
      </c>
      <c r="D908" s="7" t="s">
        <v>3871</v>
      </c>
      <c r="E908" s="7" t="s">
        <v>3571</v>
      </c>
      <c r="F908" s="7" t="s">
        <v>1029</v>
      </c>
      <c r="G908" s="7" t="s">
        <v>3572</v>
      </c>
      <c r="H908" s="8" t="s">
        <v>3872</v>
      </c>
      <c r="I908" s="8" t="s">
        <v>403</v>
      </c>
      <c r="J908" s="7" t="s">
        <v>720</v>
      </c>
      <c r="K908" s="7" t="s">
        <v>3873</v>
      </c>
      <c r="L908" s="7" t="n">
        <v>2</v>
      </c>
      <c r="M908" s="7" t="s">
        <v>401</v>
      </c>
      <c r="N908" s="7"/>
      <c r="O908" s="7" t="s">
        <v>1150</v>
      </c>
      <c r="P908" s="7" t="s">
        <v>1183</v>
      </c>
      <c r="Q908" s="7" t="s">
        <v>1152</v>
      </c>
      <c r="R908" s="8"/>
      <c r="S908" s="12"/>
      <c r="T908" s="12"/>
    </row>
    <row r="909" customFormat="false" ht="35.05" hidden="false" customHeight="false" outlineLevel="0" collapsed="false">
      <c r="A909" s="7" t="s">
        <v>3874</v>
      </c>
      <c r="B909" s="7" t="s">
        <v>425</v>
      </c>
      <c r="C909" s="7" t="s">
        <v>3569</v>
      </c>
      <c r="D909" s="7" t="s">
        <v>3875</v>
      </c>
      <c r="E909" s="7" t="s">
        <v>3571</v>
      </c>
      <c r="F909" s="7" t="s">
        <v>1029</v>
      </c>
      <c r="G909" s="7" t="s">
        <v>3572</v>
      </c>
      <c r="H909" s="8" t="s">
        <v>3876</v>
      </c>
      <c r="I909" s="8" t="s">
        <v>428</v>
      </c>
      <c r="J909" s="7" t="s">
        <v>720</v>
      </c>
      <c r="K909" s="7" t="s">
        <v>3877</v>
      </c>
      <c r="L909" s="7" t="n">
        <v>2</v>
      </c>
      <c r="M909" s="7" t="s">
        <v>426</v>
      </c>
      <c r="N909" s="7"/>
      <c r="O909" s="7" t="s">
        <v>1150</v>
      </c>
      <c r="P909" s="7" t="s">
        <v>1183</v>
      </c>
      <c r="Q909" s="7" t="s">
        <v>1152</v>
      </c>
      <c r="R909" s="8"/>
      <c r="S909" s="12"/>
      <c r="T909" s="12"/>
    </row>
    <row r="910" customFormat="false" ht="35.05" hidden="false" customHeight="false" outlineLevel="0" collapsed="false">
      <c r="A910" s="7" t="s">
        <v>3878</v>
      </c>
      <c r="B910" s="7" t="s">
        <v>425</v>
      </c>
      <c r="C910" s="7" t="s">
        <v>3569</v>
      </c>
      <c r="D910" s="7" t="s">
        <v>3879</v>
      </c>
      <c r="E910" s="7" t="s">
        <v>3571</v>
      </c>
      <c r="F910" s="7" t="s">
        <v>1029</v>
      </c>
      <c r="G910" s="7" t="s">
        <v>3572</v>
      </c>
      <c r="H910" s="8" t="s">
        <v>3876</v>
      </c>
      <c r="I910" s="8" t="s">
        <v>428</v>
      </c>
      <c r="J910" s="7" t="s">
        <v>720</v>
      </c>
      <c r="K910" s="7" t="s">
        <v>3880</v>
      </c>
      <c r="L910" s="7" t="n">
        <v>2</v>
      </c>
      <c r="M910" s="7" t="s">
        <v>426</v>
      </c>
      <c r="N910" s="7"/>
      <c r="O910" s="7" t="s">
        <v>1150</v>
      </c>
      <c r="P910" s="7" t="s">
        <v>1151</v>
      </c>
      <c r="Q910" s="7" t="s">
        <v>1152</v>
      </c>
      <c r="R910" s="8"/>
      <c r="S910" s="12"/>
      <c r="T910" s="12"/>
    </row>
    <row r="911" customFormat="false" ht="35.05" hidden="false" customHeight="false" outlineLevel="0" collapsed="false">
      <c r="A911" s="7" t="s">
        <v>3881</v>
      </c>
      <c r="B911" s="7" t="s">
        <v>425</v>
      </c>
      <c r="C911" s="7" t="s">
        <v>3569</v>
      </c>
      <c r="D911" s="7" t="s">
        <v>3882</v>
      </c>
      <c r="E911" s="7" t="s">
        <v>3571</v>
      </c>
      <c r="F911" s="7" t="s">
        <v>1029</v>
      </c>
      <c r="G911" s="7" t="s">
        <v>3572</v>
      </c>
      <c r="H911" s="8" t="s">
        <v>3876</v>
      </c>
      <c r="I911" s="8" t="s">
        <v>428</v>
      </c>
      <c r="J911" s="7" t="s">
        <v>720</v>
      </c>
      <c r="K911" s="7" t="s">
        <v>3883</v>
      </c>
      <c r="L911" s="7" t="n">
        <v>2</v>
      </c>
      <c r="M911" s="7" t="s">
        <v>426</v>
      </c>
      <c r="N911" s="7"/>
      <c r="O911" s="7" t="s">
        <v>1150</v>
      </c>
      <c r="P911" s="7" t="s">
        <v>1183</v>
      </c>
      <c r="Q911" s="7" t="s">
        <v>1152</v>
      </c>
      <c r="R911" s="8"/>
      <c r="S911" s="12"/>
      <c r="T911" s="12"/>
    </row>
    <row r="912" customFormat="false" ht="35.05" hidden="false" customHeight="false" outlineLevel="0" collapsed="false">
      <c r="A912" s="7" t="s">
        <v>3884</v>
      </c>
      <c r="B912" s="7" t="s">
        <v>425</v>
      </c>
      <c r="C912" s="7" t="s">
        <v>3569</v>
      </c>
      <c r="D912" s="7" t="s">
        <v>3885</v>
      </c>
      <c r="E912" s="7" t="s">
        <v>3571</v>
      </c>
      <c r="F912" s="7" t="s">
        <v>1029</v>
      </c>
      <c r="G912" s="7" t="s">
        <v>3572</v>
      </c>
      <c r="H912" s="8" t="s">
        <v>3876</v>
      </c>
      <c r="I912" s="8" t="s">
        <v>428</v>
      </c>
      <c r="J912" s="7" t="s">
        <v>720</v>
      </c>
      <c r="K912" s="7" t="s">
        <v>3886</v>
      </c>
      <c r="L912" s="7" t="n">
        <v>2</v>
      </c>
      <c r="M912" s="7" t="s">
        <v>426</v>
      </c>
      <c r="N912" s="7"/>
      <c r="O912" s="7" t="s">
        <v>1150</v>
      </c>
      <c r="P912" s="7" t="s">
        <v>1183</v>
      </c>
      <c r="Q912" s="7" t="s">
        <v>1152</v>
      </c>
      <c r="R912" s="8"/>
      <c r="S912" s="12"/>
      <c r="T912" s="12"/>
    </row>
    <row r="913" customFormat="false" ht="35.05" hidden="false" customHeight="false" outlineLevel="0" collapsed="false">
      <c r="A913" s="7" t="s">
        <v>3887</v>
      </c>
      <c r="B913" s="7" t="s">
        <v>425</v>
      </c>
      <c r="C913" s="7" t="s">
        <v>3569</v>
      </c>
      <c r="D913" s="7" t="s">
        <v>3888</v>
      </c>
      <c r="E913" s="7" t="s">
        <v>3571</v>
      </c>
      <c r="F913" s="7" t="s">
        <v>1029</v>
      </c>
      <c r="G913" s="7" t="s">
        <v>3572</v>
      </c>
      <c r="H913" s="8" t="s">
        <v>3889</v>
      </c>
      <c r="I913" s="8" t="s">
        <v>428</v>
      </c>
      <c r="J913" s="7" t="s">
        <v>1056</v>
      </c>
      <c r="K913" s="7" t="s">
        <v>3890</v>
      </c>
      <c r="L913" s="7" t="n">
        <v>2</v>
      </c>
      <c r="M913" s="7" t="s">
        <v>426</v>
      </c>
      <c r="N913" s="7"/>
      <c r="O913" s="7" t="s">
        <v>1150</v>
      </c>
      <c r="P913" s="7" t="s">
        <v>1151</v>
      </c>
      <c r="Q913" s="7" t="s">
        <v>1152</v>
      </c>
      <c r="R913" s="8"/>
      <c r="S913" s="12"/>
      <c r="T913" s="12"/>
    </row>
    <row r="914" customFormat="false" ht="46.25" hidden="false" customHeight="false" outlineLevel="0" collapsed="false">
      <c r="A914" s="7" t="s">
        <v>3891</v>
      </c>
      <c r="B914" s="7" t="s">
        <v>425</v>
      </c>
      <c r="C914" s="7" t="s">
        <v>3569</v>
      </c>
      <c r="D914" s="7" t="s">
        <v>3892</v>
      </c>
      <c r="E914" s="7" t="s">
        <v>3571</v>
      </c>
      <c r="F914" s="7" t="s">
        <v>1029</v>
      </c>
      <c r="G914" s="7" t="s">
        <v>3572</v>
      </c>
      <c r="H914" s="8" t="s">
        <v>3893</v>
      </c>
      <c r="I914" s="8" t="s">
        <v>428</v>
      </c>
      <c r="J914" s="7" t="s">
        <v>720</v>
      </c>
      <c r="K914" s="7" t="s">
        <v>3894</v>
      </c>
      <c r="L914" s="7" t="n">
        <v>2</v>
      </c>
      <c r="M914" s="7" t="s">
        <v>426</v>
      </c>
      <c r="N914" s="7"/>
      <c r="O914" s="7" t="s">
        <v>1150</v>
      </c>
      <c r="P914" s="7" t="s">
        <v>1183</v>
      </c>
      <c r="Q914" s="7" t="s">
        <v>1152</v>
      </c>
      <c r="R914" s="8"/>
      <c r="S914" s="12"/>
      <c r="T914" s="12"/>
    </row>
    <row r="915" customFormat="false" ht="35.05" hidden="false" customHeight="false" outlineLevel="0" collapsed="false">
      <c r="A915" s="7" t="s">
        <v>3895</v>
      </c>
      <c r="B915" s="7" t="s">
        <v>445</v>
      </c>
      <c r="C915" s="7" t="s">
        <v>3569</v>
      </c>
      <c r="D915" s="7" t="s">
        <v>3896</v>
      </c>
      <c r="E915" s="7" t="s">
        <v>3571</v>
      </c>
      <c r="F915" s="7" t="s">
        <v>1029</v>
      </c>
      <c r="G915" s="7" t="s">
        <v>3572</v>
      </c>
      <c r="H915" s="8" t="s">
        <v>3897</v>
      </c>
      <c r="I915" s="8" t="s">
        <v>448</v>
      </c>
      <c r="J915" s="7" t="s">
        <v>720</v>
      </c>
      <c r="K915" s="7" t="s">
        <v>3898</v>
      </c>
      <c r="L915" s="7" t="n">
        <v>2</v>
      </c>
      <c r="M915" s="7" t="s">
        <v>446</v>
      </c>
      <c r="N915" s="7"/>
      <c r="O915" s="7" t="s">
        <v>1150</v>
      </c>
      <c r="P915" s="7" t="s">
        <v>1151</v>
      </c>
      <c r="Q915" s="7" t="s">
        <v>1152</v>
      </c>
      <c r="R915" s="8"/>
      <c r="S915" s="12"/>
      <c r="T915" s="12"/>
    </row>
    <row r="916" customFormat="false" ht="35.05" hidden="false" customHeight="false" outlineLevel="0" collapsed="false">
      <c r="A916" s="7" t="s">
        <v>3899</v>
      </c>
      <c r="B916" s="7" t="s">
        <v>445</v>
      </c>
      <c r="C916" s="7" t="s">
        <v>3569</v>
      </c>
      <c r="D916" s="7" t="s">
        <v>3900</v>
      </c>
      <c r="E916" s="7" t="s">
        <v>3571</v>
      </c>
      <c r="F916" s="7" t="s">
        <v>1029</v>
      </c>
      <c r="G916" s="7" t="s">
        <v>3572</v>
      </c>
      <c r="H916" s="8" t="s">
        <v>3897</v>
      </c>
      <c r="I916" s="8" t="s">
        <v>448</v>
      </c>
      <c r="J916" s="7" t="s">
        <v>720</v>
      </c>
      <c r="K916" s="7" t="s">
        <v>3901</v>
      </c>
      <c r="L916" s="7" t="n">
        <v>2</v>
      </c>
      <c r="M916" s="7" t="s">
        <v>446</v>
      </c>
      <c r="N916" s="7"/>
      <c r="O916" s="7" t="s">
        <v>1150</v>
      </c>
      <c r="P916" s="7" t="s">
        <v>1151</v>
      </c>
      <c r="Q916" s="7" t="s">
        <v>1152</v>
      </c>
      <c r="R916" s="8"/>
      <c r="S916" s="12"/>
      <c r="T916" s="12"/>
    </row>
    <row r="917" customFormat="false" ht="35.05" hidden="false" customHeight="false" outlineLevel="0" collapsed="false">
      <c r="A917" s="7" t="s">
        <v>3902</v>
      </c>
      <c r="B917" s="7" t="s">
        <v>445</v>
      </c>
      <c r="C917" s="7" t="s">
        <v>3569</v>
      </c>
      <c r="D917" s="7" t="s">
        <v>3903</v>
      </c>
      <c r="E917" s="7" t="s">
        <v>3571</v>
      </c>
      <c r="F917" s="7" t="s">
        <v>1029</v>
      </c>
      <c r="G917" s="7" t="s">
        <v>3572</v>
      </c>
      <c r="H917" s="8" t="s">
        <v>3897</v>
      </c>
      <c r="I917" s="8" t="s">
        <v>448</v>
      </c>
      <c r="J917" s="7" t="s">
        <v>720</v>
      </c>
      <c r="K917" s="7" t="s">
        <v>3904</v>
      </c>
      <c r="L917" s="7" t="n">
        <v>2</v>
      </c>
      <c r="M917" s="7" t="s">
        <v>446</v>
      </c>
      <c r="N917" s="7"/>
      <c r="O917" s="7" t="s">
        <v>1150</v>
      </c>
      <c r="P917" s="7" t="s">
        <v>1183</v>
      </c>
      <c r="Q917" s="7" t="s">
        <v>1152</v>
      </c>
      <c r="R917" s="8"/>
      <c r="S917" s="12"/>
      <c r="T917" s="12"/>
    </row>
    <row r="918" customFormat="false" ht="35.05" hidden="false" customHeight="false" outlineLevel="0" collapsed="false">
      <c r="A918" s="7" t="s">
        <v>3905</v>
      </c>
      <c r="B918" s="7" t="s">
        <v>445</v>
      </c>
      <c r="C918" s="7" t="s">
        <v>3569</v>
      </c>
      <c r="D918" s="7" t="s">
        <v>3906</v>
      </c>
      <c r="E918" s="7" t="s">
        <v>3571</v>
      </c>
      <c r="F918" s="7" t="s">
        <v>1029</v>
      </c>
      <c r="G918" s="7" t="s">
        <v>3572</v>
      </c>
      <c r="H918" s="8" t="s">
        <v>3897</v>
      </c>
      <c r="I918" s="8" t="s">
        <v>448</v>
      </c>
      <c r="J918" s="7" t="s">
        <v>720</v>
      </c>
      <c r="K918" s="7" t="s">
        <v>3907</v>
      </c>
      <c r="L918" s="7" t="n">
        <v>2</v>
      </c>
      <c r="M918" s="7" t="s">
        <v>446</v>
      </c>
      <c r="N918" s="7"/>
      <c r="O918" s="7" t="s">
        <v>1150</v>
      </c>
      <c r="P918" s="7" t="s">
        <v>1183</v>
      </c>
      <c r="Q918" s="7" t="s">
        <v>1152</v>
      </c>
      <c r="R918" s="8"/>
      <c r="S918" s="12"/>
      <c r="T918" s="12"/>
    </row>
    <row r="919" customFormat="false" ht="35.05" hidden="false" customHeight="false" outlineLevel="0" collapsed="false">
      <c r="A919" s="7" t="s">
        <v>3908</v>
      </c>
      <c r="B919" s="7" t="s">
        <v>445</v>
      </c>
      <c r="C919" s="7" t="s">
        <v>3569</v>
      </c>
      <c r="D919" s="7" t="s">
        <v>3909</v>
      </c>
      <c r="E919" s="7" t="s">
        <v>3571</v>
      </c>
      <c r="F919" s="7" t="s">
        <v>1029</v>
      </c>
      <c r="G919" s="7" t="s">
        <v>3572</v>
      </c>
      <c r="H919" s="8" t="s">
        <v>3910</v>
      </c>
      <c r="I919" s="8" t="s">
        <v>448</v>
      </c>
      <c r="J919" s="7" t="s">
        <v>720</v>
      </c>
      <c r="K919" s="7" t="s">
        <v>3911</v>
      </c>
      <c r="L919" s="7" t="n">
        <v>2</v>
      </c>
      <c r="M919" s="7" t="s">
        <v>446</v>
      </c>
      <c r="N919" s="7"/>
      <c r="O919" s="7" t="s">
        <v>1150</v>
      </c>
      <c r="P919" s="7" t="s">
        <v>1183</v>
      </c>
      <c r="Q919" s="7" t="s">
        <v>1152</v>
      </c>
      <c r="R919" s="8"/>
      <c r="S919" s="12"/>
      <c r="T919" s="12"/>
    </row>
    <row r="920" customFormat="false" ht="23.85" hidden="false" customHeight="false" outlineLevel="0" collapsed="false">
      <c r="A920" s="7" t="s">
        <v>3912</v>
      </c>
      <c r="B920" s="7" t="s">
        <v>231</v>
      </c>
      <c r="C920" s="7" t="s">
        <v>3913</v>
      </c>
      <c r="D920" s="7" t="s">
        <v>3914</v>
      </c>
      <c r="E920" s="7" t="s">
        <v>3915</v>
      </c>
      <c r="F920" s="7" t="s">
        <v>943</v>
      </c>
      <c r="G920" s="7" t="s">
        <v>1424</v>
      </c>
      <c r="H920" s="8" t="s">
        <v>3916</v>
      </c>
      <c r="I920" s="8" t="s">
        <v>250</v>
      </c>
      <c r="J920" s="7" t="s">
        <v>133</v>
      </c>
      <c r="K920" s="7" t="s">
        <v>3917</v>
      </c>
      <c r="L920" s="7" t="n">
        <v>3</v>
      </c>
      <c r="M920" s="7" t="s">
        <v>2368</v>
      </c>
      <c r="N920" s="7"/>
      <c r="O920" s="7" t="s">
        <v>1150</v>
      </c>
      <c r="P920" s="7" t="s">
        <v>1183</v>
      </c>
      <c r="Q920" s="13" t="s">
        <v>1790</v>
      </c>
      <c r="R920" s="8"/>
      <c r="S920" s="12"/>
      <c r="T920" s="12"/>
    </row>
    <row r="921" customFormat="false" ht="23.85" hidden="false" customHeight="false" outlineLevel="0" collapsed="false">
      <c r="A921" s="7" t="s">
        <v>3918</v>
      </c>
      <c r="B921" s="7" t="s">
        <v>231</v>
      </c>
      <c r="C921" s="7" t="s">
        <v>3913</v>
      </c>
      <c r="D921" s="7" t="s">
        <v>3919</v>
      </c>
      <c r="E921" s="7" t="s">
        <v>3915</v>
      </c>
      <c r="F921" s="7" t="s">
        <v>943</v>
      </c>
      <c r="G921" s="7" t="s">
        <v>1424</v>
      </c>
      <c r="H921" s="8" t="s">
        <v>3916</v>
      </c>
      <c r="I921" s="8" t="s">
        <v>250</v>
      </c>
      <c r="J921" s="7" t="s">
        <v>133</v>
      </c>
      <c r="K921" s="7" t="s">
        <v>3920</v>
      </c>
      <c r="L921" s="7" t="n">
        <v>3</v>
      </c>
      <c r="M921" s="7" t="s">
        <v>2368</v>
      </c>
      <c r="N921" s="7"/>
      <c r="O921" s="7" t="s">
        <v>1150</v>
      </c>
      <c r="P921" s="7" t="s">
        <v>1183</v>
      </c>
      <c r="Q921" s="13" t="s">
        <v>1790</v>
      </c>
      <c r="R921" s="8"/>
      <c r="S921" s="12"/>
      <c r="T921" s="12"/>
    </row>
    <row r="922" customFormat="false" ht="23.85" hidden="false" customHeight="false" outlineLevel="0" collapsed="false">
      <c r="A922" s="7" t="s">
        <v>3921</v>
      </c>
      <c r="B922" s="7" t="s">
        <v>231</v>
      </c>
      <c r="C922" s="7" t="s">
        <v>3913</v>
      </c>
      <c r="D922" s="7" t="s">
        <v>3922</v>
      </c>
      <c r="E922" s="7" t="s">
        <v>3915</v>
      </c>
      <c r="F922" s="7" t="s">
        <v>943</v>
      </c>
      <c r="G922" s="7" t="s">
        <v>1424</v>
      </c>
      <c r="H922" s="8" t="s">
        <v>3916</v>
      </c>
      <c r="I922" s="8" t="s">
        <v>250</v>
      </c>
      <c r="J922" s="7" t="s">
        <v>133</v>
      </c>
      <c r="K922" s="7" t="s">
        <v>3923</v>
      </c>
      <c r="L922" s="7" t="n">
        <v>3</v>
      </c>
      <c r="M922" s="7" t="s">
        <v>2368</v>
      </c>
      <c r="N922" s="7"/>
      <c r="O922" s="7" t="s">
        <v>1150</v>
      </c>
      <c r="P922" s="7" t="s">
        <v>1183</v>
      </c>
      <c r="Q922" s="13" t="s">
        <v>1790</v>
      </c>
      <c r="R922" s="8"/>
      <c r="S922" s="12"/>
      <c r="T922" s="12"/>
    </row>
    <row r="923" customFormat="false" ht="23.85" hidden="false" customHeight="false" outlineLevel="0" collapsed="false">
      <c r="A923" s="7" t="s">
        <v>3924</v>
      </c>
      <c r="B923" s="7" t="s">
        <v>231</v>
      </c>
      <c r="C923" s="7" t="s">
        <v>3913</v>
      </c>
      <c r="D923" s="7" t="s">
        <v>3925</v>
      </c>
      <c r="E923" s="7" t="s">
        <v>3915</v>
      </c>
      <c r="F923" s="7" t="s">
        <v>943</v>
      </c>
      <c r="G923" s="7" t="s">
        <v>1424</v>
      </c>
      <c r="H923" s="8" t="s">
        <v>3926</v>
      </c>
      <c r="I923" s="8" t="s">
        <v>102</v>
      </c>
      <c r="J923" s="7" t="s">
        <v>1021</v>
      </c>
      <c r="K923" s="7" t="s">
        <v>3927</v>
      </c>
      <c r="L923" s="7" t="s">
        <v>952</v>
      </c>
      <c r="M923" s="7" t="s">
        <v>2368</v>
      </c>
      <c r="N923" s="7"/>
      <c r="O923" s="7" t="s">
        <v>1421</v>
      </c>
      <c r="P923" s="7" t="s">
        <v>1480</v>
      </c>
      <c r="Q923" s="13" t="s">
        <v>1790</v>
      </c>
      <c r="R923" s="8"/>
      <c r="S923" s="12"/>
      <c r="T923" s="12"/>
    </row>
    <row r="924" customFormat="false" ht="23.85" hidden="false" customHeight="false" outlineLevel="0" collapsed="false">
      <c r="A924" s="7" t="s">
        <v>3928</v>
      </c>
      <c r="B924" s="7" t="s">
        <v>231</v>
      </c>
      <c r="C924" s="7" t="s">
        <v>3913</v>
      </c>
      <c r="D924" s="7" t="s">
        <v>3929</v>
      </c>
      <c r="E924" s="7" t="s">
        <v>3915</v>
      </c>
      <c r="F924" s="7" t="s">
        <v>943</v>
      </c>
      <c r="G924" s="7" t="s">
        <v>1424</v>
      </c>
      <c r="H924" s="8" t="s">
        <v>3926</v>
      </c>
      <c r="I924" s="8" t="s">
        <v>102</v>
      </c>
      <c r="J924" s="7" t="s">
        <v>1021</v>
      </c>
      <c r="K924" s="7" t="s">
        <v>3930</v>
      </c>
      <c r="L924" s="7" t="s">
        <v>952</v>
      </c>
      <c r="M924" s="7" t="s">
        <v>2368</v>
      </c>
      <c r="N924" s="7"/>
      <c r="O924" s="7" t="s">
        <v>1421</v>
      </c>
      <c r="P924" s="7" t="s">
        <v>1480</v>
      </c>
      <c r="Q924" s="13" t="s">
        <v>1790</v>
      </c>
      <c r="R924" s="8"/>
      <c r="S924" s="12"/>
      <c r="T924" s="12"/>
    </row>
    <row r="925" customFormat="false" ht="23.85" hidden="false" customHeight="false" outlineLevel="0" collapsed="false">
      <c r="A925" s="7" t="s">
        <v>3931</v>
      </c>
      <c r="B925" s="7" t="s">
        <v>231</v>
      </c>
      <c r="C925" s="7" t="s">
        <v>3913</v>
      </c>
      <c r="D925" s="7" t="s">
        <v>3932</v>
      </c>
      <c r="E925" s="7" t="s">
        <v>3915</v>
      </c>
      <c r="F925" s="7" t="s">
        <v>943</v>
      </c>
      <c r="G925" s="7" t="s">
        <v>1424</v>
      </c>
      <c r="H925" s="8" t="s">
        <v>3926</v>
      </c>
      <c r="I925" s="8" t="s">
        <v>102</v>
      </c>
      <c r="J925" s="7" t="s">
        <v>1021</v>
      </c>
      <c r="K925" s="7" t="s">
        <v>3933</v>
      </c>
      <c r="L925" s="7" t="s">
        <v>952</v>
      </c>
      <c r="M925" s="7" t="s">
        <v>2368</v>
      </c>
      <c r="N925" s="7"/>
      <c r="O925" s="7" t="s">
        <v>1421</v>
      </c>
      <c r="P925" s="7" t="s">
        <v>1480</v>
      </c>
      <c r="Q925" s="13" t="s">
        <v>1790</v>
      </c>
      <c r="R925" s="8"/>
      <c r="S925" s="12"/>
      <c r="T925" s="12"/>
    </row>
    <row r="926" customFormat="false" ht="23.85" hidden="false" customHeight="false" outlineLevel="0" collapsed="false">
      <c r="A926" s="7" t="s">
        <v>3934</v>
      </c>
      <c r="B926" s="7" t="s">
        <v>291</v>
      </c>
      <c r="C926" s="7" t="s">
        <v>3935</v>
      </c>
      <c r="D926" s="7" t="s">
        <v>3936</v>
      </c>
      <c r="E926" s="7" t="s">
        <v>3937</v>
      </c>
      <c r="F926" s="7" t="s">
        <v>943</v>
      </c>
      <c r="G926" s="7" t="s">
        <v>1424</v>
      </c>
      <c r="H926" s="8" t="s">
        <v>3938</v>
      </c>
      <c r="I926" s="8" t="s">
        <v>126</v>
      </c>
      <c r="J926" s="7" t="s">
        <v>1021</v>
      </c>
      <c r="K926" s="7" t="s">
        <v>3939</v>
      </c>
      <c r="L926" s="7" t="s">
        <v>952</v>
      </c>
      <c r="M926" s="7" t="s">
        <v>2696</v>
      </c>
      <c r="N926" s="7"/>
      <c r="O926" s="7" t="s">
        <v>1421</v>
      </c>
      <c r="P926" s="7" t="s">
        <v>1183</v>
      </c>
      <c r="Q926" s="7" t="s">
        <v>1152</v>
      </c>
      <c r="R926" s="8"/>
      <c r="S926" s="12"/>
      <c r="T926" s="12"/>
    </row>
    <row r="927" customFormat="false" ht="23.85" hidden="false" customHeight="false" outlineLevel="0" collapsed="false">
      <c r="A927" s="7" t="s">
        <v>3940</v>
      </c>
      <c r="B927" s="7" t="s">
        <v>291</v>
      </c>
      <c r="C927" s="7" t="s">
        <v>3935</v>
      </c>
      <c r="D927" s="7" t="s">
        <v>3941</v>
      </c>
      <c r="E927" s="7" t="s">
        <v>3937</v>
      </c>
      <c r="F927" s="7" t="s">
        <v>943</v>
      </c>
      <c r="G927" s="7" t="s">
        <v>1424</v>
      </c>
      <c r="H927" s="8" t="s">
        <v>3938</v>
      </c>
      <c r="I927" s="8" t="s">
        <v>126</v>
      </c>
      <c r="J927" s="7" t="s">
        <v>1021</v>
      </c>
      <c r="K927" s="7" t="s">
        <v>3942</v>
      </c>
      <c r="L927" s="7" t="s">
        <v>952</v>
      </c>
      <c r="M927" s="7" t="s">
        <v>2696</v>
      </c>
      <c r="N927" s="7"/>
      <c r="O927" s="7" t="s">
        <v>1421</v>
      </c>
      <c r="P927" s="7" t="s">
        <v>1183</v>
      </c>
      <c r="Q927" s="7" t="s">
        <v>1152</v>
      </c>
      <c r="R927" s="8"/>
      <c r="S927" s="12"/>
      <c r="T927" s="12"/>
    </row>
    <row r="928" customFormat="false" ht="23.85" hidden="false" customHeight="false" outlineLevel="0" collapsed="false">
      <c r="A928" s="7" t="s">
        <v>3943</v>
      </c>
      <c r="B928" s="7" t="s">
        <v>291</v>
      </c>
      <c r="C928" s="7" t="s">
        <v>3935</v>
      </c>
      <c r="D928" s="7" t="s">
        <v>3944</v>
      </c>
      <c r="E928" s="7" t="s">
        <v>3937</v>
      </c>
      <c r="F928" s="7" t="s">
        <v>943</v>
      </c>
      <c r="G928" s="7" t="s">
        <v>1424</v>
      </c>
      <c r="H928" s="8" t="s">
        <v>3938</v>
      </c>
      <c r="I928" s="8" t="s">
        <v>126</v>
      </c>
      <c r="J928" s="7" t="s">
        <v>1021</v>
      </c>
      <c r="K928" s="7" t="s">
        <v>3945</v>
      </c>
      <c r="L928" s="7" t="s">
        <v>952</v>
      </c>
      <c r="M928" s="7" t="s">
        <v>2696</v>
      </c>
      <c r="N928" s="7"/>
      <c r="O928" s="7" t="s">
        <v>1421</v>
      </c>
      <c r="P928" s="7" t="s">
        <v>1183</v>
      </c>
      <c r="Q928" s="7" t="s">
        <v>1152</v>
      </c>
      <c r="R928" s="8"/>
      <c r="S928" s="12"/>
      <c r="T928" s="12"/>
    </row>
    <row r="929" customFormat="false" ht="23.85" hidden="false" customHeight="false" outlineLevel="0" collapsed="false">
      <c r="A929" s="7" t="s">
        <v>3946</v>
      </c>
      <c r="B929" s="7" t="s">
        <v>291</v>
      </c>
      <c r="C929" s="7" t="s">
        <v>3935</v>
      </c>
      <c r="D929" s="7" t="s">
        <v>3947</v>
      </c>
      <c r="E929" s="7" t="s">
        <v>3937</v>
      </c>
      <c r="F929" s="7" t="s">
        <v>943</v>
      </c>
      <c r="G929" s="7" t="s">
        <v>1424</v>
      </c>
      <c r="H929" s="8" t="s">
        <v>3938</v>
      </c>
      <c r="I929" s="8" t="s">
        <v>126</v>
      </c>
      <c r="J929" s="7" t="s">
        <v>1021</v>
      </c>
      <c r="K929" s="7" t="s">
        <v>3948</v>
      </c>
      <c r="L929" s="7" t="s">
        <v>952</v>
      </c>
      <c r="M929" s="7" t="s">
        <v>2696</v>
      </c>
      <c r="N929" s="7"/>
      <c r="O929" s="7" t="s">
        <v>1421</v>
      </c>
      <c r="P929" s="7" t="s">
        <v>1183</v>
      </c>
      <c r="Q929" s="7" t="s">
        <v>1152</v>
      </c>
      <c r="R929" s="8"/>
      <c r="S929" s="12"/>
      <c r="T929" s="12"/>
    </row>
    <row r="930" customFormat="false" ht="35.05" hidden="false" customHeight="false" outlineLevel="0" collapsed="false">
      <c r="A930" s="7" t="s">
        <v>3949</v>
      </c>
      <c r="B930" s="7" t="s">
        <v>345</v>
      </c>
      <c r="C930" s="7" t="s">
        <v>3950</v>
      </c>
      <c r="D930" s="7" t="s">
        <v>3951</v>
      </c>
      <c r="E930" s="7" t="s">
        <v>3952</v>
      </c>
      <c r="F930" s="7" t="s">
        <v>1029</v>
      </c>
      <c r="G930" s="7" t="s">
        <v>3572</v>
      </c>
      <c r="H930" s="8" t="s">
        <v>3953</v>
      </c>
      <c r="I930" s="8" t="s">
        <v>3954</v>
      </c>
      <c r="J930" s="7" t="s">
        <v>1071</v>
      </c>
      <c r="K930" s="7" t="s">
        <v>3955</v>
      </c>
      <c r="L930" s="7" t="n">
        <v>2</v>
      </c>
      <c r="M930" s="7" t="s">
        <v>2972</v>
      </c>
      <c r="N930" s="7"/>
      <c r="O930" s="7" t="s">
        <v>1150</v>
      </c>
      <c r="P930" s="7" t="s">
        <v>1151</v>
      </c>
      <c r="Q930" s="7" t="s">
        <v>1152</v>
      </c>
      <c r="R930" s="8"/>
      <c r="S930" s="12"/>
      <c r="T930" s="12"/>
    </row>
    <row r="931" customFormat="false" ht="23.85" hidden="false" customHeight="false" outlineLevel="0" collapsed="false">
      <c r="A931" s="7" t="s">
        <v>3956</v>
      </c>
      <c r="B931" s="7" t="s">
        <v>231</v>
      </c>
      <c r="C931" s="7" t="s">
        <v>3950</v>
      </c>
      <c r="D931" s="7" t="s">
        <v>3957</v>
      </c>
      <c r="E931" s="7" t="s">
        <v>3952</v>
      </c>
      <c r="F931" s="7" t="s">
        <v>1029</v>
      </c>
      <c r="G931" s="7" t="s">
        <v>3572</v>
      </c>
      <c r="H931" s="8" t="s">
        <v>3958</v>
      </c>
      <c r="I931" s="8" t="s">
        <v>3959</v>
      </c>
      <c r="J931" s="7" t="s">
        <v>720</v>
      </c>
      <c r="K931" s="7" t="s">
        <v>3960</v>
      </c>
      <c r="L931" s="7" t="n">
        <v>2</v>
      </c>
      <c r="M931" s="7" t="s">
        <v>2422</v>
      </c>
      <c r="N931" s="7"/>
      <c r="O931" s="7" t="s">
        <v>1150</v>
      </c>
      <c r="P931" s="7" t="s">
        <v>1183</v>
      </c>
      <c r="Q931" s="7" t="s">
        <v>1152</v>
      </c>
      <c r="R931" s="8"/>
      <c r="S931" s="12"/>
      <c r="T931" s="12"/>
    </row>
    <row r="932" customFormat="false" ht="23.85" hidden="false" customHeight="false" outlineLevel="0" collapsed="false">
      <c r="A932" s="7" t="s">
        <v>3961</v>
      </c>
      <c r="B932" s="7" t="s">
        <v>265</v>
      </c>
      <c r="C932" s="7" t="s">
        <v>3950</v>
      </c>
      <c r="D932" s="7" t="s">
        <v>3962</v>
      </c>
      <c r="E932" s="7" t="s">
        <v>3952</v>
      </c>
      <c r="F932" s="7" t="s">
        <v>1029</v>
      </c>
      <c r="G932" s="7" t="s">
        <v>3572</v>
      </c>
      <c r="H932" s="8" t="s">
        <v>3963</v>
      </c>
      <c r="I932" s="8" t="s">
        <v>164</v>
      </c>
      <c r="J932" s="7" t="s">
        <v>720</v>
      </c>
      <c r="K932" s="7" t="s">
        <v>3964</v>
      </c>
      <c r="L932" s="7" t="n">
        <v>2</v>
      </c>
      <c r="M932" s="7" t="s">
        <v>2550</v>
      </c>
      <c r="N932" s="7"/>
      <c r="O932" s="7" t="s">
        <v>1150</v>
      </c>
      <c r="P932" s="7" t="s">
        <v>1183</v>
      </c>
      <c r="Q932" s="7" t="s">
        <v>1152</v>
      </c>
      <c r="R932" s="8"/>
      <c r="S932" s="12"/>
      <c r="T932" s="12"/>
    </row>
    <row r="933" customFormat="false" ht="23.85" hidden="false" customHeight="false" outlineLevel="0" collapsed="false">
      <c r="A933" s="7" t="s">
        <v>3965</v>
      </c>
      <c r="B933" s="7" t="s">
        <v>345</v>
      </c>
      <c r="C933" s="7" t="s">
        <v>3950</v>
      </c>
      <c r="D933" s="7" t="s">
        <v>3966</v>
      </c>
      <c r="E933" s="7" t="s">
        <v>3952</v>
      </c>
      <c r="F933" s="7" t="s">
        <v>1029</v>
      </c>
      <c r="G933" s="7" t="s">
        <v>3572</v>
      </c>
      <c r="H933" s="8" t="s">
        <v>3967</v>
      </c>
      <c r="I933" s="8" t="s">
        <v>164</v>
      </c>
      <c r="J933" s="7" t="s">
        <v>720</v>
      </c>
      <c r="K933" s="7" t="s">
        <v>3968</v>
      </c>
      <c r="L933" s="7" t="n">
        <v>2</v>
      </c>
      <c r="M933" s="7" t="s">
        <v>2983</v>
      </c>
      <c r="N933" s="7"/>
      <c r="O933" s="7" t="s">
        <v>1150</v>
      </c>
      <c r="P933" s="7" t="s">
        <v>1183</v>
      </c>
      <c r="Q933" s="7" t="s">
        <v>1152</v>
      </c>
      <c r="R933" s="8"/>
      <c r="S933" s="12"/>
      <c r="T933" s="12"/>
    </row>
    <row r="934" customFormat="false" ht="23.85" hidden="false" customHeight="false" outlineLevel="0" collapsed="false">
      <c r="A934" s="7" t="s">
        <v>3969</v>
      </c>
      <c r="B934" s="7" t="s">
        <v>142</v>
      </c>
      <c r="C934" s="7" t="s">
        <v>3950</v>
      </c>
      <c r="D934" s="7" t="s">
        <v>3970</v>
      </c>
      <c r="E934" s="7" t="s">
        <v>3952</v>
      </c>
      <c r="F934" s="7" t="s">
        <v>1029</v>
      </c>
      <c r="G934" s="7" t="s">
        <v>3572</v>
      </c>
      <c r="H934" s="8" t="s">
        <v>3971</v>
      </c>
      <c r="I934" s="8" t="s">
        <v>3972</v>
      </c>
      <c r="J934" s="7" t="s">
        <v>720</v>
      </c>
      <c r="K934" s="7" t="s">
        <v>3973</v>
      </c>
      <c r="L934" s="7" t="n">
        <v>2</v>
      </c>
      <c r="M934" s="7" t="s">
        <v>1786</v>
      </c>
      <c r="N934" s="7"/>
      <c r="O934" s="7" t="s">
        <v>1150</v>
      </c>
      <c r="P934" s="7" t="s">
        <v>1183</v>
      </c>
      <c r="Q934" s="7" t="s">
        <v>1152</v>
      </c>
      <c r="R934" s="8"/>
      <c r="S934" s="12"/>
      <c r="T934" s="12"/>
    </row>
    <row r="935" customFormat="false" ht="23.85" hidden="false" customHeight="false" outlineLevel="0" collapsed="false">
      <c r="A935" s="7" t="s">
        <v>3974</v>
      </c>
      <c r="B935" s="7" t="s">
        <v>291</v>
      </c>
      <c r="C935" s="7" t="s">
        <v>3950</v>
      </c>
      <c r="D935" s="7" t="s">
        <v>3975</v>
      </c>
      <c r="E935" s="7" t="s">
        <v>3952</v>
      </c>
      <c r="F935" s="7" t="s">
        <v>1029</v>
      </c>
      <c r="G935" s="7" t="s">
        <v>3572</v>
      </c>
      <c r="H935" s="8" t="s">
        <v>3976</v>
      </c>
      <c r="I935" s="8" t="s">
        <v>3977</v>
      </c>
      <c r="J935" s="7" t="s">
        <v>720</v>
      </c>
      <c r="K935" s="7" t="s">
        <v>3978</v>
      </c>
      <c r="L935" s="7" t="n">
        <v>2</v>
      </c>
      <c r="M935" s="7" t="s">
        <v>2671</v>
      </c>
      <c r="N935" s="7"/>
      <c r="O935" s="7" t="s">
        <v>1421</v>
      </c>
      <c r="P935" s="7" t="s">
        <v>1480</v>
      </c>
      <c r="Q935" s="7" t="s">
        <v>1152</v>
      </c>
      <c r="R935" s="8"/>
      <c r="S935" s="12"/>
      <c r="T935" s="12"/>
    </row>
  </sheetData>
  <autoFilter ref="A1:T935"/>
  <dataValidations count="1">
    <dataValidation allowBlank="true" errorStyle="stop" operator="between" showDropDown="false" showErrorMessage="false" showInputMessage="false" sqref="S2:S935" type="list">
      <formula1>"Aprovar,Talvez,Descartar"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5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24"/>
    <col collapsed="false" customWidth="true" hidden="false" outlineLevel="0" max="4" min="4" style="0" width="20"/>
    <col collapsed="false" customWidth="true" hidden="false" outlineLevel="0" max="5" min="5" style="0" width="24"/>
    <col collapsed="false" customWidth="true" hidden="false" outlineLevel="0" max="6" min="6" style="0" width="44"/>
    <col collapsed="false" customWidth="true" hidden="false" outlineLevel="0" max="7" min="7" style="0" width="16"/>
    <col collapsed="false" customWidth="true" hidden="false" outlineLevel="0" max="8" min="8" style="0" width="14"/>
    <col collapsed="false" customWidth="true" hidden="false" outlineLevel="0" max="9" min="9" style="0" width="10"/>
    <col collapsed="false" customWidth="true" hidden="false" outlineLevel="0" max="10" min="10" style="0" width="70"/>
    <col collapsed="false" customWidth="true" hidden="false" outlineLevel="0" max="11" min="11" style="0" width="30"/>
    <col collapsed="false" customWidth="true" hidden="false" outlineLevel="0" max="12" min="12" style="0" width="24"/>
    <col collapsed="false" customWidth="true" hidden="false" outlineLevel="0" max="13" min="13" style="0" width="52"/>
    <col collapsed="false" customWidth="true" hidden="false" outlineLevel="0" max="14" min="14" style="0" width="11"/>
    <col collapsed="false" customWidth="true" hidden="false" outlineLevel="0" max="15" min="15" style="0" width="44"/>
    <col collapsed="false" customWidth="true" hidden="false" outlineLevel="0" max="16" min="16" style="0" width="12"/>
    <col collapsed="false" customWidth="true" hidden="false" outlineLevel="0" max="17" min="17" style="0" width="11"/>
    <col collapsed="false" customWidth="true" hidden="false" outlineLevel="0" max="18" min="18" style="0" width="16"/>
    <col collapsed="false" customWidth="true" hidden="false" outlineLevel="0" max="19" min="19" style="0" width="50"/>
    <col collapsed="false" customWidth="true" hidden="false" outlineLevel="0" max="20" min="20" style="0" width="14"/>
    <col collapsed="false" customWidth="true" hidden="false" outlineLevel="0" max="21" min="21" style="0" width="30"/>
  </cols>
  <sheetData>
    <row r="1" customFormat="false" ht="31.5" hidden="false" customHeight="true" outlineLevel="0" collapsed="false">
      <c r="A1" s="6" t="s">
        <v>1136</v>
      </c>
      <c r="B1" s="6" t="s">
        <v>3979</v>
      </c>
      <c r="C1" s="6" t="s">
        <v>3980</v>
      </c>
      <c r="D1" s="6" t="s">
        <v>1096</v>
      </c>
      <c r="E1" s="6" t="s">
        <v>1137</v>
      </c>
      <c r="F1" s="6" t="s">
        <v>1138</v>
      </c>
      <c r="G1" s="6" t="s">
        <v>1139</v>
      </c>
      <c r="H1" s="6" t="s">
        <v>32</v>
      </c>
      <c r="I1" s="6" t="s">
        <v>34</v>
      </c>
      <c r="J1" s="6" t="s">
        <v>36</v>
      </c>
      <c r="K1" s="6" t="s">
        <v>62</v>
      </c>
      <c r="L1" s="6" t="s">
        <v>38</v>
      </c>
      <c r="M1" s="6" t="s">
        <v>1140</v>
      </c>
      <c r="N1" s="6" t="s">
        <v>1141</v>
      </c>
      <c r="O1" s="6" t="s">
        <v>1142</v>
      </c>
      <c r="P1" s="6" t="s">
        <v>42</v>
      </c>
      <c r="Q1" s="6" t="s">
        <v>44</v>
      </c>
      <c r="R1" s="6" t="s">
        <v>46</v>
      </c>
      <c r="S1" s="6" t="s">
        <v>1143</v>
      </c>
      <c r="T1" s="6" t="s">
        <v>1144</v>
      </c>
      <c r="U1" s="6" t="s">
        <v>822</v>
      </c>
    </row>
    <row r="2" customFormat="false" ht="35.05" hidden="false" customHeight="false" outlineLevel="0" collapsed="false">
      <c r="A2" s="7" t="s">
        <v>3981</v>
      </c>
      <c r="B2" s="14" t="s">
        <v>3982</v>
      </c>
      <c r="C2" s="7" t="s">
        <v>1133</v>
      </c>
      <c r="D2" s="7" t="s">
        <v>471</v>
      </c>
      <c r="E2" s="7" t="s">
        <v>1146</v>
      </c>
      <c r="F2" s="7" t="s">
        <v>1133</v>
      </c>
      <c r="G2" s="7" t="s">
        <v>1147</v>
      </c>
      <c r="H2" s="7" t="s">
        <v>928</v>
      </c>
      <c r="I2" s="7" t="s">
        <v>1148</v>
      </c>
      <c r="J2" s="8" t="s">
        <v>3983</v>
      </c>
      <c r="K2" s="8" t="s">
        <v>474</v>
      </c>
      <c r="L2" s="7" t="s">
        <v>81</v>
      </c>
      <c r="M2" s="7" t="s">
        <v>472</v>
      </c>
      <c r="N2" s="7" t="n">
        <v>1</v>
      </c>
      <c r="O2" s="7" t="s">
        <v>67</v>
      </c>
      <c r="P2" s="7" t="s">
        <v>1150</v>
      </c>
      <c r="Q2" s="7" t="s">
        <v>1183</v>
      </c>
      <c r="R2" s="7" t="s">
        <v>1152</v>
      </c>
      <c r="S2" s="8" t="s">
        <v>3984</v>
      </c>
      <c r="T2" s="12"/>
      <c r="U2" s="12"/>
    </row>
    <row r="3" customFormat="false" ht="35.05" hidden="false" customHeight="false" outlineLevel="0" collapsed="false">
      <c r="A3" s="7" t="s">
        <v>3985</v>
      </c>
      <c r="B3" s="14" t="s">
        <v>3986</v>
      </c>
      <c r="C3" s="7" t="s">
        <v>476</v>
      </c>
      <c r="D3" s="7" t="s">
        <v>471</v>
      </c>
      <c r="E3" s="7" t="s">
        <v>857</v>
      </c>
      <c r="F3" s="7" t="s">
        <v>476</v>
      </c>
      <c r="G3" s="7" t="s">
        <v>3987</v>
      </c>
      <c r="H3" s="7" t="s">
        <v>928</v>
      </c>
      <c r="I3" s="7" t="s">
        <v>1148</v>
      </c>
      <c r="J3" s="8" t="s">
        <v>3988</v>
      </c>
      <c r="K3" s="8" t="s">
        <v>474</v>
      </c>
      <c r="L3" s="7" t="s">
        <v>478</v>
      </c>
      <c r="M3" s="7" t="s">
        <v>477</v>
      </c>
      <c r="N3" s="7" t="n">
        <v>2</v>
      </c>
      <c r="O3" s="7" t="s">
        <v>472</v>
      </c>
      <c r="P3" s="7" t="s">
        <v>1150</v>
      </c>
      <c r="Q3" s="7" t="s">
        <v>1183</v>
      </c>
      <c r="R3" s="7" t="s">
        <v>1152</v>
      </c>
      <c r="S3" s="8"/>
      <c r="T3" s="12"/>
      <c r="U3" s="12"/>
    </row>
    <row r="4" customFormat="false" ht="35.05" hidden="false" customHeight="false" outlineLevel="0" collapsed="false">
      <c r="A4" s="7" t="s">
        <v>3989</v>
      </c>
      <c r="B4" s="14" t="s">
        <v>3990</v>
      </c>
      <c r="C4" s="7" t="s">
        <v>476</v>
      </c>
      <c r="D4" s="7" t="s">
        <v>471</v>
      </c>
      <c r="E4" s="7" t="s">
        <v>476</v>
      </c>
      <c r="F4" s="7" t="s">
        <v>3991</v>
      </c>
      <c r="G4" s="7" t="s">
        <v>3992</v>
      </c>
      <c r="H4" s="7" t="s">
        <v>928</v>
      </c>
      <c r="I4" s="7" t="s">
        <v>1148</v>
      </c>
      <c r="J4" s="8" t="s">
        <v>3993</v>
      </c>
      <c r="K4" s="8" t="s">
        <v>474</v>
      </c>
      <c r="L4" s="7" t="s">
        <v>483</v>
      </c>
      <c r="M4" s="7" t="s">
        <v>3994</v>
      </c>
      <c r="N4" s="7" t="n">
        <v>3</v>
      </c>
      <c r="O4" s="7" t="s">
        <v>477</v>
      </c>
      <c r="P4" s="7" t="s">
        <v>1150</v>
      </c>
      <c r="Q4" s="7" t="s">
        <v>1183</v>
      </c>
      <c r="R4" s="7" t="s">
        <v>1152</v>
      </c>
      <c r="S4" s="8" t="s">
        <v>3984</v>
      </c>
      <c r="T4" s="12"/>
      <c r="U4" s="12"/>
    </row>
    <row r="5" customFormat="false" ht="46.25" hidden="false" customHeight="false" outlineLevel="0" collapsed="false">
      <c r="A5" s="7" t="s">
        <v>3995</v>
      </c>
      <c r="B5" s="14" t="s">
        <v>3990</v>
      </c>
      <c r="C5" s="7" t="s">
        <v>476</v>
      </c>
      <c r="D5" s="7" t="s">
        <v>471</v>
      </c>
      <c r="E5" s="7" t="s">
        <v>476</v>
      </c>
      <c r="F5" s="7" t="s">
        <v>3996</v>
      </c>
      <c r="G5" s="7" t="s">
        <v>3992</v>
      </c>
      <c r="H5" s="7" t="s">
        <v>943</v>
      </c>
      <c r="I5" s="7" t="s">
        <v>1424</v>
      </c>
      <c r="J5" s="8" t="s">
        <v>3997</v>
      </c>
      <c r="K5" s="8" t="s">
        <v>474</v>
      </c>
      <c r="L5" s="7" t="s">
        <v>606</v>
      </c>
      <c r="M5" s="7" t="s">
        <v>3998</v>
      </c>
      <c r="N5" s="7" t="n">
        <v>4</v>
      </c>
      <c r="O5" s="7" t="s">
        <v>3994</v>
      </c>
      <c r="P5" s="7" t="s">
        <v>1150</v>
      </c>
      <c r="Q5" s="7" t="s">
        <v>1183</v>
      </c>
      <c r="R5" s="7" t="s">
        <v>1152</v>
      </c>
      <c r="S5" s="8" t="s">
        <v>3999</v>
      </c>
      <c r="T5" s="12"/>
      <c r="U5" s="12"/>
    </row>
    <row r="6" customFormat="false" ht="46.25" hidden="false" customHeight="false" outlineLevel="0" collapsed="false">
      <c r="A6" s="7" t="s">
        <v>4000</v>
      </c>
      <c r="B6" s="14" t="s">
        <v>3990</v>
      </c>
      <c r="C6" s="7" t="s">
        <v>476</v>
      </c>
      <c r="D6" s="7" t="s">
        <v>471</v>
      </c>
      <c r="E6" s="7" t="s">
        <v>476</v>
      </c>
      <c r="F6" s="7" t="s">
        <v>4001</v>
      </c>
      <c r="G6" s="7" t="s">
        <v>3992</v>
      </c>
      <c r="H6" s="7" t="s">
        <v>943</v>
      </c>
      <c r="I6" s="7" t="s">
        <v>1424</v>
      </c>
      <c r="J6" s="8" t="s">
        <v>4002</v>
      </c>
      <c r="K6" s="8" t="s">
        <v>474</v>
      </c>
      <c r="L6" s="7" t="s">
        <v>998</v>
      </c>
      <c r="M6" s="7" t="s">
        <v>4003</v>
      </c>
      <c r="N6" s="7" t="s">
        <v>952</v>
      </c>
      <c r="O6" s="7" t="s">
        <v>3994</v>
      </c>
      <c r="P6" s="7" t="s">
        <v>1150</v>
      </c>
      <c r="Q6" s="7" t="s">
        <v>1480</v>
      </c>
      <c r="R6" s="7" t="s">
        <v>1152</v>
      </c>
      <c r="S6" s="8" t="s">
        <v>4004</v>
      </c>
      <c r="T6" s="12"/>
      <c r="U6" s="12"/>
    </row>
    <row r="7" customFormat="false" ht="46.25" hidden="false" customHeight="false" outlineLevel="0" collapsed="false">
      <c r="A7" s="7" t="s">
        <v>4005</v>
      </c>
      <c r="B7" s="14" t="s">
        <v>3990</v>
      </c>
      <c r="C7" s="7" t="s">
        <v>476</v>
      </c>
      <c r="D7" s="7" t="s">
        <v>471</v>
      </c>
      <c r="E7" s="7" t="s">
        <v>476</v>
      </c>
      <c r="F7" s="7" t="s">
        <v>4006</v>
      </c>
      <c r="G7" s="7" t="s">
        <v>3992</v>
      </c>
      <c r="H7" s="7" t="s">
        <v>943</v>
      </c>
      <c r="I7" s="7" t="s">
        <v>1424</v>
      </c>
      <c r="J7" s="8" t="s">
        <v>4007</v>
      </c>
      <c r="K7" s="8" t="s">
        <v>474</v>
      </c>
      <c r="L7" s="7" t="s">
        <v>998</v>
      </c>
      <c r="M7" s="7" t="s">
        <v>4008</v>
      </c>
      <c r="N7" s="7" t="s">
        <v>952</v>
      </c>
      <c r="O7" s="7" t="s">
        <v>3994</v>
      </c>
      <c r="P7" s="7" t="s">
        <v>1150</v>
      </c>
      <c r="Q7" s="7" t="s">
        <v>1480</v>
      </c>
      <c r="R7" s="7" t="s">
        <v>1152</v>
      </c>
      <c r="S7" s="8" t="s">
        <v>4009</v>
      </c>
      <c r="T7" s="12"/>
      <c r="U7" s="12"/>
    </row>
    <row r="8" customFormat="false" ht="46.25" hidden="false" customHeight="false" outlineLevel="0" collapsed="false">
      <c r="A8" s="7" t="s">
        <v>4010</v>
      </c>
      <c r="B8" s="14" t="s">
        <v>3990</v>
      </c>
      <c r="C8" s="7" t="s">
        <v>476</v>
      </c>
      <c r="D8" s="7" t="s">
        <v>471</v>
      </c>
      <c r="E8" s="7" t="s">
        <v>476</v>
      </c>
      <c r="F8" s="7" t="s">
        <v>4011</v>
      </c>
      <c r="G8" s="7" t="s">
        <v>3992</v>
      </c>
      <c r="H8" s="7" t="s">
        <v>943</v>
      </c>
      <c r="I8" s="7" t="s">
        <v>1424</v>
      </c>
      <c r="J8" s="8" t="s">
        <v>4012</v>
      </c>
      <c r="K8" s="8" t="s">
        <v>474</v>
      </c>
      <c r="L8" s="7" t="s">
        <v>998</v>
      </c>
      <c r="M8" s="7" t="s">
        <v>4013</v>
      </c>
      <c r="N8" s="7" t="s">
        <v>952</v>
      </c>
      <c r="O8" s="7" t="s">
        <v>3994</v>
      </c>
      <c r="P8" s="7" t="s">
        <v>1150</v>
      </c>
      <c r="Q8" s="7" t="s">
        <v>1480</v>
      </c>
      <c r="R8" s="13" t="s">
        <v>1790</v>
      </c>
      <c r="S8" s="8" t="s">
        <v>4014</v>
      </c>
      <c r="T8" s="12"/>
      <c r="U8" s="12"/>
    </row>
    <row r="9" customFormat="false" ht="35.05" hidden="false" customHeight="false" outlineLevel="0" collapsed="false">
      <c r="A9" s="7" t="s">
        <v>4015</v>
      </c>
      <c r="B9" s="14" t="s">
        <v>4016</v>
      </c>
      <c r="C9" s="7" t="s">
        <v>476</v>
      </c>
      <c r="D9" s="7" t="s">
        <v>471</v>
      </c>
      <c r="E9" s="7" t="s">
        <v>476</v>
      </c>
      <c r="F9" s="7" t="s">
        <v>4017</v>
      </c>
      <c r="G9" s="7" t="s">
        <v>3992</v>
      </c>
      <c r="H9" s="7" t="s">
        <v>928</v>
      </c>
      <c r="I9" s="7" t="s">
        <v>1148</v>
      </c>
      <c r="J9" s="8" t="s">
        <v>4018</v>
      </c>
      <c r="K9" s="8" t="s">
        <v>474</v>
      </c>
      <c r="L9" s="7" t="s">
        <v>483</v>
      </c>
      <c r="M9" s="7" t="s">
        <v>4019</v>
      </c>
      <c r="N9" s="7" t="n">
        <v>3</v>
      </c>
      <c r="O9" s="7" t="s">
        <v>477</v>
      </c>
      <c r="P9" s="7" t="s">
        <v>1150</v>
      </c>
      <c r="Q9" s="7" t="s">
        <v>1183</v>
      </c>
      <c r="R9" s="7" t="s">
        <v>1152</v>
      </c>
      <c r="S9" s="8" t="s">
        <v>3984</v>
      </c>
      <c r="T9" s="12"/>
      <c r="U9" s="12"/>
    </row>
    <row r="10" customFormat="false" ht="46.25" hidden="false" customHeight="false" outlineLevel="0" collapsed="false">
      <c r="A10" s="7" t="s">
        <v>4020</v>
      </c>
      <c r="B10" s="14" t="s">
        <v>4016</v>
      </c>
      <c r="C10" s="7" t="s">
        <v>476</v>
      </c>
      <c r="D10" s="7" t="s">
        <v>471</v>
      </c>
      <c r="E10" s="7" t="s">
        <v>476</v>
      </c>
      <c r="F10" s="7" t="s">
        <v>4021</v>
      </c>
      <c r="G10" s="7" t="s">
        <v>3992</v>
      </c>
      <c r="H10" s="7" t="s">
        <v>943</v>
      </c>
      <c r="I10" s="7" t="s">
        <v>1424</v>
      </c>
      <c r="J10" s="8" t="s">
        <v>4022</v>
      </c>
      <c r="K10" s="8" t="s">
        <v>474</v>
      </c>
      <c r="L10" s="7" t="s">
        <v>606</v>
      </c>
      <c r="M10" s="7" t="s">
        <v>4023</v>
      </c>
      <c r="N10" s="7" t="n">
        <v>4</v>
      </c>
      <c r="O10" s="7" t="s">
        <v>4019</v>
      </c>
      <c r="P10" s="7" t="s">
        <v>1150</v>
      </c>
      <c r="Q10" s="7" t="s">
        <v>1183</v>
      </c>
      <c r="R10" s="7" t="s">
        <v>1152</v>
      </c>
      <c r="S10" s="8" t="s">
        <v>3999</v>
      </c>
      <c r="T10" s="12"/>
      <c r="U10" s="12"/>
    </row>
    <row r="11" customFormat="false" ht="46.25" hidden="false" customHeight="false" outlineLevel="0" collapsed="false">
      <c r="A11" s="7" t="s">
        <v>4024</v>
      </c>
      <c r="B11" s="14" t="s">
        <v>4016</v>
      </c>
      <c r="C11" s="7" t="s">
        <v>476</v>
      </c>
      <c r="D11" s="7" t="s">
        <v>471</v>
      </c>
      <c r="E11" s="7" t="s">
        <v>476</v>
      </c>
      <c r="F11" s="7" t="s">
        <v>4025</v>
      </c>
      <c r="G11" s="7" t="s">
        <v>3992</v>
      </c>
      <c r="H11" s="7" t="s">
        <v>943</v>
      </c>
      <c r="I11" s="7" t="s">
        <v>1424</v>
      </c>
      <c r="J11" s="8" t="s">
        <v>4026</v>
      </c>
      <c r="K11" s="8" t="s">
        <v>474</v>
      </c>
      <c r="L11" s="7" t="s">
        <v>998</v>
      </c>
      <c r="M11" s="7" t="s">
        <v>4027</v>
      </c>
      <c r="N11" s="7" t="s">
        <v>952</v>
      </c>
      <c r="O11" s="7" t="s">
        <v>4019</v>
      </c>
      <c r="P11" s="7" t="s">
        <v>1150</v>
      </c>
      <c r="Q11" s="7" t="s">
        <v>1480</v>
      </c>
      <c r="R11" s="7" t="s">
        <v>1152</v>
      </c>
      <c r="S11" s="8" t="s">
        <v>4004</v>
      </c>
      <c r="T11" s="12"/>
      <c r="U11" s="12"/>
    </row>
    <row r="12" customFormat="false" ht="46.25" hidden="false" customHeight="false" outlineLevel="0" collapsed="false">
      <c r="A12" s="7" t="s">
        <v>4028</v>
      </c>
      <c r="B12" s="14" t="s">
        <v>4016</v>
      </c>
      <c r="C12" s="7" t="s">
        <v>476</v>
      </c>
      <c r="D12" s="7" t="s">
        <v>471</v>
      </c>
      <c r="E12" s="7" t="s">
        <v>476</v>
      </c>
      <c r="F12" s="7" t="s">
        <v>4029</v>
      </c>
      <c r="G12" s="7" t="s">
        <v>3992</v>
      </c>
      <c r="H12" s="7" t="s">
        <v>943</v>
      </c>
      <c r="I12" s="7" t="s">
        <v>1424</v>
      </c>
      <c r="J12" s="8" t="s">
        <v>4030</v>
      </c>
      <c r="K12" s="8" t="s">
        <v>474</v>
      </c>
      <c r="L12" s="7" t="s">
        <v>998</v>
      </c>
      <c r="M12" s="7" t="s">
        <v>4031</v>
      </c>
      <c r="N12" s="7" t="s">
        <v>952</v>
      </c>
      <c r="O12" s="7" t="s">
        <v>4019</v>
      </c>
      <c r="P12" s="7" t="s">
        <v>1150</v>
      </c>
      <c r="Q12" s="7" t="s">
        <v>1480</v>
      </c>
      <c r="R12" s="7" t="s">
        <v>1152</v>
      </c>
      <c r="S12" s="8" t="s">
        <v>4009</v>
      </c>
      <c r="T12" s="12"/>
      <c r="U12" s="12"/>
    </row>
    <row r="13" customFormat="false" ht="46.25" hidden="false" customHeight="false" outlineLevel="0" collapsed="false">
      <c r="A13" s="7" t="s">
        <v>4032</v>
      </c>
      <c r="B13" s="14" t="s">
        <v>4016</v>
      </c>
      <c r="C13" s="7" t="s">
        <v>476</v>
      </c>
      <c r="D13" s="7" t="s">
        <v>471</v>
      </c>
      <c r="E13" s="7" t="s">
        <v>476</v>
      </c>
      <c r="F13" s="7" t="s">
        <v>4033</v>
      </c>
      <c r="G13" s="7" t="s">
        <v>3992</v>
      </c>
      <c r="H13" s="7" t="s">
        <v>943</v>
      </c>
      <c r="I13" s="7" t="s">
        <v>1424</v>
      </c>
      <c r="J13" s="8" t="s">
        <v>4034</v>
      </c>
      <c r="K13" s="8" t="s">
        <v>474</v>
      </c>
      <c r="L13" s="7" t="s">
        <v>998</v>
      </c>
      <c r="M13" s="7" t="s">
        <v>4035</v>
      </c>
      <c r="N13" s="7" t="s">
        <v>952</v>
      </c>
      <c r="O13" s="7" t="s">
        <v>4019</v>
      </c>
      <c r="P13" s="7" t="s">
        <v>1150</v>
      </c>
      <c r="Q13" s="7" t="s">
        <v>1480</v>
      </c>
      <c r="R13" s="13" t="s">
        <v>1790</v>
      </c>
      <c r="S13" s="8" t="s">
        <v>4014</v>
      </c>
      <c r="T13" s="12"/>
      <c r="U13" s="12"/>
    </row>
    <row r="14" customFormat="false" ht="35.05" hidden="false" customHeight="false" outlineLevel="0" collapsed="false">
      <c r="A14" s="7" t="s">
        <v>4036</v>
      </c>
      <c r="B14" s="14" t="s">
        <v>4037</v>
      </c>
      <c r="C14" s="7" t="s">
        <v>476</v>
      </c>
      <c r="D14" s="7" t="s">
        <v>471</v>
      </c>
      <c r="E14" s="7" t="s">
        <v>476</v>
      </c>
      <c r="F14" s="7" t="s">
        <v>4038</v>
      </c>
      <c r="G14" s="7" t="s">
        <v>3992</v>
      </c>
      <c r="H14" s="7" t="s">
        <v>928</v>
      </c>
      <c r="I14" s="7" t="s">
        <v>1148</v>
      </c>
      <c r="J14" s="8" t="s">
        <v>4039</v>
      </c>
      <c r="K14" s="8" t="s">
        <v>474</v>
      </c>
      <c r="L14" s="7" t="s">
        <v>483</v>
      </c>
      <c r="M14" s="7" t="s">
        <v>4040</v>
      </c>
      <c r="N14" s="7" t="n">
        <v>3</v>
      </c>
      <c r="O14" s="7" t="s">
        <v>477</v>
      </c>
      <c r="P14" s="7" t="s">
        <v>1150</v>
      </c>
      <c r="Q14" s="7" t="s">
        <v>1480</v>
      </c>
      <c r="R14" s="7" t="s">
        <v>1152</v>
      </c>
      <c r="S14" s="8" t="s">
        <v>3984</v>
      </c>
      <c r="T14" s="12"/>
      <c r="U14" s="12"/>
    </row>
    <row r="15" customFormat="false" ht="46.25" hidden="false" customHeight="false" outlineLevel="0" collapsed="false">
      <c r="A15" s="7" t="s">
        <v>4041</v>
      </c>
      <c r="B15" s="14" t="s">
        <v>4037</v>
      </c>
      <c r="C15" s="7" t="s">
        <v>476</v>
      </c>
      <c r="D15" s="7" t="s">
        <v>471</v>
      </c>
      <c r="E15" s="7" t="s">
        <v>476</v>
      </c>
      <c r="F15" s="7" t="s">
        <v>4042</v>
      </c>
      <c r="G15" s="7" t="s">
        <v>3992</v>
      </c>
      <c r="H15" s="7" t="s">
        <v>943</v>
      </c>
      <c r="I15" s="7" t="s">
        <v>1424</v>
      </c>
      <c r="J15" s="8" t="s">
        <v>4043</v>
      </c>
      <c r="K15" s="8" t="s">
        <v>474</v>
      </c>
      <c r="L15" s="7" t="s">
        <v>606</v>
      </c>
      <c r="M15" s="7" t="s">
        <v>4044</v>
      </c>
      <c r="N15" s="7" t="n">
        <v>4</v>
      </c>
      <c r="O15" s="7" t="s">
        <v>4040</v>
      </c>
      <c r="P15" s="7" t="s">
        <v>1150</v>
      </c>
      <c r="Q15" s="7" t="s">
        <v>1480</v>
      </c>
      <c r="R15" s="7" t="s">
        <v>1152</v>
      </c>
      <c r="S15" s="8" t="s">
        <v>3999</v>
      </c>
      <c r="T15" s="12"/>
      <c r="U15" s="12"/>
    </row>
    <row r="16" customFormat="false" ht="46.25" hidden="false" customHeight="false" outlineLevel="0" collapsed="false">
      <c r="A16" s="7" t="s">
        <v>4045</v>
      </c>
      <c r="B16" s="14" t="s">
        <v>4037</v>
      </c>
      <c r="C16" s="7" t="s">
        <v>476</v>
      </c>
      <c r="D16" s="7" t="s">
        <v>471</v>
      </c>
      <c r="E16" s="7" t="s">
        <v>476</v>
      </c>
      <c r="F16" s="7" t="s">
        <v>4046</v>
      </c>
      <c r="G16" s="7" t="s">
        <v>3992</v>
      </c>
      <c r="H16" s="7" t="s">
        <v>943</v>
      </c>
      <c r="I16" s="7" t="s">
        <v>1424</v>
      </c>
      <c r="J16" s="8" t="s">
        <v>4047</v>
      </c>
      <c r="K16" s="8" t="s">
        <v>474</v>
      </c>
      <c r="L16" s="7" t="s">
        <v>998</v>
      </c>
      <c r="M16" s="7" t="s">
        <v>4048</v>
      </c>
      <c r="N16" s="7" t="s">
        <v>952</v>
      </c>
      <c r="O16" s="7" t="s">
        <v>4040</v>
      </c>
      <c r="P16" s="7" t="s">
        <v>1150</v>
      </c>
      <c r="Q16" s="7" t="s">
        <v>1480</v>
      </c>
      <c r="R16" s="7" t="s">
        <v>1152</v>
      </c>
      <c r="S16" s="8" t="s">
        <v>4004</v>
      </c>
      <c r="T16" s="12"/>
      <c r="U16" s="12"/>
    </row>
    <row r="17" customFormat="false" ht="46.25" hidden="false" customHeight="false" outlineLevel="0" collapsed="false">
      <c r="A17" s="7" t="s">
        <v>4049</v>
      </c>
      <c r="B17" s="14" t="s">
        <v>4037</v>
      </c>
      <c r="C17" s="7" t="s">
        <v>476</v>
      </c>
      <c r="D17" s="7" t="s">
        <v>471</v>
      </c>
      <c r="E17" s="7" t="s">
        <v>476</v>
      </c>
      <c r="F17" s="7" t="s">
        <v>4050</v>
      </c>
      <c r="G17" s="7" t="s">
        <v>3992</v>
      </c>
      <c r="H17" s="7" t="s">
        <v>943</v>
      </c>
      <c r="I17" s="7" t="s">
        <v>1424</v>
      </c>
      <c r="J17" s="8" t="s">
        <v>4051</v>
      </c>
      <c r="K17" s="8" t="s">
        <v>474</v>
      </c>
      <c r="L17" s="7" t="s">
        <v>998</v>
      </c>
      <c r="M17" s="7" t="s">
        <v>4052</v>
      </c>
      <c r="N17" s="7" t="s">
        <v>952</v>
      </c>
      <c r="O17" s="7" t="s">
        <v>4040</v>
      </c>
      <c r="P17" s="7" t="s">
        <v>1150</v>
      </c>
      <c r="Q17" s="7" t="s">
        <v>1480</v>
      </c>
      <c r="R17" s="7" t="s">
        <v>1152</v>
      </c>
      <c r="S17" s="8" t="s">
        <v>4009</v>
      </c>
      <c r="T17" s="12"/>
      <c r="U17" s="12"/>
    </row>
    <row r="18" customFormat="false" ht="46.25" hidden="false" customHeight="false" outlineLevel="0" collapsed="false">
      <c r="A18" s="7" t="s">
        <v>4053</v>
      </c>
      <c r="B18" s="14" t="s">
        <v>4037</v>
      </c>
      <c r="C18" s="7" t="s">
        <v>476</v>
      </c>
      <c r="D18" s="7" t="s">
        <v>471</v>
      </c>
      <c r="E18" s="7" t="s">
        <v>476</v>
      </c>
      <c r="F18" s="7" t="s">
        <v>4054</v>
      </c>
      <c r="G18" s="7" t="s">
        <v>3992</v>
      </c>
      <c r="H18" s="7" t="s">
        <v>943</v>
      </c>
      <c r="I18" s="7" t="s">
        <v>1424</v>
      </c>
      <c r="J18" s="8" t="s">
        <v>4055</v>
      </c>
      <c r="K18" s="8" t="s">
        <v>474</v>
      </c>
      <c r="L18" s="7" t="s">
        <v>998</v>
      </c>
      <c r="M18" s="7" t="s">
        <v>4056</v>
      </c>
      <c r="N18" s="7" t="s">
        <v>952</v>
      </c>
      <c r="O18" s="7" t="s">
        <v>4040</v>
      </c>
      <c r="P18" s="7" t="s">
        <v>1150</v>
      </c>
      <c r="Q18" s="7" t="s">
        <v>1480</v>
      </c>
      <c r="R18" s="13" t="s">
        <v>1790</v>
      </c>
      <c r="S18" s="8" t="s">
        <v>4014</v>
      </c>
      <c r="T18" s="12"/>
      <c r="U18" s="12"/>
    </row>
    <row r="19" customFormat="false" ht="35.05" hidden="false" customHeight="false" outlineLevel="0" collapsed="false">
      <c r="A19" s="7" t="s">
        <v>4057</v>
      </c>
      <c r="B19" s="14" t="s">
        <v>3986</v>
      </c>
      <c r="C19" s="7" t="s">
        <v>486</v>
      </c>
      <c r="D19" s="7" t="s">
        <v>471</v>
      </c>
      <c r="E19" s="7" t="s">
        <v>857</v>
      </c>
      <c r="F19" s="7" t="s">
        <v>486</v>
      </c>
      <c r="G19" s="7" t="s">
        <v>3987</v>
      </c>
      <c r="H19" s="7" t="s">
        <v>928</v>
      </c>
      <c r="I19" s="7" t="s">
        <v>1148</v>
      </c>
      <c r="J19" s="8" t="s">
        <v>4058</v>
      </c>
      <c r="K19" s="8" t="s">
        <v>474</v>
      </c>
      <c r="L19" s="7" t="s">
        <v>478</v>
      </c>
      <c r="M19" s="7" t="s">
        <v>487</v>
      </c>
      <c r="N19" s="7" t="n">
        <v>2</v>
      </c>
      <c r="O19" s="7" t="s">
        <v>472</v>
      </c>
      <c r="P19" s="7" t="s">
        <v>1150</v>
      </c>
      <c r="Q19" s="7" t="s">
        <v>1183</v>
      </c>
      <c r="R19" s="7" t="s">
        <v>1152</v>
      </c>
      <c r="S19" s="8"/>
      <c r="T19" s="12"/>
      <c r="U19" s="12"/>
    </row>
    <row r="20" customFormat="false" ht="35.05" hidden="false" customHeight="false" outlineLevel="0" collapsed="false">
      <c r="A20" s="7" t="s">
        <v>4059</v>
      </c>
      <c r="B20" s="14" t="s">
        <v>4060</v>
      </c>
      <c r="C20" s="7" t="s">
        <v>486</v>
      </c>
      <c r="D20" s="7" t="s">
        <v>471</v>
      </c>
      <c r="E20" s="7" t="s">
        <v>486</v>
      </c>
      <c r="F20" s="7" t="s">
        <v>4061</v>
      </c>
      <c r="G20" s="7" t="s">
        <v>3992</v>
      </c>
      <c r="H20" s="7" t="s">
        <v>928</v>
      </c>
      <c r="I20" s="7" t="s">
        <v>1148</v>
      </c>
      <c r="J20" s="8" t="s">
        <v>4062</v>
      </c>
      <c r="K20" s="8" t="s">
        <v>474</v>
      </c>
      <c r="L20" s="7" t="s">
        <v>483</v>
      </c>
      <c r="M20" s="7" t="s">
        <v>4063</v>
      </c>
      <c r="N20" s="7" t="n">
        <v>3</v>
      </c>
      <c r="O20" s="7" t="s">
        <v>487</v>
      </c>
      <c r="P20" s="7" t="s">
        <v>1150</v>
      </c>
      <c r="Q20" s="7" t="s">
        <v>1183</v>
      </c>
      <c r="R20" s="7" t="s">
        <v>1152</v>
      </c>
      <c r="S20" s="8" t="s">
        <v>3984</v>
      </c>
      <c r="T20" s="12"/>
      <c r="U20" s="12"/>
    </row>
    <row r="21" customFormat="false" ht="46.25" hidden="false" customHeight="false" outlineLevel="0" collapsed="false">
      <c r="A21" s="7" t="s">
        <v>4064</v>
      </c>
      <c r="B21" s="14" t="s">
        <v>4060</v>
      </c>
      <c r="C21" s="7" t="s">
        <v>486</v>
      </c>
      <c r="D21" s="7" t="s">
        <v>471</v>
      </c>
      <c r="E21" s="7" t="s">
        <v>486</v>
      </c>
      <c r="F21" s="7" t="s">
        <v>4065</v>
      </c>
      <c r="G21" s="7" t="s">
        <v>3992</v>
      </c>
      <c r="H21" s="7" t="s">
        <v>928</v>
      </c>
      <c r="I21" s="7" t="s">
        <v>1148</v>
      </c>
      <c r="J21" s="8" t="s">
        <v>4066</v>
      </c>
      <c r="K21" s="8" t="s">
        <v>474</v>
      </c>
      <c r="L21" s="7" t="s">
        <v>998</v>
      </c>
      <c r="M21" s="7" t="s">
        <v>4067</v>
      </c>
      <c r="N21" s="7" t="s">
        <v>952</v>
      </c>
      <c r="O21" s="7" t="s">
        <v>4063</v>
      </c>
      <c r="P21" s="7" t="s">
        <v>1150</v>
      </c>
      <c r="Q21" s="7" t="s">
        <v>1480</v>
      </c>
      <c r="R21" s="7" t="s">
        <v>1152</v>
      </c>
      <c r="S21" s="8" t="s">
        <v>4068</v>
      </c>
      <c r="T21" s="12"/>
      <c r="U21" s="12"/>
    </row>
    <row r="22" customFormat="false" ht="46.25" hidden="false" customHeight="false" outlineLevel="0" collapsed="false">
      <c r="A22" s="7" t="s">
        <v>4069</v>
      </c>
      <c r="B22" s="14" t="s">
        <v>4060</v>
      </c>
      <c r="C22" s="7" t="s">
        <v>486</v>
      </c>
      <c r="D22" s="7" t="s">
        <v>471</v>
      </c>
      <c r="E22" s="7" t="s">
        <v>486</v>
      </c>
      <c r="F22" s="7" t="s">
        <v>4070</v>
      </c>
      <c r="G22" s="7" t="s">
        <v>3992</v>
      </c>
      <c r="H22" s="7" t="s">
        <v>943</v>
      </c>
      <c r="I22" s="7" t="s">
        <v>1424</v>
      </c>
      <c r="J22" s="8" t="s">
        <v>4071</v>
      </c>
      <c r="K22" s="8" t="s">
        <v>474</v>
      </c>
      <c r="L22" s="7" t="s">
        <v>606</v>
      </c>
      <c r="M22" s="7" t="s">
        <v>4072</v>
      </c>
      <c r="N22" s="7" t="n">
        <v>4</v>
      </c>
      <c r="O22" s="7" t="s">
        <v>4063</v>
      </c>
      <c r="P22" s="7" t="s">
        <v>1150</v>
      </c>
      <c r="Q22" s="7" t="s">
        <v>1183</v>
      </c>
      <c r="R22" s="13" t="s">
        <v>1790</v>
      </c>
      <c r="S22" s="8" t="s">
        <v>4073</v>
      </c>
      <c r="T22" s="12"/>
      <c r="U22" s="12"/>
    </row>
    <row r="23" customFormat="false" ht="46.25" hidden="false" customHeight="false" outlineLevel="0" collapsed="false">
      <c r="A23" s="7" t="s">
        <v>4074</v>
      </c>
      <c r="B23" s="14" t="s">
        <v>4060</v>
      </c>
      <c r="C23" s="7" t="s">
        <v>486</v>
      </c>
      <c r="D23" s="7" t="s">
        <v>471</v>
      </c>
      <c r="E23" s="7" t="s">
        <v>486</v>
      </c>
      <c r="F23" s="7" t="s">
        <v>4075</v>
      </c>
      <c r="G23" s="7" t="s">
        <v>3992</v>
      </c>
      <c r="H23" s="7" t="s">
        <v>943</v>
      </c>
      <c r="I23" s="7" t="s">
        <v>1424</v>
      </c>
      <c r="J23" s="8" t="s">
        <v>4076</v>
      </c>
      <c r="K23" s="8" t="s">
        <v>474</v>
      </c>
      <c r="L23" s="7" t="s">
        <v>998</v>
      </c>
      <c r="M23" s="7" t="s">
        <v>4077</v>
      </c>
      <c r="N23" s="7" t="s">
        <v>952</v>
      </c>
      <c r="O23" s="7" t="s">
        <v>4063</v>
      </c>
      <c r="P23" s="7" t="s">
        <v>1150</v>
      </c>
      <c r="Q23" s="7" t="s">
        <v>1480</v>
      </c>
      <c r="R23" s="7" t="s">
        <v>1152</v>
      </c>
      <c r="S23" s="8" t="s">
        <v>4078</v>
      </c>
      <c r="T23" s="12"/>
      <c r="U23" s="12"/>
    </row>
    <row r="24" customFormat="false" ht="35.05" hidden="false" customHeight="false" outlineLevel="0" collapsed="false">
      <c r="A24" s="7" t="s">
        <v>4079</v>
      </c>
      <c r="B24" s="14" t="s">
        <v>4080</v>
      </c>
      <c r="C24" s="7" t="s">
        <v>486</v>
      </c>
      <c r="D24" s="7" t="s">
        <v>471</v>
      </c>
      <c r="E24" s="7" t="s">
        <v>486</v>
      </c>
      <c r="F24" s="7" t="s">
        <v>4081</v>
      </c>
      <c r="G24" s="7" t="s">
        <v>3992</v>
      </c>
      <c r="H24" s="7" t="s">
        <v>928</v>
      </c>
      <c r="I24" s="7" t="s">
        <v>1148</v>
      </c>
      <c r="J24" s="8" t="s">
        <v>4082</v>
      </c>
      <c r="K24" s="8" t="s">
        <v>474</v>
      </c>
      <c r="L24" s="7" t="s">
        <v>483</v>
      </c>
      <c r="M24" s="7" t="s">
        <v>4083</v>
      </c>
      <c r="N24" s="7" t="n">
        <v>3</v>
      </c>
      <c r="O24" s="7" t="s">
        <v>487</v>
      </c>
      <c r="P24" s="7" t="s">
        <v>1150</v>
      </c>
      <c r="Q24" s="7" t="s">
        <v>1480</v>
      </c>
      <c r="R24" s="7" t="s">
        <v>1152</v>
      </c>
      <c r="S24" s="8" t="s">
        <v>3984</v>
      </c>
      <c r="T24" s="12"/>
      <c r="U24" s="12"/>
    </row>
    <row r="25" customFormat="false" ht="46.25" hidden="false" customHeight="false" outlineLevel="0" collapsed="false">
      <c r="A25" s="7" t="s">
        <v>4084</v>
      </c>
      <c r="B25" s="14" t="s">
        <v>4080</v>
      </c>
      <c r="C25" s="7" t="s">
        <v>486</v>
      </c>
      <c r="D25" s="7" t="s">
        <v>471</v>
      </c>
      <c r="E25" s="7" t="s">
        <v>486</v>
      </c>
      <c r="F25" s="7" t="s">
        <v>4085</v>
      </c>
      <c r="G25" s="7" t="s">
        <v>3992</v>
      </c>
      <c r="H25" s="7" t="s">
        <v>928</v>
      </c>
      <c r="I25" s="7" t="s">
        <v>1148</v>
      </c>
      <c r="J25" s="8" t="s">
        <v>4086</v>
      </c>
      <c r="K25" s="8" t="s">
        <v>474</v>
      </c>
      <c r="L25" s="7" t="s">
        <v>998</v>
      </c>
      <c r="M25" s="7" t="s">
        <v>4087</v>
      </c>
      <c r="N25" s="7" t="s">
        <v>952</v>
      </c>
      <c r="O25" s="7" t="s">
        <v>4083</v>
      </c>
      <c r="P25" s="7" t="s">
        <v>1150</v>
      </c>
      <c r="Q25" s="7" t="s">
        <v>1480</v>
      </c>
      <c r="R25" s="7" t="s">
        <v>1152</v>
      </c>
      <c r="S25" s="8" t="s">
        <v>4068</v>
      </c>
      <c r="T25" s="12"/>
      <c r="U25" s="12"/>
    </row>
    <row r="26" customFormat="false" ht="46.25" hidden="false" customHeight="false" outlineLevel="0" collapsed="false">
      <c r="A26" s="7" t="s">
        <v>4088</v>
      </c>
      <c r="B26" s="14" t="s">
        <v>4080</v>
      </c>
      <c r="C26" s="7" t="s">
        <v>486</v>
      </c>
      <c r="D26" s="7" t="s">
        <v>471</v>
      </c>
      <c r="E26" s="7" t="s">
        <v>486</v>
      </c>
      <c r="F26" s="7" t="s">
        <v>4089</v>
      </c>
      <c r="G26" s="7" t="s">
        <v>3992</v>
      </c>
      <c r="H26" s="7" t="s">
        <v>943</v>
      </c>
      <c r="I26" s="7" t="s">
        <v>1424</v>
      </c>
      <c r="J26" s="8" t="s">
        <v>4090</v>
      </c>
      <c r="K26" s="8" t="s">
        <v>474</v>
      </c>
      <c r="L26" s="7" t="s">
        <v>606</v>
      </c>
      <c r="M26" s="7" t="s">
        <v>4091</v>
      </c>
      <c r="N26" s="7" t="n">
        <v>4</v>
      </c>
      <c r="O26" s="7" t="s">
        <v>4083</v>
      </c>
      <c r="P26" s="7" t="s">
        <v>1150</v>
      </c>
      <c r="Q26" s="7" t="s">
        <v>1480</v>
      </c>
      <c r="R26" s="13" t="s">
        <v>1790</v>
      </c>
      <c r="S26" s="8" t="s">
        <v>4073</v>
      </c>
      <c r="T26" s="12"/>
      <c r="U26" s="12"/>
    </row>
    <row r="27" customFormat="false" ht="46.25" hidden="false" customHeight="false" outlineLevel="0" collapsed="false">
      <c r="A27" s="7" t="s">
        <v>4092</v>
      </c>
      <c r="B27" s="14" t="s">
        <v>4080</v>
      </c>
      <c r="C27" s="7" t="s">
        <v>486</v>
      </c>
      <c r="D27" s="7" t="s">
        <v>471</v>
      </c>
      <c r="E27" s="7" t="s">
        <v>486</v>
      </c>
      <c r="F27" s="7" t="s">
        <v>4093</v>
      </c>
      <c r="G27" s="7" t="s">
        <v>3992</v>
      </c>
      <c r="H27" s="7" t="s">
        <v>943</v>
      </c>
      <c r="I27" s="7" t="s">
        <v>1424</v>
      </c>
      <c r="J27" s="8" t="s">
        <v>4094</v>
      </c>
      <c r="K27" s="8" t="s">
        <v>474</v>
      </c>
      <c r="L27" s="7" t="s">
        <v>998</v>
      </c>
      <c r="M27" s="7" t="s">
        <v>4095</v>
      </c>
      <c r="N27" s="7" t="s">
        <v>952</v>
      </c>
      <c r="O27" s="7" t="s">
        <v>4083</v>
      </c>
      <c r="P27" s="7" t="s">
        <v>1150</v>
      </c>
      <c r="Q27" s="7" t="s">
        <v>1480</v>
      </c>
      <c r="R27" s="7" t="s">
        <v>1152</v>
      </c>
      <c r="S27" s="8" t="s">
        <v>4078</v>
      </c>
      <c r="T27" s="12"/>
      <c r="U27" s="12"/>
    </row>
    <row r="28" customFormat="false" ht="35.05" hidden="false" customHeight="false" outlineLevel="0" collapsed="false">
      <c r="A28" s="7" t="s">
        <v>4096</v>
      </c>
      <c r="B28" s="14" t="s">
        <v>4097</v>
      </c>
      <c r="C28" s="7" t="s">
        <v>486</v>
      </c>
      <c r="D28" s="7" t="s">
        <v>471</v>
      </c>
      <c r="E28" s="7" t="s">
        <v>486</v>
      </c>
      <c r="F28" s="7" t="s">
        <v>4098</v>
      </c>
      <c r="G28" s="7" t="s">
        <v>3992</v>
      </c>
      <c r="H28" s="7" t="s">
        <v>928</v>
      </c>
      <c r="I28" s="7" t="s">
        <v>1148</v>
      </c>
      <c r="J28" s="8" t="s">
        <v>4099</v>
      </c>
      <c r="K28" s="8" t="s">
        <v>474</v>
      </c>
      <c r="L28" s="7" t="s">
        <v>483</v>
      </c>
      <c r="M28" s="7" t="s">
        <v>4100</v>
      </c>
      <c r="N28" s="7" t="n">
        <v>3</v>
      </c>
      <c r="O28" s="7" t="s">
        <v>487</v>
      </c>
      <c r="P28" s="7" t="s">
        <v>1150</v>
      </c>
      <c r="Q28" s="7" t="s">
        <v>1480</v>
      </c>
      <c r="R28" s="7" t="s">
        <v>1152</v>
      </c>
      <c r="S28" s="8" t="s">
        <v>3984</v>
      </c>
      <c r="T28" s="12"/>
      <c r="U28" s="12"/>
    </row>
    <row r="29" customFormat="false" ht="46.25" hidden="false" customHeight="false" outlineLevel="0" collapsed="false">
      <c r="A29" s="7" t="s">
        <v>4101</v>
      </c>
      <c r="B29" s="14" t="s">
        <v>4097</v>
      </c>
      <c r="C29" s="7" t="s">
        <v>486</v>
      </c>
      <c r="D29" s="7" t="s">
        <v>471</v>
      </c>
      <c r="E29" s="7" t="s">
        <v>486</v>
      </c>
      <c r="F29" s="7" t="s">
        <v>4102</v>
      </c>
      <c r="G29" s="7" t="s">
        <v>3992</v>
      </c>
      <c r="H29" s="7" t="s">
        <v>928</v>
      </c>
      <c r="I29" s="7" t="s">
        <v>1148</v>
      </c>
      <c r="J29" s="8" t="s">
        <v>4103</v>
      </c>
      <c r="K29" s="8" t="s">
        <v>474</v>
      </c>
      <c r="L29" s="7" t="s">
        <v>998</v>
      </c>
      <c r="M29" s="7" t="s">
        <v>4104</v>
      </c>
      <c r="N29" s="7" t="s">
        <v>952</v>
      </c>
      <c r="O29" s="7" t="s">
        <v>4100</v>
      </c>
      <c r="P29" s="7" t="s">
        <v>1150</v>
      </c>
      <c r="Q29" s="7" t="s">
        <v>1480</v>
      </c>
      <c r="R29" s="7" t="s">
        <v>1152</v>
      </c>
      <c r="S29" s="8" t="s">
        <v>4068</v>
      </c>
      <c r="T29" s="12"/>
      <c r="U29" s="12"/>
    </row>
    <row r="30" customFormat="false" ht="46.25" hidden="false" customHeight="false" outlineLevel="0" collapsed="false">
      <c r="A30" s="7" t="s">
        <v>4105</v>
      </c>
      <c r="B30" s="14" t="s">
        <v>4097</v>
      </c>
      <c r="C30" s="7" t="s">
        <v>486</v>
      </c>
      <c r="D30" s="7" t="s">
        <v>471</v>
      </c>
      <c r="E30" s="7" t="s">
        <v>486</v>
      </c>
      <c r="F30" s="7" t="s">
        <v>4106</v>
      </c>
      <c r="G30" s="7" t="s">
        <v>3992</v>
      </c>
      <c r="H30" s="7" t="s">
        <v>943</v>
      </c>
      <c r="I30" s="7" t="s">
        <v>1424</v>
      </c>
      <c r="J30" s="8" t="s">
        <v>4107</v>
      </c>
      <c r="K30" s="8" t="s">
        <v>474</v>
      </c>
      <c r="L30" s="7" t="s">
        <v>606</v>
      </c>
      <c r="M30" s="7" t="s">
        <v>4108</v>
      </c>
      <c r="N30" s="7" t="n">
        <v>4</v>
      </c>
      <c r="O30" s="7" t="s">
        <v>4100</v>
      </c>
      <c r="P30" s="7" t="s">
        <v>1150</v>
      </c>
      <c r="Q30" s="7" t="s">
        <v>1480</v>
      </c>
      <c r="R30" s="13" t="s">
        <v>1790</v>
      </c>
      <c r="S30" s="8" t="s">
        <v>4073</v>
      </c>
      <c r="T30" s="12"/>
      <c r="U30" s="12"/>
    </row>
    <row r="31" customFormat="false" ht="46.25" hidden="false" customHeight="false" outlineLevel="0" collapsed="false">
      <c r="A31" s="7" t="s">
        <v>4109</v>
      </c>
      <c r="B31" s="14" t="s">
        <v>4097</v>
      </c>
      <c r="C31" s="7" t="s">
        <v>486</v>
      </c>
      <c r="D31" s="7" t="s">
        <v>471</v>
      </c>
      <c r="E31" s="7" t="s">
        <v>486</v>
      </c>
      <c r="F31" s="7" t="s">
        <v>4110</v>
      </c>
      <c r="G31" s="7" t="s">
        <v>3992</v>
      </c>
      <c r="H31" s="7" t="s">
        <v>943</v>
      </c>
      <c r="I31" s="7" t="s">
        <v>1424</v>
      </c>
      <c r="J31" s="8" t="s">
        <v>4111</v>
      </c>
      <c r="K31" s="8" t="s">
        <v>474</v>
      </c>
      <c r="L31" s="7" t="s">
        <v>998</v>
      </c>
      <c r="M31" s="7" t="s">
        <v>4112</v>
      </c>
      <c r="N31" s="7" t="s">
        <v>952</v>
      </c>
      <c r="O31" s="7" t="s">
        <v>4100</v>
      </c>
      <c r="P31" s="7" t="s">
        <v>1150</v>
      </c>
      <c r="Q31" s="7" t="s">
        <v>1480</v>
      </c>
      <c r="R31" s="7" t="s">
        <v>1152</v>
      </c>
      <c r="S31" s="8" t="s">
        <v>4078</v>
      </c>
      <c r="T31" s="12"/>
      <c r="U31" s="12"/>
    </row>
    <row r="32" customFormat="false" ht="35.05" hidden="false" customHeight="false" outlineLevel="0" collapsed="false">
      <c r="A32" s="7" t="s">
        <v>4113</v>
      </c>
      <c r="B32" s="14" t="s">
        <v>4114</v>
      </c>
      <c r="C32" s="7" t="s">
        <v>486</v>
      </c>
      <c r="D32" s="7" t="s">
        <v>471</v>
      </c>
      <c r="E32" s="7" t="s">
        <v>486</v>
      </c>
      <c r="F32" s="7" t="s">
        <v>4115</v>
      </c>
      <c r="G32" s="7" t="s">
        <v>3992</v>
      </c>
      <c r="H32" s="7" t="s">
        <v>928</v>
      </c>
      <c r="I32" s="7" t="s">
        <v>1148</v>
      </c>
      <c r="J32" s="8" t="s">
        <v>4116</v>
      </c>
      <c r="K32" s="8" t="s">
        <v>474</v>
      </c>
      <c r="L32" s="7" t="s">
        <v>483</v>
      </c>
      <c r="M32" s="7" t="s">
        <v>4117</v>
      </c>
      <c r="N32" s="7" t="n">
        <v>3</v>
      </c>
      <c r="O32" s="7" t="s">
        <v>487</v>
      </c>
      <c r="P32" s="7" t="s">
        <v>1150</v>
      </c>
      <c r="Q32" s="7" t="s">
        <v>1480</v>
      </c>
      <c r="R32" s="7" t="s">
        <v>1152</v>
      </c>
      <c r="S32" s="8" t="s">
        <v>3984</v>
      </c>
      <c r="T32" s="12"/>
      <c r="U32" s="12"/>
    </row>
    <row r="33" customFormat="false" ht="46.25" hidden="false" customHeight="false" outlineLevel="0" collapsed="false">
      <c r="A33" s="7" t="s">
        <v>4118</v>
      </c>
      <c r="B33" s="14" t="s">
        <v>4114</v>
      </c>
      <c r="C33" s="7" t="s">
        <v>486</v>
      </c>
      <c r="D33" s="7" t="s">
        <v>471</v>
      </c>
      <c r="E33" s="7" t="s">
        <v>486</v>
      </c>
      <c r="F33" s="7" t="s">
        <v>4119</v>
      </c>
      <c r="G33" s="7" t="s">
        <v>3992</v>
      </c>
      <c r="H33" s="7" t="s">
        <v>928</v>
      </c>
      <c r="I33" s="7" t="s">
        <v>1148</v>
      </c>
      <c r="J33" s="8" t="s">
        <v>4120</v>
      </c>
      <c r="K33" s="8" t="s">
        <v>474</v>
      </c>
      <c r="L33" s="7" t="s">
        <v>998</v>
      </c>
      <c r="M33" s="7" t="s">
        <v>4121</v>
      </c>
      <c r="N33" s="7" t="s">
        <v>952</v>
      </c>
      <c r="O33" s="7" t="s">
        <v>4117</v>
      </c>
      <c r="P33" s="7" t="s">
        <v>1150</v>
      </c>
      <c r="Q33" s="7" t="s">
        <v>1480</v>
      </c>
      <c r="R33" s="7" t="s">
        <v>1152</v>
      </c>
      <c r="S33" s="8" t="s">
        <v>4068</v>
      </c>
      <c r="T33" s="12"/>
      <c r="U33" s="12"/>
    </row>
    <row r="34" customFormat="false" ht="46.25" hidden="false" customHeight="false" outlineLevel="0" collapsed="false">
      <c r="A34" s="7" t="s">
        <v>4122</v>
      </c>
      <c r="B34" s="14" t="s">
        <v>4114</v>
      </c>
      <c r="C34" s="7" t="s">
        <v>486</v>
      </c>
      <c r="D34" s="7" t="s">
        <v>471</v>
      </c>
      <c r="E34" s="7" t="s">
        <v>486</v>
      </c>
      <c r="F34" s="7" t="s">
        <v>4123</v>
      </c>
      <c r="G34" s="7" t="s">
        <v>3992</v>
      </c>
      <c r="H34" s="7" t="s">
        <v>943</v>
      </c>
      <c r="I34" s="7" t="s">
        <v>1424</v>
      </c>
      <c r="J34" s="8" t="s">
        <v>4124</v>
      </c>
      <c r="K34" s="8" t="s">
        <v>474</v>
      </c>
      <c r="L34" s="7" t="s">
        <v>606</v>
      </c>
      <c r="M34" s="7" t="s">
        <v>4125</v>
      </c>
      <c r="N34" s="7" t="n">
        <v>4</v>
      </c>
      <c r="O34" s="7" t="s">
        <v>4117</v>
      </c>
      <c r="P34" s="7" t="s">
        <v>1150</v>
      </c>
      <c r="Q34" s="7" t="s">
        <v>1480</v>
      </c>
      <c r="R34" s="13" t="s">
        <v>1790</v>
      </c>
      <c r="S34" s="8" t="s">
        <v>4073</v>
      </c>
      <c r="T34" s="12"/>
      <c r="U34" s="12"/>
    </row>
    <row r="35" customFormat="false" ht="46.25" hidden="false" customHeight="false" outlineLevel="0" collapsed="false">
      <c r="A35" s="7" t="s">
        <v>4126</v>
      </c>
      <c r="B35" s="14" t="s">
        <v>4114</v>
      </c>
      <c r="C35" s="7" t="s">
        <v>486</v>
      </c>
      <c r="D35" s="7" t="s">
        <v>471</v>
      </c>
      <c r="E35" s="7" t="s">
        <v>486</v>
      </c>
      <c r="F35" s="7" t="s">
        <v>4127</v>
      </c>
      <c r="G35" s="7" t="s">
        <v>3992</v>
      </c>
      <c r="H35" s="7" t="s">
        <v>943</v>
      </c>
      <c r="I35" s="7" t="s">
        <v>1424</v>
      </c>
      <c r="J35" s="8" t="s">
        <v>4128</v>
      </c>
      <c r="K35" s="8" t="s">
        <v>474</v>
      </c>
      <c r="L35" s="7" t="s">
        <v>998</v>
      </c>
      <c r="M35" s="7" t="s">
        <v>4129</v>
      </c>
      <c r="N35" s="7" t="s">
        <v>952</v>
      </c>
      <c r="O35" s="7" t="s">
        <v>4117</v>
      </c>
      <c r="P35" s="7" t="s">
        <v>1150</v>
      </c>
      <c r="Q35" s="7" t="s">
        <v>1480</v>
      </c>
      <c r="R35" s="7" t="s">
        <v>1152</v>
      </c>
      <c r="S35" s="8" t="s">
        <v>4078</v>
      </c>
      <c r="T35" s="12"/>
      <c r="U35" s="12"/>
    </row>
    <row r="36" customFormat="false" ht="35.05" hidden="false" customHeight="false" outlineLevel="0" collapsed="false">
      <c r="A36" s="7" t="s">
        <v>4130</v>
      </c>
      <c r="B36" s="14" t="s">
        <v>3986</v>
      </c>
      <c r="C36" s="7" t="s">
        <v>491</v>
      </c>
      <c r="D36" s="7" t="s">
        <v>471</v>
      </c>
      <c r="E36" s="7" t="s">
        <v>857</v>
      </c>
      <c r="F36" s="7" t="s">
        <v>491</v>
      </c>
      <c r="G36" s="7" t="s">
        <v>3987</v>
      </c>
      <c r="H36" s="7" t="s">
        <v>928</v>
      </c>
      <c r="I36" s="7" t="s">
        <v>1148</v>
      </c>
      <c r="J36" s="8" t="s">
        <v>4131</v>
      </c>
      <c r="K36" s="8" t="s">
        <v>474</v>
      </c>
      <c r="L36" s="7" t="s">
        <v>478</v>
      </c>
      <c r="M36" s="7" t="s">
        <v>492</v>
      </c>
      <c r="N36" s="7" t="n">
        <v>2</v>
      </c>
      <c r="O36" s="7" t="s">
        <v>472</v>
      </c>
      <c r="P36" s="7" t="s">
        <v>1150</v>
      </c>
      <c r="Q36" s="7" t="s">
        <v>1183</v>
      </c>
      <c r="R36" s="7" t="s">
        <v>1152</v>
      </c>
      <c r="S36" s="8"/>
      <c r="T36" s="12"/>
      <c r="U36" s="12"/>
    </row>
    <row r="37" customFormat="false" ht="35.05" hidden="false" customHeight="false" outlineLevel="0" collapsed="false">
      <c r="A37" s="7" t="s">
        <v>4132</v>
      </c>
      <c r="B37" s="14" t="s">
        <v>4133</v>
      </c>
      <c r="C37" s="7" t="s">
        <v>491</v>
      </c>
      <c r="D37" s="7" t="s">
        <v>471</v>
      </c>
      <c r="E37" s="7" t="s">
        <v>491</v>
      </c>
      <c r="F37" s="7" t="s">
        <v>4134</v>
      </c>
      <c r="G37" s="7" t="s">
        <v>3992</v>
      </c>
      <c r="H37" s="7" t="s">
        <v>928</v>
      </c>
      <c r="I37" s="7" t="s">
        <v>1148</v>
      </c>
      <c r="J37" s="8" t="s">
        <v>4135</v>
      </c>
      <c r="K37" s="8" t="s">
        <v>474</v>
      </c>
      <c r="L37" s="7" t="s">
        <v>483</v>
      </c>
      <c r="M37" s="7" t="s">
        <v>4136</v>
      </c>
      <c r="N37" s="7" t="n">
        <v>3</v>
      </c>
      <c r="O37" s="7" t="s">
        <v>492</v>
      </c>
      <c r="P37" s="7" t="s">
        <v>1150</v>
      </c>
      <c r="Q37" s="7" t="s">
        <v>1183</v>
      </c>
      <c r="R37" s="7" t="s">
        <v>1152</v>
      </c>
      <c r="S37" s="8" t="s">
        <v>3984</v>
      </c>
      <c r="T37" s="12"/>
      <c r="U37" s="12"/>
    </row>
    <row r="38" customFormat="false" ht="35.05" hidden="false" customHeight="false" outlineLevel="0" collapsed="false">
      <c r="A38" s="7" t="s">
        <v>4137</v>
      </c>
      <c r="B38" s="14" t="s">
        <v>4133</v>
      </c>
      <c r="C38" s="7" t="s">
        <v>491</v>
      </c>
      <c r="D38" s="7" t="s">
        <v>471</v>
      </c>
      <c r="E38" s="7" t="s">
        <v>491</v>
      </c>
      <c r="F38" s="7" t="s">
        <v>4138</v>
      </c>
      <c r="G38" s="7" t="s">
        <v>3992</v>
      </c>
      <c r="H38" s="7" t="s">
        <v>943</v>
      </c>
      <c r="I38" s="7" t="s">
        <v>1424</v>
      </c>
      <c r="J38" s="8" t="s">
        <v>4139</v>
      </c>
      <c r="K38" s="8" t="s">
        <v>474</v>
      </c>
      <c r="L38" s="7" t="s">
        <v>998</v>
      </c>
      <c r="M38" s="7" t="s">
        <v>4140</v>
      </c>
      <c r="N38" s="7" t="s">
        <v>952</v>
      </c>
      <c r="O38" s="7" t="s">
        <v>4136</v>
      </c>
      <c r="P38" s="7" t="s">
        <v>1150</v>
      </c>
      <c r="Q38" s="7" t="s">
        <v>1480</v>
      </c>
      <c r="R38" s="7" t="s">
        <v>1152</v>
      </c>
      <c r="S38" s="8" t="s">
        <v>4141</v>
      </c>
      <c r="T38" s="12"/>
      <c r="U38" s="12"/>
    </row>
    <row r="39" customFormat="false" ht="46.25" hidden="false" customHeight="false" outlineLevel="0" collapsed="false">
      <c r="A39" s="7" t="s">
        <v>4142</v>
      </c>
      <c r="B39" s="14" t="s">
        <v>4133</v>
      </c>
      <c r="C39" s="7" t="s">
        <v>491</v>
      </c>
      <c r="D39" s="7" t="s">
        <v>471</v>
      </c>
      <c r="E39" s="7" t="s">
        <v>491</v>
      </c>
      <c r="F39" s="7" t="s">
        <v>4143</v>
      </c>
      <c r="G39" s="7" t="s">
        <v>3992</v>
      </c>
      <c r="H39" s="7" t="s">
        <v>928</v>
      </c>
      <c r="I39" s="7" t="s">
        <v>1148</v>
      </c>
      <c r="J39" s="8" t="s">
        <v>4144</v>
      </c>
      <c r="K39" s="8" t="s">
        <v>474</v>
      </c>
      <c r="L39" s="7" t="s">
        <v>606</v>
      </c>
      <c r="M39" s="7" t="s">
        <v>4145</v>
      </c>
      <c r="N39" s="7" t="n">
        <v>4</v>
      </c>
      <c r="O39" s="7" t="s">
        <v>4136</v>
      </c>
      <c r="P39" s="7" t="s">
        <v>1150</v>
      </c>
      <c r="Q39" s="7" t="s">
        <v>1183</v>
      </c>
      <c r="R39" s="7" t="s">
        <v>1152</v>
      </c>
      <c r="S39" s="8" t="s">
        <v>4146</v>
      </c>
      <c r="T39" s="12"/>
      <c r="U39" s="12"/>
    </row>
    <row r="40" customFormat="false" ht="46.25" hidden="false" customHeight="false" outlineLevel="0" collapsed="false">
      <c r="A40" s="7" t="s">
        <v>4147</v>
      </c>
      <c r="B40" s="14" t="s">
        <v>4133</v>
      </c>
      <c r="C40" s="7" t="s">
        <v>491</v>
      </c>
      <c r="D40" s="7" t="s">
        <v>471</v>
      </c>
      <c r="E40" s="7" t="s">
        <v>491</v>
      </c>
      <c r="F40" s="7" t="s">
        <v>4148</v>
      </c>
      <c r="G40" s="7" t="s">
        <v>3992</v>
      </c>
      <c r="H40" s="7" t="s">
        <v>943</v>
      </c>
      <c r="I40" s="7" t="s">
        <v>1424</v>
      </c>
      <c r="J40" s="8" t="s">
        <v>4149</v>
      </c>
      <c r="K40" s="8" t="s">
        <v>474</v>
      </c>
      <c r="L40" s="7" t="s">
        <v>998</v>
      </c>
      <c r="M40" s="7" t="s">
        <v>4150</v>
      </c>
      <c r="N40" s="7" t="s">
        <v>952</v>
      </c>
      <c r="O40" s="7" t="s">
        <v>4136</v>
      </c>
      <c r="P40" s="7" t="s">
        <v>1150</v>
      </c>
      <c r="Q40" s="7" t="s">
        <v>1480</v>
      </c>
      <c r="R40" s="13" t="s">
        <v>1790</v>
      </c>
      <c r="S40" s="8" t="s">
        <v>4151</v>
      </c>
      <c r="T40" s="12"/>
      <c r="U40" s="12"/>
    </row>
    <row r="41" customFormat="false" ht="46.25" hidden="false" customHeight="false" outlineLevel="0" collapsed="false">
      <c r="A41" s="7" t="s">
        <v>4152</v>
      </c>
      <c r="B41" s="14" t="s">
        <v>4133</v>
      </c>
      <c r="C41" s="7" t="s">
        <v>491</v>
      </c>
      <c r="D41" s="7" t="s">
        <v>471</v>
      </c>
      <c r="E41" s="7" t="s">
        <v>491</v>
      </c>
      <c r="F41" s="7" t="s">
        <v>4153</v>
      </c>
      <c r="G41" s="7" t="s">
        <v>3992</v>
      </c>
      <c r="H41" s="7" t="s">
        <v>943</v>
      </c>
      <c r="I41" s="7" t="s">
        <v>1424</v>
      </c>
      <c r="J41" s="8" t="s">
        <v>4154</v>
      </c>
      <c r="K41" s="8" t="s">
        <v>474</v>
      </c>
      <c r="L41" s="7" t="s">
        <v>998</v>
      </c>
      <c r="M41" s="7" t="s">
        <v>4155</v>
      </c>
      <c r="N41" s="7" t="s">
        <v>952</v>
      </c>
      <c r="O41" s="7" t="s">
        <v>4136</v>
      </c>
      <c r="P41" s="7" t="s">
        <v>1150</v>
      </c>
      <c r="Q41" s="7" t="s">
        <v>1480</v>
      </c>
      <c r="R41" s="7" t="s">
        <v>1152</v>
      </c>
      <c r="S41" s="8" t="s">
        <v>4156</v>
      </c>
      <c r="T41" s="12"/>
      <c r="U41" s="12"/>
    </row>
    <row r="42" customFormat="false" ht="35.05" hidden="false" customHeight="false" outlineLevel="0" collapsed="false">
      <c r="A42" s="7" t="s">
        <v>4157</v>
      </c>
      <c r="B42" s="14" t="s">
        <v>4158</v>
      </c>
      <c r="C42" s="7" t="s">
        <v>491</v>
      </c>
      <c r="D42" s="7" t="s">
        <v>471</v>
      </c>
      <c r="E42" s="7" t="s">
        <v>491</v>
      </c>
      <c r="F42" s="7" t="s">
        <v>4159</v>
      </c>
      <c r="G42" s="7" t="s">
        <v>3992</v>
      </c>
      <c r="H42" s="7" t="s">
        <v>928</v>
      </c>
      <c r="I42" s="7" t="s">
        <v>1148</v>
      </c>
      <c r="J42" s="8" t="s">
        <v>4160</v>
      </c>
      <c r="K42" s="8" t="s">
        <v>474</v>
      </c>
      <c r="L42" s="7" t="s">
        <v>483</v>
      </c>
      <c r="M42" s="7" t="s">
        <v>4161</v>
      </c>
      <c r="N42" s="7" t="n">
        <v>3</v>
      </c>
      <c r="O42" s="7" t="s">
        <v>492</v>
      </c>
      <c r="P42" s="7" t="s">
        <v>1150</v>
      </c>
      <c r="Q42" s="7" t="s">
        <v>1183</v>
      </c>
      <c r="R42" s="7" t="s">
        <v>1152</v>
      </c>
      <c r="S42" s="8" t="s">
        <v>3984</v>
      </c>
      <c r="T42" s="12"/>
      <c r="U42" s="12"/>
    </row>
    <row r="43" customFormat="false" ht="35.05" hidden="false" customHeight="false" outlineLevel="0" collapsed="false">
      <c r="A43" s="7" t="s">
        <v>4162</v>
      </c>
      <c r="B43" s="14" t="s">
        <v>4158</v>
      </c>
      <c r="C43" s="7" t="s">
        <v>491</v>
      </c>
      <c r="D43" s="7" t="s">
        <v>471</v>
      </c>
      <c r="E43" s="7" t="s">
        <v>491</v>
      </c>
      <c r="F43" s="7" t="s">
        <v>4163</v>
      </c>
      <c r="G43" s="7" t="s">
        <v>3992</v>
      </c>
      <c r="H43" s="7" t="s">
        <v>943</v>
      </c>
      <c r="I43" s="7" t="s">
        <v>1424</v>
      </c>
      <c r="J43" s="8" t="s">
        <v>4164</v>
      </c>
      <c r="K43" s="8" t="s">
        <v>474</v>
      </c>
      <c r="L43" s="7" t="s">
        <v>998</v>
      </c>
      <c r="M43" s="7" t="s">
        <v>4165</v>
      </c>
      <c r="N43" s="7" t="s">
        <v>952</v>
      </c>
      <c r="O43" s="7" t="s">
        <v>4161</v>
      </c>
      <c r="P43" s="7" t="s">
        <v>1150</v>
      </c>
      <c r="Q43" s="7" t="s">
        <v>1480</v>
      </c>
      <c r="R43" s="7" t="s">
        <v>1152</v>
      </c>
      <c r="S43" s="8" t="s">
        <v>4141</v>
      </c>
      <c r="T43" s="12"/>
      <c r="U43" s="12"/>
    </row>
    <row r="44" customFormat="false" ht="46.25" hidden="false" customHeight="false" outlineLevel="0" collapsed="false">
      <c r="A44" s="7" t="s">
        <v>4166</v>
      </c>
      <c r="B44" s="14" t="s">
        <v>4158</v>
      </c>
      <c r="C44" s="7" t="s">
        <v>491</v>
      </c>
      <c r="D44" s="7" t="s">
        <v>471</v>
      </c>
      <c r="E44" s="7" t="s">
        <v>491</v>
      </c>
      <c r="F44" s="7" t="s">
        <v>4167</v>
      </c>
      <c r="G44" s="7" t="s">
        <v>3992</v>
      </c>
      <c r="H44" s="7" t="s">
        <v>928</v>
      </c>
      <c r="I44" s="7" t="s">
        <v>1148</v>
      </c>
      <c r="J44" s="8" t="s">
        <v>4168</v>
      </c>
      <c r="K44" s="8" t="s">
        <v>474</v>
      </c>
      <c r="L44" s="7" t="s">
        <v>606</v>
      </c>
      <c r="M44" s="7" t="s">
        <v>4169</v>
      </c>
      <c r="N44" s="7" t="n">
        <v>4</v>
      </c>
      <c r="O44" s="7" t="s">
        <v>4161</v>
      </c>
      <c r="P44" s="7" t="s">
        <v>1150</v>
      </c>
      <c r="Q44" s="7" t="s">
        <v>1183</v>
      </c>
      <c r="R44" s="7" t="s">
        <v>1152</v>
      </c>
      <c r="S44" s="8" t="s">
        <v>4146</v>
      </c>
      <c r="T44" s="12"/>
      <c r="U44" s="12"/>
    </row>
    <row r="45" customFormat="false" ht="46.25" hidden="false" customHeight="false" outlineLevel="0" collapsed="false">
      <c r="A45" s="7" t="s">
        <v>4170</v>
      </c>
      <c r="B45" s="14" t="s">
        <v>4158</v>
      </c>
      <c r="C45" s="7" t="s">
        <v>491</v>
      </c>
      <c r="D45" s="7" t="s">
        <v>471</v>
      </c>
      <c r="E45" s="7" t="s">
        <v>491</v>
      </c>
      <c r="F45" s="7" t="s">
        <v>4171</v>
      </c>
      <c r="G45" s="7" t="s">
        <v>3992</v>
      </c>
      <c r="H45" s="7" t="s">
        <v>943</v>
      </c>
      <c r="I45" s="7" t="s">
        <v>1424</v>
      </c>
      <c r="J45" s="8" t="s">
        <v>4149</v>
      </c>
      <c r="K45" s="8" t="s">
        <v>474</v>
      </c>
      <c r="L45" s="7" t="s">
        <v>998</v>
      </c>
      <c r="M45" s="7" t="s">
        <v>4172</v>
      </c>
      <c r="N45" s="7" t="s">
        <v>952</v>
      </c>
      <c r="O45" s="7" t="s">
        <v>4161</v>
      </c>
      <c r="P45" s="7" t="s">
        <v>1150</v>
      </c>
      <c r="Q45" s="7" t="s">
        <v>1480</v>
      </c>
      <c r="R45" s="13" t="s">
        <v>1790</v>
      </c>
      <c r="S45" s="8" t="s">
        <v>4151</v>
      </c>
      <c r="T45" s="12"/>
      <c r="U45" s="12"/>
    </row>
    <row r="46" customFormat="false" ht="46.25" hidden="false" customHeight="false" outlineLevel="0" collapsed="false">
      <c r="A46" s="7" t="s">
        <v>4173</v>
      </c>
      <c r="B46" s="14" t="s">
        <v>4158</v>
      </c>
      <c r="C46" s="7" t="s">
        <v>491</v>
      </c>
      <c r="D46" s="7" t="s">
        <v>471</v>
      </c>
      <c r="E46" s="7" t="s">
        <v>491</v>
      </c>
      <c r="F46" s="7" t="s">
        <v>4174</v>
      </c>
      <c r="G46" s="7" t="s">
        <v>3992</v>
      </c>
      <c r="H46" s="7" t="s">
        <v>943</v>
      </c>
      <c r="I46" s="7" t="s">
        <v>1424</v>
      </c>
      <c r="J46" s="8" t="s">
        <v>4175</v>
      </c>
      <c r="K46" s="8" t="s">
        <v>474</v>
      </c>
      <c r="L46" s="7" t="s">
        <v>998</v>
      </c>
      <c r="M46" s="7" t="s">
        <v>4176</v>
      </c>
      <c r="N46" s="7" t="s">
        <v>952</v>
      </c>
      <c r="O46" s="7" t="s">
        <v>4161</v>
      </c>
      <c r="P46" s="7" t="s">
        <v>1150</v>
      </c>
      <c r="Q46" s="7" t="s">
        <v>1480</v>
      </c>
      <c r="R46" s="7" t="s">
        <v>1152</v>
      </c>
      <c r="S46" s="8" t="s">
        <v>4156</v>
      </c>
      <c r="T46" s="12"/>
      <c r="U46" s="12"/>
    </row>
    <row r="47" customFormat="false" ht="35.05" hidden="false" customHeight="false" outlineLevel="0" collapsed="false">
      <c r="A47" s="7" t="s">
        <v>4177</v>
      </c>
      <c r="B47" s="14" t="s">
        <v>4178</v>
      </c>
      <c r="C47" s="7" t="s">
        <v>491</v>
      </c>
      <c r="D47" s="7" t="s">
        <v>471</v>
      </c>
      <c r="E47" s="7" t="s">
        <v>491</v>
      </c>
      <c r="F47" s="7" t="s">
        <v>4179</v>
      </c>
      <c r="G47" s="7" t="s">
        <v>3992</v>
      </c>
      <c r="H47" s="7" t="s">
        <v>928</v>
      </c>
      <c r="I47" s="7" t="s">
        <v>1148</v>
      </c>
      <c r="J47" s="8" t="s">
        <v>4180</v>
      </c>
      <c r="K47" s="8" t="s">
        <v>474</v>
      </c>
      <c r="L47" s="7" t="s">
        <v>483</v>
      </c>
      <c r="M47" s="7" t="s">
        <v>4181</v>
      </c>
      <c r="N47" s="7" t="n">
        <v>3</v>
      </c>
      <c r="O47" s="7" t="s">
        <v>492</v>
      </c>
      <c r="P47" s="7" t="s">
        <v>1150</v>
      </c>
      <c r="Q47" s="7" t="s">
        <v>1480</v>
      </c>
      <c r="R47" s="7" t="s">
        <v>1152</v>
      </c>
      <c r="S47" s="8" t="s">
        <v>3984</v>
      </c>
      <c r="T47" s="12"/>
      <c r="U47" s="12"/>
    </row>
    <row r="48" customFormat="false" ht="35.05" hidden="false" customHeight="false" outlineLevel="0" collapsed="false">
      <c r="A48" s="7" t="s">
        <v>4182</v>
      </c>
      <c r="B48" s="14" t="s">
        <v>4178</v>
      </c>
      <c r="C48" s="7" t="s">
        <v>491</v>
      </c>
      <c r="D48" s="7" t="s">
        <v>471</v>
      </c>
      <c r="E48" s="7" t="s">
        <v>491</v>
      </c>
      <c r="F48" s="7" t="s">
        <v>4183</v>
      </c>
      <c r="G48" s="7" t="s">
        <v>3992</v>
      </c>
      <c r="H48" s="7" t="s">
        <v>943</v>
      </c>
      <c r="I48" s="7" t="s">
        <v>1424</v>
      </c>
      <c r="J48" s="8" t="s">
        <v>4184</v>
      </c>
      <c r="K48" s="8" t="s">
        <v>474</v>
      </c>
      <c r="L48" s="7" t="s">
        <v>998</v>
      </c>
      <c r="M48" s="7" t="s">
        <v>4185</v>
      </c>
      <c r="N48" s="7" t="s">
        <v>952</v>
      </c>
      <c r="O48" s="7" t="s">
        <v>4181</v>
      </c>
      <c r="P48" s="7" t="s">
        <v>1150</v>
      </c>
      <c r="Q48" s="7" t="s">
        <v>1480</v>
      </c>
      <c r="R48" s="7" t="s">
        <v>1152</v>
      </c>
      <c r="S48" s="8" t="s">
        <v>4141</v>
      </c>
      <c r="T48" s="12"/>
      <c r="U48" s="12"/>
    </row>
    <row r="49" customFormat="false" ht="46.25" hidden="false" customHeight="false" outlineLevel="0" collapsed="false">
      <c r="A49" s="7" t="s">
        <v>4186</v>
      </c>
      <c r="B49" s="14" t="s">
        <v>4178</v>
      </c>
      <c r="C49" s="7" t="s">
        <v>491</v>
      </c>
      <c r="D49" s="7" t="s">
        <v>471</v>
      </c>
      <c r="E49" s="7" t="s">
        <v>491</v>
      </c>
      <c r="F49" s="7" t="s">
        <v>4187</v>
      </c>
      <c r="G49" s="7" t="s">
        <v>3992</v>
      </c>
      <c r="H49" s="7" t="s">
        <v>928</v>
      </c>
      <c r="I49" s="7" t="s">
        <v>1148</v>
      </c>
      <c r="J49" s="8" t="s">
        <v>4188</v>
      </c>
      <c r="K49" s="8" t="s">
        <v>474</v>
      </c>
      <c r="L49" s="7" t="s">
        <v>606</v>
      </c>
      <c r="M49" s="7" t="s">
        <v>4189</v>
      </c>
      <c r="N49" s="7" t="n">
        <v>4</v>
      </c>
      <c r="O49" s="7" t="s">
        <v>4181</v>
      </c>
      <c r="P49" s="7" t="s">
        <v>1150</v>
      </c>
      <c r="Q49" s="7" t="s">
        <v>1480</v>
      </c>
      <c r="R49" s="7" t="s">
        <v>1152</v>
      </c>
      <c r="S49" s="8" t="s">
        <v>4146</v>
      </c>
      <c r="T49" s="12"/>
      <c r="U49" s="12"/>
    </row>
    <row r="50" customFormat="false" ht="46.25" hidden="false" customHeight="false" outlineLevel="0" collapsed="false">
      <c r="A50" s="7" t="s">
        <v>4190</v>
      </c>
      <c r="B50" s="14" t="s">
        <v>4178</v>
      </c>
      <c r="C50" s="7" t="s">
        <v>491</v>
      </c>
      <c r="D50" s="7" t="s">
        <v>471</v>
      </c>
      <c r="E50" s="7" t="s">
        <v>491</v>
      </c>
      <c r="F50" s="7" t="s">
        <v>4191</v>
      </c>
      <c r="G50" s="7" t="s">
        <v>3992</v>
      </c>
      <c r="H50" s="7" t="s">
        <v>943</v>
      </c>
      <c r="I50" s="7" t="s">
        <v>1424</v>
      </c>
      <c r="J50" s="8" t="s">
        <v>4149</v>
      </c>
      <c r="K50" s="8" t="s">
        <v>474</v>
      </c>
      <c r="L50" s="7" t="s">
        <v>998</v>
      </c>
      <c r="M50" s="7" t="s">
        <v>4192</v>
      </c>
      <c r="N50" s="7" t="s">
        <v>952</v>
      </c>
      <c r="O50" s="7" t="s">
        <v>4181</v>
      </c>
      <c r="P50" s="7" t="s">
        <v>1150</v>
      </c>
      <c r="Q50" s="7" t="s">
        <v>1480</v>
      </c>
      <c r="R50" s="13" t="s">
        <v>1790</v>
      </c>
      <c r="S50" s="8" t="s">
        <v>4151</v>
      </c>
      <c r="T50" s="12"/>
      <c r="U50" s="12"/>
    </row>
    <row r="51" customFormat="false" ht="46.25" hidden="false" customHeight="false" outlineLevel="0" collapsed="false">
      <c r="A51" s="7" t="s">
        <v>4193</v>
      </c>
      <c r="B51" s="14" t="s">
        <v>4178</v>
      </c>
      <c r="C51" s="7" t="s">
        <v>491</v>
      </c>
      <c r="D51" s="7" t="s">
        <v>471</v>
      </c>
      <c r="E51" s="7" t="s">
        <v>491</v>
      </c>
      <c r="F51" s="7" t="s">
        <v>4194</v>
      </c>
      <c r="G51" s="7" t="s">
        <v>3992</v>
      </c>
      <c r="H51" s="7" t="s">
        <v>943</v>
      </c>
      <c r="I51" s="7" t="s">
        <v>1424</v>
      </c>
      <c r="J51" s="8" t="s">
        <v>4195</v>
      </c>
      <c r="K51" s="8" t="s">
        <v>474</v>
      </c>
      <c r="L51" s="7" t="s">
        <v>998</v>
      </c>
      <c r="M51" s="7" t="s">
        <v>4196</v>
      </c>
      <c r="N51" s="7" t="s">
        <v>952</v>
      </c>
      <c r="O51" s="7" t="s">
        <v>4181</v>
      </c>
      <c r="P51" s="7" t="s">
        <v>1150</v>
      </c>
      <c r="Q51" s="7" t="s">
        <v>1480</v>
      </c>
      <c r="R51" s="7" t="s">
        <v>1152</v>
      </c>
      <c r="S51" s="8" t="s">
        <v>4156</v>
      </c>
      <c r="T51" s="12"/>
      <c r="U51" s="12"/>
    </row>
    <row r="52" customFormat="false" ht="35.05" hidden="false" customHeight="false" outlineLevel="0" collapsed="false">
      <c r="A52" s="7" t="s">
        <v>4197</v>
      </c>
      <c r="B52" s="14" t="s">
        <v>3986</v>
      </c>
      <c r="C52" s="7" t="s">
        <v>496</v>
      </c>
      <c r="D52" s="7" t="s">
        <v>471</v>
      </c>
      <c r="E52" s="7" t="s">
        <v>864</v>
      </c>
      <c r="F52" s="7" t="s">
        <v>496</v>
      </c>
      <c r="G52" s="7" t="s">
        <v>3987</v>
      </c>
      <c r="H52" s="7" t="s">
        <v>928</v>
      </c>
      <c r="I52" s="7" t="s">
        <v>1148</v>
      </c>
      <c r="J52" s="8" t="s">
        <v>4198</v>
      </c>
      <c r="K52" s="8" t="s">
        <v>474</v>
      </c>
      <c r="L52" s="7" t="s">
        <v>478</v>
      </c>
      <c r="M52" s="7" t="s">
        <v>497</v>
      </c>
      <c r="N52" s="7" t="n">
        <v>2</v>
      </c>
      <c r="O52" s="7" t="s">
        <v>472</v>
      </c>
      <c r="P52" s="7" t="s">
        <v>1150</v>
      </c>
      <c r="Q52" s="7" t="s">
        <v>1183</v>
      </c>
      <c r="R52" s="7" t="s">
        <v>1152</v>
      </c>
      <c r="S52" s="8"/>
      <c r="T52" s="12"/>
      <c r="U52" s="12"/>
    </row>
    <row r="53" customFormat="false" ht="35.05" hidden="false" customHeight="false" outlineLevel="0" collapsed="false">
      <c r="A53" s="7" t="s">
        <v>4199</v>
      </c>
      <c r="B53" s="14" t="s">
        <v>4200</v>
      </c>
      <c r="C53" s="7" t="s">
        <v>496</v>
      </c>
      <c r="D53" s="7" t="s">
        <v>471</v>
      </c>
      <c r="E53" s="7" t="s">
        <v>496</v>
      </c>
      <c r="F53" s="7" t="s">
        <v>4201</v>
      </c>
      <c r="G53" s="7" t="s">
        <v>3992</v>
      </c>
      <c r="H53" s="7" t="s">
        <v>928</v>
      </c>
      <c r="I53" s="7" t="s">
        <v>1148</v>
      </c>
      <c r="J53" s="8" t="s">
        <v>4202</v>
      </c>
      <c r="K53" s="8" t="s">
        <v>474</v>
      </c>
      <c r="L53" s="7" t="s">
        <v>483</v>
      </c>
      <c r="M53" s="7" t="s">
        <v>4203</v>
      </c>
      <c r="N53" s="7" t="n">
        <v>3</v>
      </c>
      <c r="O53" s="7" t="s">
        <v>497</v>
      </c>
      <c r="P53" s="7" t="s">
        <v>1150</v>
      </c>
      <c r="Q53" s="7" t="s">
        <v>1183</v>
      </c>
      <c r="R53" s="7" t="s">
        <v>1152</v>
      </c>
      <c r="S53" s="8" t="s">
        <v>3984</v>
      </c>
      <c r="T53" s="12"/>
      <c r="U53" s="12"/>
    </row>
    <row r="54" customFormat="false" ht="46.25" hidden="false" customHeight="false" outlineLevel="0" collapsed="false">
      <c r="A54" s="7" t="s">
        <v>4204</v>
      </c>
      <c r="B54" s="14" t="s">
        <v>4200</v>
      </c>
      <c r="C54" s="7" t="s">
        <v>496</v>
      </c>
      <c r="D54" s="7" t="s">
        <v>471</v>
      </c>
      <c r="E54" s="7" t="s">
        <v>496</v>
      </c>
      <c r="F54" s="7" t="s">
        <v>4205</v>
      </c>
      <c r="G54" s="7" t="s">
        <v>3992</v>
      </c>
      <c r="H54" s="7" t="s">
        <v>943</v>
      </c>
      <c r="I54" s="7" t="s">
        <v>1424</v>
      </c>
      <c r="J54" s="8" t="s">
        <v>4206</v>
      </c>
      <c r="K54" s="8" t="s">
        <v>474</v>
      </c>
      <c r="L54" s="7" t="s">
        <v>606</v>
      </c>
      <c r="M54" s="7" t="s">
        <v>4207</v>
      </c>
      <c r="N54" s="7" t="n">
        <v>4</v>
      </c>
      <c r="O54" s="7" t="s">
        <v>4203</v>
      </c>
      <c r="P54" s="7" t="s">
        <v>1150</v>
      </c>
      <c r="Q54" s="7" t="s">
        <v>1183</v>
      </c>
      <c r="R54" s="7" t="s">
        <v>1152</v>
      </c>
      <c r="S54" s="8" t="s">
        <v>4208</v>
      </c>
      <c r="T54" s="12"/>
      <c r="U54" s="12"/>
    </row>
    <row r="55" customFormat="false" ht="46.25" hidden="false" customHeight="false" outlineLevel="0" collapsed="false">
      <c r="A55" s="7" t="s">
        <v>4209</v>
      </c>
      <c r="B55" s="14" t="s">
        <v>4200</v>
      </c>
      <c r="C55" s="7" t="s">
        <v>496</v>
      </c>
      <c r="D55" s="7" t="s">
        <v>471</v>
      </c>
      <c r="E55" s="7" t="s">
        <v>496</v>
      </c>
      <c r="F55" s="7" t="s">
        <v>4210</v>
      </c>
      <c r="G55" s="7" t="s">
        <v>3992</v>
      </c>
      <c r="H55" s="7" t="s">
        <v>943</v>
      </c>
      <c r="I55" s="7" t="s">
        <v>1424</v>
      </c>
      <c r="J55" s="8" t="s">
        <v>4211</v>
      </c>
      <c r="K55" s="8" t="s">
        <v>474</v>
      </c>
      <c r="L55" s="7" t="s">
        <v>606</v>
      </c>
      <c r="M55" s="7" t="s">
        <v>4212</v>
      </c>
      <c r="N55" s="7" t="n">
        <v>4</v>
      </c>
      <c r="O55" s="7" t="s">
        <v>4203</v>
      </c>
      <c r="P55" s="7" t="s">
        <v>1150</v>
      </c>
      <c r="Q55" s="7" t="s">
        <v>1183</v>
      </c>
      <c r="R55" s="13" t="s">
        <v>1790</v>
      </c>
      <c r="S55" s="8" t="s">
        <v>4213</v>
      </c>
      <c r="T55" s="12"/>
      <c r="U55" s="12"/>
    </row>
    <row r="56" customFormat="false" ht="46.25" hidden="false" customHeight="false" outlineLevel="0" collapsed="false">
      <c r="A56" s="7" t="s">
        <v>4214</v>
      </c>
      <c r="B56" s="14" t="s">
        <v>4200</v>
      </c>
      <c r="C56" s="7" t="s">
        <v>496</v>
      </c>
      <c r="D56" s="7" t="s">
        <v>471</v>
      </c>
      <c r="E56" s="7" t="s">
        <v>496</v>
      </c>
      <c r="F56" s="7" t="s">
        <v>4215</v>
      </c>
      <c r="G56" s="7" t="s">
        <v>3992</v>
      </c>
      <c r="H56" s="7" t="s">
        <v>928</v>
      </c>
      <c r="I56" s="7" t="s">
        <v>1148</v>
      </c>
      <c r="J56" s="8" t="s">
        <v>4216</v>
      </c>
      <c r="K56" s="8" t="s">
        <v>474</v>
      </c>
      <c r="L56" s="7" t="s">
        <v>998</v>
      </c>
      <c r="M56" s="7" t="s">
        <v>4217</v>
      </c>
      <c r="N56" s="7" t="s">
        <v>952</v>
      </c>
      <c r="O56" s="7" t="s">
        <v>4203</v>
      </c>
      <c r="P56" s="7" t="s">
        <v>1150</v>
      </c>
      <c r="Q56" s="7" t="s">
        <v>1480</v>
      </c>
      <c r="R56" s="7" t="s">
        <v>1152</v>
      </c>
      <c r="S56" s="8" t="s">
        <v>4218</v>
      </c>
      <c r="T56" s="12"/>
      <c r="U56" s="12"/>
    </row>
    <row r="57" customFormat="false" ht="46.25" hidden="false" customHeight="false" outlineLevel="0" collapsed="false">
      <c r="A57" s="7" t="s">
        <v>4219</v>
      </c>
      <c r="B57" s="14" t="s">
        <v>4200</v>
      </c>
      <c r="C57" s="7" t="s">
        <v>496</v>
      </c>
      <c r="D57" s="7" t="s">
        <v>471</v>
      </c>
      <c r="E57" s="7" t="s">
        <v>496</v>
      </c>
      <c r="F57" s="7" t="s">
        <v>4220</v>
      </c>
      <c r="G57" s="7" t="s">
        <v>3992</v>
      </c>
      <c r="H57" s="7" t="s">
        <v>928</v>
      </c>
      <c r="I57" s="7" t="s">
        <v>1148</v>
      </c>
      <c r="J57" s="8" t="s">
        <v>4221</v>
      </c>
      <c r="K57" s="8" t="s">
        <v>474</v>
      </c>
      <c r="L57" s="7" t="s">
        <v>998</v>
      </c>
      <c r="M57" s="7" t="s">
        <v>4222</v>
      </c>
      <c r="N57" s="7" t="s">
        <v>952</v>
      </c>
      <c r="O57" s="7" t="s">
        <v>4203</v>
      </c>
      <c r="P57" s="7" t="s">
        <v>1150</v>
      </c>
      <c r="Q57" s="7" t="s">
        <v>1480</v>
      </c>
      <c r="R57" s="7" t="s">
        <v>1152</v>
      </c>
      <c r="S57" s="8" t="s">
        <v>4223</v>
      </c>
      <c r="T57" s="12"/>
      <c r="U57" s="12"/>
    </row>
    <row r="58" customFormat="false" ht="35.05" hidden="false" customHeight="false" outlineLevel="0" collapsed="false">
      <c r="A58" s="7" t="s">
        <v>4224</v>
      </c>
      <c r="B58" s="14" t="s">
        <v>4225</v>
      </c>
      <c r="C58" s="7" t="s">
        <v>496</v>
      </c>
      <c r="D58" s="7" t="s">
        <v>471</v>
      </c>
      <c r="E58" s="7" t="s">
        <v>496</v>
      </c>
      <c r="F58" s="7" t="s">
        <v>4226</v>
      </c>
      <c r="G58" s="7" t="s">
        <v>3992</v>
      </c>
      <c r="H58" s="7" t="s">
        <v>928</v>
      </c>
      <c r="I58" s="7" t="s">
        <v>1148</v>
      </c>
      <c r="J58" s="8" t="s">
        <v>4227</v>
      </c>
      <c r="K58" s="8" t="s">
        <v>474</v>
      </c>
      <c r="L58" s="7" t="s">
        <v>483</v>
      </c>
      <c r="M58" s="7" t="s">
        <v>4228</v>
      </c>
      <c r="N58" s="7" t="n">
        <v>3</v>
      </c>
      <c r="O58" s="7" t="s">
        <v>497</v>
      </c>
      <c r="P58" s="7" t="s">
        <v>1150</v>
      </c>
      <c r="Q58" s="7" t="s">
        <v>1183</v>
      </c>
      <c r="R58" s="7" t="s">
        <v>1152</v>
      </c>
      <c r="S58" s="8" t="s">
        <v>3984</v>
      </c>
      <c r="T58" s="12"/>
      <c r="U58" s="12"/>
    </row>
    <row r="59" customFormat="false" ht="46.25" hidden="false" customHeight="false" outlineLevel="0" collapsed="false">
      <c r="A59" s="7" t="s">
        <v>4229</v>
      </c>
      <c r="B59" s="14" t="s">
        <v>4225</v>
      </c>
      <c r="C59" s="7" t="s">
        <v>496</v>
      </c>
      <c r="D59" s="7" t="s">
        <v>471</v>
      </c>
      <c r="E59" s="7" t="s">
        <v>496</v>
      </c>
      <c r="F59" s="7" t="s">
        <v>4230</v>
      </c>
      <c r="G59" s="7" t="s">
        <v>3992</v>
      </c>
      <c r="H59" s="7" t="s">
        <v>943</v>
      </c>
      <c r="I59" s="7" t="s">
        <v>1424</v>
      </c>
      <c r="J59" s="8" t="s">
        <v>4231</v>
      </c>
      <c r="K59" s="8" t="s">
        <v>474</v>
      </c>
      <c r="L59" s="7" t="s">
        <v>606</v>
      </c>
      <c r="M59" s="7" t="s">
        <v>4232</v>
      </c>
      <c r="N59" s="7" t="n">
        <v>4</v>
      </c>
      <c r="O59" s="7" t="s">
        <v>4228</v>
      </c>
      <c r="P59" s="7" t="s">
        <v>1150</v>
      </c>
      <c r="Q59" s="7" t="s">
        <v>1183</v>
      </c>
      <c r="R59" s="7" t="s">
        <v>1152</v>
      </c>
      <c r="S59" s="8" t="s">
        <v>4208</v>
      </c>
      <c r="T59" s="12"/>
      <c r="U59" s="12"/>
    </row>
    <row r="60" customFormat="false" ht="46.25" hidden="false" customHeight="false" outlineLevel="0" collapsed="false">
      <c r="A60" s="7" t="s">
        <v>4233</v>
      </c>
      <c r="B60" s="14" t="s">
        <v>4225</v>
      </c>
      <c r="C60" s="7" t="s">
        <v>496</v>
      </c>
      <c r="D60" s="7" t="s">
        <v>471</v>
      </c>
      <c r="E60" s="7" t="s">
        <v>496</v>
      </c>
      <c r="F60" s="7" t="s">
        <v>4234</v>
      </c>
      <c r="G60" s="7" t="s">
        <v>3992</v>
      </c>
      <c r="H60" s="7" t="s">
        <v>943</v>
      </c>
      <c r="I60" s="7" t="s">
        <v>1424</v>
      </c>
      <c r="J60" s="8" t="s">
        <v>4235</v>
      </c>
      <c r="K60" s="8" t="s">
        <v>474</v>
      </c>
      <c r="L60" s="7" t="s">
        <v>606</v>
      </c>
      <c r="M60" s="7" t="s">
        <v>4236</v>
      </c>
      <c r="N60" s="7" t="n">
        <v>4</v>
      </c>
      <c r="O60" s="7" t="s">
        <v>4228</v>
      </c>
      <c r="P60" s="7" t="s">
        <v>1150</v>
      </c>
      <c r="Q60" s="7" t="s">
        <v>1183</v>
      </c>
      <c r="R60" s="13" t="s">
        <v>1790</v>
      </c>
      <c r="S60" s="8" t="s">
        <v>4213</v>
      </c>
      <c r="T60" s="12"/>
      <c r="U60" s="12"/>
    </row>
    <row r="61" customFormat="false" ht="46.25" hidden="false" customHeight="false" outlineLevel="0" collapsed="false">
      <c r="A61" s="7" t="s">
        <v>4237</v>
      </c>
      <c r="B61" s="14" t="s">
        <v>4225</v>
      </c>
      <c r="C61" s="7" t="s">
        <v>496</v>
      </c>
      <c r="D61" s="7" t="s">
        <v>471</v>
      </c>
      <c r="E61" s="7" t="s">
        <v>496</v>
      </c>
      <c r="F61" s="7" t="s">
        <v>4238</v>
      </c>
      <c r="G61" s="7" t="s">
        <v>3992</v>
      </c>
      <c r="H61" s="7" t="s">
        <v>928</v>
      </c>
      <c r="I61" s="7" t="s">
        <v>1148</v>
      </c>
      <c r="J61" s="8" t="s">
        <v>4239</v>
      </c>
      <c r="K61" s="8" t="s">
        <v>474</v>
      </c>
      <c r="L61" s="7" t="s">
        <v>998</v>
      </c>
      <c r="M61" s="7" t="s">
        <v>4240</v>
      </c>
      <c r="N61" s="7" t="s">
        <v>952</v>
      </c>
      <c r="O61" s="7" t="s">
        <v>4228</v>
      </c>
      <c r="P61" s="7" t="s">
        <v>1150</v>
      </c>
      <c r="Q61" s="7" t="s">
        <v>1480</v>
      </c>
      <c r="R61" s="7" t="s">
        <v>1152</v>
      </c>
      <c r="S61" s="8" t="s">
        <v>4218</v>
      </c>
      <c r="T61" s="12"/>
      <c r="U61" s="12"/>
    </row>
    <row r="62" customFormat="false" ht="46.25" hidden="false" customHeight="false" outlineLevel="0" collapsed="false">
      <c r="A62" s="7" t="s">
        <v>4241</v>
      </c>
      <c r="B62" s="14" t="s">
        <v>4225</v>
      </c>
      <c r="C62" s="7" t="s">
        <v>496</v>
      </c>
      <c r="D62" s="7" t="s">
        <v>471</v>
      </c>
      <c r="E62" s="7" t="s">
        <v>496</v>
      </c>
      <c r="F62" s="7" t="s">
        <v>4242</v>
      </c>
      <c r="G62" s="7" t="s">
        <v>3992</v>
      </c>
      <c r="H62" s="7" t="s">
        <v>928</v>
      </c>
      <c r="I62" s="7" t="s">
        <v>1148</v>
      </c>
      <c r="J62" s="8" t="s">
        <v>4243</v>
      </c>
      <c r="K62" s="8" t="s">
        <v>474</v>
      </c>
      <c r="L62" s="7" t="s">
        <v>998</v>
      </c>
      <c r="M62" s="7" t="s">
        <v>4244</v>
      </c>
      <c r="N62" s="7" t="s">
        <v>952</v>
      </c>
      <c r="O62" s="7" t="s">
        <v>4228</v>
      </c>
      <c r="P62" s="7" t="s">
        <v>1150</v>
      </c>
      <c r="Q62" s="7" t="s">
        <v>1480</v>
      </c>
      <c r="R62" s="7" t="s">
        <v>1152</v>
      </c>
      <c r="S62" s="8" t="s">
        <v>4223</v>
      </c>
      <c r="T62" s="12"/>
      <c r="U62" s="12"/>
    </row>
    <row r="63" customFormat="false" ht="35.05" hidden="false" customHeight="false" outlineLevel="0" collapsed="false">
      <c r="A63" s="7" t="s">
        <v>4245</v>
      </c>
      <c r="B63" s="14" t="s">
        <v>4246</v>
      </c>
      <c r="C63" s="7" t="s">
        <v>496</v>
      </c>
      <c r="D63" s="7" t="s">
        <v>471</v>
      </c>
      <c r="E63" s="7" t="s">
        <v>496</v>
      </c>
      <c r="F63" s="7" t="s">
        <v>4247</v>
      </c>
      <c r="G63" s="7" t="s">
        <v>3992</v>
      </c>
      <c r="H63" s="7" t="s">
        <v>928</v>
      </c>
      <c r="I63" s="7" t="s">
        <v>1148</v>
      </c>
      <c r="J63" s="8" t="s">
        <v>4248</v>
      </c>
      <c r="K63" s="8" t="s">
        <v>474</v>
      </c>
      <c r="L63" s="7" t="s">
        <v>483</v>
      </c>
      <c r="M63" s="7" t="s">
        <v>4249</v>
      </c>
      <c r="N63" s="7" t="n">
        <v>3</v>
      </c>
      <c r="O63" s="7" t="s">
        <v>497</v>
      </c>
      <c r="P63" s="7" t="s">
        <v>1150</v>
      </c>
      <c r="Q63" s="7" t="s">
        <v>1183</v>
      </c>
      <c r="R63" s="7" t="s">
        <v>1152</v>
      </c>
      <c r="S63" s="8" t="s">
        <v>3984</v>
      </c>
      <c r="T63" s="12"/>
      <c r="U63" s="12"/>
    </row>
    <row r="64" customFormat="false" ht="46.25" hidden="false" customHeight="false" outlineLevel="0" collapsed="false">
      <c r="A64" s="7" t="s">
        <v>4250</v>
      </c>
      <c r="B64" s="14" t="s">
        <v>4246</v>
      </c>
      <c r="C64" s="7" t="s">
        <v>496</v>
      </c>
      <c r="D64" s="7" t="s">
        <v>471</v>
      </c>
      <c r="E64" s="7" t="s">
        <v>496</v>
      </c>
      <c r="F64" s="7" t="s">
        <v>4251</v>
      </c>
      <c r="G64" s="7" t="s">
        <v>3992</v>
      </c>
      <c r="H64" s="7" t="s">
        <v>943</v>
      </c>
      <c r="I64" s="7" t="s">
        <v>1424</v>
      </c>
      <c r="J64" s="8" t="s">
        <v>4252</v>
      </c>
      <c r="K64" s="8" t="s">
        <v>474</v>
      </c>
      <c r="L64" s="7" t="s">
        <v>606</v>
      </c>
      <c r="M64" s="7" t="s">
        <v>4253</v>
      </c>
      <c r="N64" s="7" t="n">
        <v>4</v>
      </c>
      <c r="O64" s="7" t="s">
        <v>4249</v>
      </c>
      <c r="P64" s="7" t="s">
        <v>1150</v>
      </c>
      <c r="Q64" s="7" t="s">
        <v>1183</v>
      </c>
      <c r="R64" s="7" t="s">
        <v>1152</v>
      </c>
      <c r="S64" s="8" t="s">
        <v>4208</v>
      </c>
      <c r="T64" s="12"/>
      <c r="U64" s="12"/>
    </row>
    <row r="65" customFormat="false" ht="46.25" hidden="false" customHeight="false" outlineLevel="0" collapsed="false">
      <c r="A65" s="7" t="s">
        <v>4254</v>
      </c>
      <c r="B65" s="14" t="s">
        <v>4246</v>
      </c>
      <c r="C65" s="7" t="s">
        <v>496</v>
      </c>
      <c r="D65" s="7" t="s">
        <v>471</v>
      </c>
      <c r="E65" s="7" t="s">
        <v>496</v>
      </c>
      <c r="F65" s="7" t="s">
        <v>4255</v>
      </c>
      <c r="G65" s="7" t="s">
        <v>3992</v>
      </c>
      <c r="H65" s="7" t="s">
        <v>943</v>
      </c>
      <c r="I65" s="7" t="s">
        <v>1424</v>
      </c>
      <c r="J65" s="8" t="s">
        <v>4256</v>
      </c>
      <c r="K65" s="8" t="s">
        <v>474</v>
      </c>
      <c r="L65" s="7" t="s">
        <v>606</v>
      </c>
      <c r="M65" s="7" t="s">
        <v>4257</v>
      </c>
      <c r="N65" s="7" t="n">
        <v>4</v>
      </c>
      <c r="O65" s="7" t="s">
        <v>4249</v>
      </c>
      <c r="P65" s="7" t="s">
        <v>1150</v>
      </c>
      <c r="Q65" s="7" t="s">
        <v>1183</v>
      </c>
      <c r="R65" s="13" t="s">
        <v>1790</v>
      </c>
      <c r="S65" s="8" t="s">
        <v>4213</v>
      </c>
      <c r="T65" s="12"/>
      <c r="U65" s="12"/>
    </row>
    <row r="66" customFormat="false" ht="46.25" hidden="false" customHeight="false" outlineLevel="0" collapsed="false">
      <c r="A66" s="7" t="s">
        <v>4258</v>
      </c>
      <c r="B66" s="14" t="s">
        <v>4246</v>
      </c>
      <c r="C66" s="7" t="s">
        <v>496</v>
      </c>
      <c r="D66" s="7" t="s">
        <v>471</v>
      </c>
      <c r="E66" s="7" t="s">
        <v>496</v>
      </c>
      <c r="F66" s="7" t="s">
        <v>4259</v>
      </c>
      <c r="G66" s="7" t="s">
        <v>3992</v>
      </c>
      <c r="H66" s="7" t="s">
        <v>928</v>
      </c>
      <c r="I66" s="7" t="s">
        <v>1148</v>
      </c>
      <c r="J66" s="8" t="s">
        <v>4260</v>
      </c>
      <c r="K66" s="8" t="s">
        <v>474</v>
      </c>
      <c r="L66" s="7" t="s">
        <v>998</v>
      </c>
      <c r="M66" s="7" t="s">
        <v>4261</v>
      </c>
      <c r="N66" s="7" t="s">
        <v>952</v>
      </c>
      <c r="O66" s="7" t="s">
        <v>4249</v>
      </c>
      <c r="P66" s="7" t="s">
        <v>1150</v>
      </c>
      <c r="Q66" s="7" t="s">
        <v>1480</v>
      </c>
      <c r="R66" s="7" t="s">
        <v>1152</v>
      </c>
      <c r="S66" s="8" t="s">
        <v>4218</v>
      </c>
      <c r="T66" s="12"/>
      <c r="U66" s="12"/>
    </row>
    <row r="67" customFormat="false" ht="46.25" hidden="false" customHeight="false" outlineLevel="0" collapsed="false">
      <c r="A67" s="7" t="s">
        <v>4262</v>
      </c>
      <c r="B67" s="14" t="s">
        <v>4246</v>
      </c>
      <c r="C67" s="7" t="s">
        <v>496</v>
      </c>
      <c r="D67" s="7" t="s">
        <v>471</v>
      </c>
      <c r="E67" s="7" t="s">
        <v>496</v>
      </c>
      <c r="F67" s="7" t="s">
        <v>4263</v>
      </c>
      <c r="G67" s="7" t="s">
        <v>3992</v>
      </c>
      <c r="H67" s="7" t="s">
        <v>928</v>
      </c>
      <c r="I67" s="7" t="s">
        <v>1148</v>
      </c>
      <c r="J67" s="8" t="s">
        <v>4264</v>
      </c>
      <c r="K67" s="8" t="s">
        <v>474</v>
      </c>
      <c r="L67" s="7" t="s">
        <v>998</v>
      </c>
      <c r="M67" s="7" t="s">
        <v>4265</v>
      </c>
      <c r="N67" s="7" t="s">
        <v>952</v>
      </c>
      <c r="O67" s="7" t="s">
        <v>4249</v>
      </c>
      <c r="P67" s="7" t="s">
        <v>1150</v>
      </c>
      <c r="Q67" s="7" t="s">
        <v>1480</v>
      </c>
      <c r="R67" s="7" t="s">
        <v>1152</v>
      </c>
      <c r="S67" s="8" t="s">
        <v>4223</v>
      </c>
      <c r="T67" s="12"/>
      <c r="U67" s="12"/>
    </row>
    <row r="68" customFormat="false" ht="35.05" hidden="false" customHeight="false" outlineLevel="0" collapsed="false">
      <c r="A68" s="7" t="s">
        <v>4266</v>
      </c>
      <c r="B68" s="14" t="s">
        <v>4267</v>
      </c>
      <c r="C68" s="7" t="s">
        <v>496</v>
      </c>
      <c r="D68" s="7" t="s">
        <v>471</v>
      </c>
      <c r="E68" s="7" t="s">
        <v>496</v>
      </c>
      <c r="F68" s="7" t="s">
        <v>4268</v>
      </c>
      <c r="G68" s="7" t="s">
        <v>3992</v>
      </c>
      <c r="H68" s="7" t="s">
        <v>928</v>
      </c>
      <c r="I68" s="7" t="s">
        <v>1148</v>
      </c>
      <c r="J68" s="8" t="s">
        <v>4269</v>
      </c>
      <c r="K68" s="8" t="s">
        <v>474</v>
      </c>
      <c r="L68" s="7" t="s">
        <v>483</v>
      </c>
      <c r="M68" s="7" t="s">
        <v>4270</v>
      </c>
      <c r="N68" s="7" t="n">
        <v>3</v>
      </c>
      <c r="O68" s="7" t="s">
        <v>497</v>
      </c>
      <c r="P68" s="7" t="s">
        <v>1150</v>
      </c>
      <c r="Q68" s="7" t="s">
        <v>1480</v>
      </c>
      <c r="R68" s="7" t="s">
        <v>1152</v>
      </c>
      <c r="S68" s="8" t="s">
        <v>3984</v>
      </c>
      <c r="T68" s="12"/>
      <c r="U68" s="12"/>
    </row>
    <row r="69" customFormat="false" ht="46.25" hidden="false" customHeight="false" outlineLevel="0" collapsed="false">
      <c r="A69" s="7" t="s">
        <v>4271</v>
      </c>
      <c r="B69" s="14" t="s">
        <v>4267</v>
      </c>
      <c r="C69" s="7" t="s">
        <v>496</v>
      </c>
      <c r="D69" s="7" t="s">
        <v>471</v>
      </c>
      <c r="E69" s="7" t="s">
        <v>496</v>
      </c>
      <c r="F69" s="7" t="s">
        <v>4272</v>
      </c>
      <c r="G69" s="7" t="s">
        <v>3992</v>
      </c>
      <c r="H69" s="7" t="s">
        <v>943</v>
      </c>
      <c r="I69" s="7" t="s">
        <v>1424</v>
      </c>
      <c r="J69" s="8" t="s">
        <v>4273</v>
      </c>
      <c r="K69" s="8" t="s">
        <v>474</v>
      </c>
      <c r="L69" s="7" t="s">
        <v>606</v>
      </c>
      <c r="M69" s="7" t="s">
        <v>4274</v>
      </c>
      <c r="N69" s="7" t="n">
        <v>4</v>
      </c>
      <c r="O69" s="7" t="s">
        <v>4270</v>
      </c>
      <c r="P69" s="7" t="s">
        <v>1150</v>
      </c>
      <c r="Q69" s="7" t="s">
        <v>1480</v>
      </c>
      <c r="R69" s="7" t="s">
        <v>1152</v>
      </c>
      <c r="S69" s="8" t="s">
        <v>4208</v>
      </c>
      <c r="T69" s="12"/>
      <c r="U69" s="12"/>
    </row>
    <row r="70" customFormat="false" ht="46.25" hidden="false" customHeight="false" outlineLevel="0" collapsed="false">
      <c r="A70" s="7" t="s">
        <v>4275</v>
      </c>
      <c r="B70" s="14" t="s">
        <v>4267</v>
      </c>
      <c r="C70" s="7" t="s">
        <v>496</v>
      </c>
      <c r="D70" s="7" t="s">
        <v>471</v>
      </c>
      <c r="E70" s="7" t="s">
        <v>496</v>
      </c>
      <c r="F70" s="7" t="s">
        <v>4276</v>
      </c>
      <c r="G70" s="7" t="s">
        <v>3992</v>
      </c>
      <c r="H70" s="7" t="s">
        <v>943</v>
      </c>
      <c r="I70" s="7" t="s">
        <v>1424</v>
      </c>
      <c r="J70" s="8" t="s">
        <v>4277</v>
      </c>
      <c r="K70" s="8" t="s">
        <v>474</v>
      </c>
      <c r="L70" s="7" t="s">
        <v>606</v>
      </c>
      <c r="M70" s="7" t="s">
        <v>4278</v>
      </c>
      <c r="N70" s="7" t="n">
        <v>4</v>
      </c>
      <c r="O70" s="7" t="s">
        <v>4270</v>
      </c>
      <c r="P70" s="7" t="s">
        <v>1150</v>
      </c>
      <c r="Q70" s="7" t="s">
        <v>1480</v>
      </c>
      <c r="R70" s="13" t="s">
        <v>1790</v>
      </c>
      <c r="S70" s="8" t="s">
        <v>4213</v>
      </c>
      <c r="T70" s="12"/>
      <c r="U70" s="12"/>
    </row>
    <row r="71" customFormat="false" ht="46.25" hidden="false" customHeight="false" outlineLevel="0" collapsed="false">
      <c r="A71" s="7" t="s">
        <v>4279</v>
      </c>
      <c r="B71" s="14" t="s">
        <v>4267</v>
      </c>
      <c r="C71" s="7" t="s">
        <v>496</v>
      </c>
      <c r="D71" s="7" t="s">
        <v>471</v>
      </c>
      <c r="E71" s="7" t="s">
        <v>496</v>
      </c>
      <c r="F71" s="7" t="s">
        <v>4280</v>
      </c>
      <c r="G71" s="7" t="s">
        <v>3992</v>
      </c>
      <c r="H71" s="7" t="s">
        <v>928</v>
      </c>
      <c r="I71" s="7" t="s">
        <v>1148</v>
      </c>
      <c r="J71" s="8" t="s">
        <v>4281</v>
      </c>
      <c r="K71" s="8" t="s">
        <v>474</v>
      </c>
      <c r="L71" s="7" t="s">
        <v>998</v>
      </c>
      <c r="M71" s="7" t="s">
        <v>4282</v>
      </c>
      <c r="N71" s="7" t="s">
        <v>952</v>
      </c>
      <c r="O71" s="7" t="s">
        <v>4270</v>
      </c>
      <c r="P71" s="7" t="s">
        <v>1150</v>
      </c>
      <c r="Q71" s="7" t="s">
        <v>1480</v>
      </c>
      <c r="R71" s="7" t="s">
        <v>1152</v>
      </c>
      <c r="S71" s="8" t="s">
        <v>4218</v>
      </c>
      <c r="T71" s="12"/>
      <c r="U71" s="12"/>
    </row>
    <row r="72" customFormat="false" ht="46.25" hidden="false" customHeight="false" outlineLevel="0" collapsed="false">
      <c r="A72" s="7" t="s">
        <v>4283</v>
      </c>
      <c r="B72" s="14" t="s">
        <v>4267</v>
      </c>
      <c r="C72" s="7" t="s">
        <v>496</v>
      </c>
      <c r="D72" s="7" t="s">
        <v>471</v>
      </c>
      <c r="E72" s="7" t="s">
        <v>496</v>
      </c>
      <c r="F72" s="7" t="s">
        <v>4284</v>
      </c>
      <c r="G72" s="7" t="s">
        <v>3992</v>
      </c>
      <c r="H72" s="7" t="s">
        <v>928</v>
      </c>
      <c r="I72" s="7" t="s">
        <v>1148</v>
      </c>
      <c r="J72" s="8" t="s">
        <v>4285</v>
      </c>
      <c r="K72" s="8" t="s">
        <v>474</v>
      </c>
      <c r="L72" s="7" t="s">
        <v>998</v>
      </c>
      <c r="M72" s="7" t="s">
        <v>4286</v>
      </c>
      <c r="N72" s="7" t="s">
        <v>952</v>
      </c>
      <c r="O72" s="7" t="s">
        <v>4270</v>
      </c>
      <c r="P72" s="7" t="s">
        <v>1150</v>
      </c>
      <c r="Q72" s="7" t="s">
        <v>1480</v>
      </c>
      <c r="R72" s="7" t="s">
        <v>1152</v>
      </c>
      <c r="S72" s="8" t="s">
        <v>4223</v>
      </c>
      <c r="T72" s="12"/>
      <c r="U72" s="12"/>
    </row>
    <row r="73" customFormat="false" ht="35.05" hidden="false" customHeight="false" outlineLevel="0" collapsed="false">
      <c r="A73" s="7" t="s">
        <v>4287</v>
      </c>
      <c r="B73" s="14" t="s">
        <v>4288</v>
      </c>
      <c r="C73" s="7" t="s">
        <v>496</v>
      </c>
      <c r="D73" s="7" t="s">
        <v>471</v>
      </c>
      <c r="E73" s="7" t="s">
        <v>496</v>
      </c>
      <c r="F73" s="7" t="s">
        <v>4289</v>
      </c>
      <c r="G73" s="7" t="s">
        <v>3992</v>
      </c>
      <c r="H73" s="7" t="s">
        <v>928</v>
      </c>
      <c r="I73" s="7" t="s">
        <v>1148</v>
      </c>
      <c r="J73" s="8" t="s">
        <v>4290</v>
      </c>
      <c r="K73" s="8" t="s">
        <v>474</v>
      </c>
      <c r="L73" s="7" t="s">
        <v>483</v>
      </c>
      <c r="M73" s="7" t="s">
        <v>4291</v>
      </c>
      <c r="N73" s="7" t="n">
        <v>3</v>
      </c>
      <c r="O73" s="7" t="s">
        <v>497</v>
      </c>
      <c r="P73" s="7" t="s">
        <v>1150</v>
      </c>
      <c r="Q73" s="7" t="s">
        <v>1480</v>
      </c>
      <c r="R73" s="7" t="s">
        <v>1152</v>
      </c>
      <c r="S73" s="8" t="s">
        <v>3984</v>
      </c>
      <c r="T73" s="12"/>
      <c r="U73" s="12"/>
    </row>
    <row r="74" customFormat="false" ht="46.25" hidden="false" customHeight="false" outlineLevel="0" collapsed="false">
      <c r="A74" s="7" t="s">
        <v>4292</v>
      </c>
      <c r="B74" s="14" t="s">
        <v>4288</v>
      </c>
      <c r="C74" s="7" t="s">
        <v>496</v>
      </c>
      <c r="D74" s="7" t="s">
        <v>471</v>
      </c>
      <c r="E74" s="7" t="s">
        <v>496</v>
      </c>
      <c r="F74" s="7" t="s">
        <v>4293</v>
      </c>
      <c r="G74" s="7" t="s">
        <v>3992</v>
      </c>
      <c r="H74" s="7" t="s">
        <v>943</v>
      </c>
      <c r="I74" s="7" t="s">
        <v>1424</v>
      </c>
      <c r="J74" s="8" t="s">
        <v>4294</v>
      </c>
      <c r="K74" s="8" t="s">
        <v>474</v>
      </c>
      <c r="L74" s="7" t="s">
        <v>606</v>
      </c>
      <c r="M74" s="7" t="s">
        <v>4295</v>
      </c>
      <c r="N74" s="7" t="n">
        <v>4</v>
      </c>
      <c r="O74" s="7" t="s">
        <v>4291</v>
      </c>
      <c r="P74" s="7" t="s">
        <v>1150</v>
      </c>
      <c r="Q74" s="7" t="s">
        <v>1480</v>
      </c>
      <c r="R74" s="7" t="s">
        <v>1152</v>
      </c>
      <c r="S74" s="8" t="s">
        <v>4208</v>
      </c>
      <c r="T74" s="12"/>
      <c r="U74" s="12"/>
    </row>
    <row r="75" customFormat="false" ht="46.25" hidden="false" customHeight="false" outlineLevel="0" collapsed="false">
      <c r="A75" s="7" t="s">
        <v>4296</v>
      </c>
      <c r="B75" s="14" t="s">
        <v>4288</v>
      </c>
      <c r="C75" s="7" t="s">
        <v>496</v>
      </c>
      <c r="D75" s="7" t="s">
        <v>471</v>
      </c>
      <c r="E75" s="7" t="s">
        <v>496</v>
      </c>
      <c r="F75" s="7" t="s">
        <v>4297</v>
      </c>
      <c r="G75" s="7" t="s">
        <v>3992</v>
      </c>
      <c r="H75" s="7" t="s">
        <v>943</v>
      </c>
      <c r="I75" s="7" t="s">
        <v>1424</v>
      </c>
      <c r="J75" s="8" t="s">
        <v>4298</v>
      </c>
      <c r="K75" s="8" t="s">
        <v>474</v>
      </c>
      <c r="L75" s="7" t="s">
        <v>606</v>
      </c>
      <c r="M75" s="7" t="s">
        <v>4299</v>
      </c>
      <c r="N75" s="7" t="n">
        <v>4</v>
      </c>
      <c r="O75" s="7" t="s">
        <v>4291</v>
      </c>
      <c r="P75" s="7" t="s">
        <v>1150</v>
      </c>
      <c r="Q75" s="7" t="s">
        <v>1480</v>
      </c>
      <c r="R75" s="13" t="s">
        <v>1790</v>
      </c>
      <c r="S75" s="8" t="s">
        <v>4213</v>
      </c>
      <c r="T75" s="12"/>
      <c r="U75" s="12"/>
    </row>
    <row r="76" customFormat="false" ht="46.25" hidden="false" customHeight="false" outlineLevel="0" collapsed="false">
      <c r="A76" s="7" t="s">
        <v>4300</v>
      </c>
      <c r="B76" s="14" t="s">
        <v>4288</v>
      </c>
      <c r="C76" s="7" t="s">
        <v>496</v>
      </c>
      <c r="D76" s="7" t="s">
        <v>471</v>
      </c>
      <c r="E76" s="7" t="s">
        <v>496</v>
      </c>
      <c r="F76" s="7" t="s">
        <v>4301</v>
      </c>
      <c r="G76" s="7" t="s">
        <v>3992</v>
      </c>
      <c r="H76" s="7" t="s">
        <v>928</v>
      </c>
      <c r="I76" s="7" t="s">
        <v>1148</v>
      </c>
      <c r="J76" s="8" t="s">
        <v>4302</v>
      </c>
      <c r="K76" s="8" t="s">
        <v>474</v>
      </c>
      <c r="L76" s="7" t="s">
        <v>998</v>
      </c>
      <c r="M76" s="7" t="s">
        <v>4303</v>
      </c>
      <c r="N76" s="7" t="s">
        <v>952</v>
      </c>
      <c r="O76" s="7" t="s">
        <v>4291</v>
      </c>
      <c r="P76" s="7" t="s">
        <v>1150</v>
      </c>
      <c r="Q76" s="7" t="s">
        <v>1480</v>
      </c>
      <c r="R76" s="7" t="s">
        <v>1152</v>
      </c>
      <c r="S76" s="8" t="s">
        <v>4218</v>
      </c>
      <c r="T76" s="12"/>
      <c r="U76" s="12"/>
    </row>
    <row r="77" customFormat="false" ht="46.25" hidden="false" customHeight="false" outlineLevel="0" collapsed="false">
      <c r="A77" s="7" t="s">
        <v>4304</v>
      </c>
      <c r="B77" s="14" t="s">
        <v>4288</v>
      </c>
      <c r="C77" s="7" t="s">
        <v>496</v>
      </c>
      <c r="D77" s="7" t="s">
        <v>471</v>
      </c>
      <c r="E77" s="7" t="s">
        <v>496</v>
      </c>
      <c r="F77" s="7" t="s">
        <v>4305</v>
      </c>
      <c r="G77" s="7" t="s">
        <v>3992</v>
      </c>
      <c r="H77" s="7" t="s">
        <v>928</v>
      </c>
      <c r="I77" s="7" t="s">
        <v>1148</v>
      </c>
      <c r="J77" s="8" t="s">
        <v>4306</v>
      </c>
      <c r="K77" s="8" t="s">
        <v>474</v>
      </c>
      <c r="L77" s="7" t="s">
        <v>998</v>
      </c>
      <c r="M77" s="7" t="s">
        <v>4307</v>
      </c>
      <c r="N77" s="7" t="s">
        <v>952</v>
      </c>
      <c r="O77" s="7" t="s">
        <v>4291</v>
      </c>
      <c r="P77" s="7" t="s">
        <v>1150</v>
      </c>
      <c r="Q77" s="7" t="s">
        <v>1480</v>
      </c>
      <c r="R77" s="7" t="s">
        <v>1152</v>
      </c>
      <c r="S77" s="8" t="s">
        <v>4223</v>
      </c>
      <c r="T77" s="12"/>
      <c r="U77" s="12"/>
    </row>
    <row r="78" customFormat="false" ht="35.05" hidden="false" customHeight="false" outlineLevel="0" collapsed="false">
      <c r="A78" s="7" t="s">
        <v>4308</v>
      </c>
      <c r="B78" s="14" t="s">
        <v>4309</v>
      </c>
      <c r="C78" s="7" t="s">
        <v>496</v>
      </c>
      <c r="D78" s="7" t="s">
        <v>471</v>
      </c>
      <c r="E78" s="7" t="s">
        <v>496</v>
      </c>
      <c r="F78" s="7" t="s">
        <v>4310</v>
      </c>
      <c r="G78" s="7" t="s">
        <v>3992</v>
      </c>
      <c r="H78" s="7" t="s">
        <v>928</v>
      </c>
      <c r="I78" s="7" t="s">
        <v>1148</v>
      </c>
      <c r="J78" s="8" t="s">
        <v>4311</v>
      </c>
      <c r="K78" s="8" t="s">
        <v>474</v>
      </c>
      <c r="L78" s="7" t="s">
        <v>483</v>
      </c>
      <c r="M78" s="7" t="s">
        <v>4312</v>
      </c>
      <c r="N78" s="7" t="n">
        <v>3</v>
      </c>
      <c r="O78" s="7" t="s">
        <v>497</v>
      </c>
      <c r="P78" s="7" t="s">
        <v>1150</v>
      </c>
      <c r="Q78" s="7" t="s">
        <v>1480</v>
      </c>
      <c r="R78" s="7" t="s">
        <v>1152</v>
      </c>
      <c r="S78" s="8" t="s">
        <v>3984</v>
      </c>
      <c r="T78" s="12"/>
      <c r="U78" s="12"/>
    </row>
    <row r="79" customFormat="false" ht="46.25" hidden="false" customHeight="false" outlineLevel="0" collapsed="false">
      <c r="A79" s="7" t="s">
        <v>4313</v>
      </c>
      <c r="B79" s="14" t="s">
        <v>4309</v>
      </c>
      <c r="C79" s="7" t="s">
        <v>496</v>
      </c>
      <c r="D79" s="7" t="s">
        <v>471</v>
      </c>
      <c r="E79" s="7" t="s">
        <v>496</v>
      </c>
      <c r="F79" s="7" t="s">
        <v>4314</v>
      </c>
      <c r="G79" s="7" t="s">
        <v>3992</v>
      </c>
      <c r="H79" s="7" t="s">
        <v>943</v>
      </c>
      <c r="I79" s="7" t="s">
        <v>1424</v>
      </c>
      <c r="J79" s="8" t="s">
        <v>4315</v>
      </c>
      <c r="K79" s="8" t="s">
        <v>474</v>
      </c>
      <c r="L79" s="7" t="s">
        <v>606</v>
      </c>
      <c r="M79" s="7" t="s">
        <v>4316</v>
      </c>
      <c r="N79" s="7" t="n">
        <v>4</v>
      </c>
      <c r="O79" s="7" t="s">
        <v>4312</v>
      </c>
      <c r="P79" s="7" t="s">
        <v>1150</v>
      </c>
      <c r="Q79" s="7" t="s">
        <v>1480</v>
      </c>
      <c r="R79" s="7" t="s">
        <v>1152</v>
      </c>
      <c r="S79" s="8" t="s">
        <v>4208</v>
      </c>
      <c r="T79" s="12"/>
      <c r="U79" s="12"/>
    </row>
    <row r="80" customFormat="false" ht="46.25" hidden="false" customHeight="false" outlineLevel="0" collapsed="false">
      <c r="A80" s="7" t="s">
        <v>4317</v>
      </c>
      <c r="B80" s="14" t="s">
        <v>4309</v>
      </c>
      <c r="C80" s="7" t="s">
        <v>496</v>
      </c>
      <c r="D80" s="7" t="s">
        <v>471</v>
      </c>
      <c r="E80" s="7" t="s">
        <v>496</v>
      </c>
      <c r="F80" s="7" t="s">
        <v>4318</v>
      </c>
      <c r="G80" s="7" t="s">
        <v>3992</v>
      </c>
      <c r="H80" s="7" t="s">
        <v>943</v>
      </c>
      <c r="I80" s="7" t="s">
        <v>1424</v>
      </c>
      <c r="J80" s="8" t="s">
        <v>4319</v>
      </c>
      <c r="K80" s="8" t="s">
        <v>474</v>
      </c>
      <c r="L80" s="7" t="s">
        <v>606</v>
      </c>
      <c r="M80" s="7" t="s">
        <v>4320</v>
      </c>
      <c r="N80" s="7" t="n">
        <v>4</v>
      </c>
      <c r="O80" s="7" t="s">
        <v>4312</v>
      </c>
      <c r="P80" s="7" t="s">
        <v>1150</v>
      </c>
      <c r="Q80" s="7" t="s">
        <v>1480</v>
      </c>
      <c r="R80" s="13" t="s">
        <v>1790</v>
      </c>
      <c r="S80" s="8" t="s">
        <v>4213</v>
      </c>
      <c r="T80" s="12"/>
      <c r="U80" s="12"/>
    </row>
    <row r="81" customFormat="false" ht="46.25" hidden="false" customHeight="false" outlineLevel="0" collapsed="false">
      <c r="A81" s="7" t="s">
        <v>4321</v>
      </c>
      <c r="B81" s="14" t="s">
        <v>4309</v>
      </c>
      <c r="C81" s="7" t="s">
        <v>496</v>
      </c>
      <c r="D81" s="7" t="s">
        <v>471</v>
      </c>
      <c r="E81" s="7" t="s">
        <v>496</v>
      </c>
      <c r="F81" s="7" t="s">
        <v>4322</v>
      </c>
      <c r="G81" s="7" t="s">
        <v>3992</v>
      </c>
      <c r="H81" s="7" t="s">
        <v>928</v>
      </c>
      <c r="I81" s="7" t="s">
        <v>1148</v>
      </c>
      <c r="J81" s="8" t="s">
        <v>4323</v>
      </c>
      <c r="K81" s="8" t="s">
        <v>474</v>
      </c>
      <c r="L81" s="7" t="s">
        <v>998</v>
      </c>
      <c r="M81" s="7" t="s">
        <v>4324</v>
      </c>
      <c r="N81" s="7" t="s">
        <v>952</v>
      </c>
      <c r="O81" s="7" t="s">
        <v>4312</v>
      </c>
      <c r="P81" s="7" t="s">
        <v>1150</v>
      </c>
      <c r="Q81" s="7" t="s">
        <v>1480</v>
      </c>
      <c r="R81" s="7" t="s">
        <v>1152</v>
      </c>
      <c r="S81" s="8" t="s">
        <v>4218</v>
      </c>
      <c r="T81" s="12"/>
      <c r="U81" s="12"/>
    </row>
    <row r="82" customFormat="false" ht="46.25" hidden="false" customHeight="false" outlineLevel="0" collapsed="false">
      <c r="A82" s="7" t="s">
        <v>4325</v>
      </c>
      <c r="B82" s="14" t="s">
        <v>4309</v>
      </c>
      <c r="C82" s="7" t="s">
        <v>496</v>
      </c>
      <c r="D82" s="7" t="s">
        <v>471</v>
      </c>
      <c r="E82" s="7" t="s">
        <v>496</v>
      </c>
      <c r="F82" s="7" t="s">
        <v>4326</v>
      </c>
      <c r="G82" s="7" t="s">
        <v>3992</v>
      </c>
      <c r="H82" s="7" t="s">
        <v>928</v>
      </c>
      <c r="I82" s="7" t="s">
        <v>1148</v>
      </c>
      <c r="J82" s="8" t="s">
        <v>4327</v>
      </c>
      <c r="K82" s="8" t="s">
        <v>474</v>
      </c>
      <c r="L82" s="7" t="s">
        <v>998</v>
      </c>
      <c r="M82" s="7" t="s">
        <v>4328</v>
      </c>
      <c r="N82" s="7" t="s">
        <v>952</v>
      </c>
      <c r="O82" s="7" t="s">
        <v>4312</v>
      </c>
      <c r="P82" s="7" t="s">
        <v>1150</v>
      </c>
      <c r="Q82" s="7" t="s">
        <v>1480</v>
      </c>
      <c r="R82" s="7" t="s">
        <v>1152</v>
      </c>
      <c r="S82" s="8" t="s">
        <v>4223</v>
      </c>
      <c r="T82" s="12"/>
      <c r="U82" s="12"/>
    </row>
    <row r="83" customFormat="false" ht="35.05" hidden="false" customHeight="false" outlineLevel="0" collapsed="false">
      <c r="A83" s="7" t="s">
        <v>4329</v>
      </c>
      <c r="B83" s="14" t="s">
        <v>3986</v>
      </c>
      <c r="C83" s="7" t="s">
        <v>501</v>
      </c>
      <c r="D83" s="7" t="s">
        <v>471</v>
      </c>
      <c r="E83" s="7" t="s">
        <v>864</v>
      </c>
      <c r="F83" s="7" t="s">
        <v>501</v>
      </c>
      <c r="G83" s="7" t="s">
        <v>3987</v>
      </c>
      <c r="H83" s="7" t="s">
        <v>928</v>
      </c>
      <c r="I83" s="7" t="s">
        <v>1148</v>
      </c>
      <c r="J83" s="8" t="s">
        <v>4330</v>
      </c>
      <c r="K83" s="8" t="s">
        <v>474</v>
      </c>
      <c r="L83" s="7" t="s">
        <v>478</v>
      </c>
      <c r="M83" s="7" t="s">
        <v>502</v>
      </c>
      <c r="N83" s="7" t="n">
        <v>2</v>
      </c>
      <c r="O83" s="7" t="s">
        <v>472</v>
      </c>
      <c r="P83" s="7" t="s">
        <v>1150</v>
      </c>
      <c r="Q83" s="7" t="s">
        <v>1183</v>
      </c>
      <c r="R83" s="7" t="s">
        <v>1152</v>
      </c>
      <c r="S83" s="8"/>
      <c r="T83" s="12"/>
      <c r="U83" s="12"/>
    </row>
    <row r="84" customFormat="false" ht="35.05" hidden="false" customHeight="false" outlineLevel="0" collapsed="false">
      <c r="A84" s="7" t="s">
        <v>4331</v>
      </c>
      <c r="B84" s="14" t="s">
        <v>4332</v>
      </c>
      <c r="C84" s="7" t="s">
        <v>501</v>
      </c>
      <c r="D84" s="7" t="s">
        <v>471</v>
      </c>
      <c r="E84" s="7" t="s">
        <v>501</v>
      </c>
      <c r="F84" s="7" t="s">
        <v>4333</v>
      </c>
      <c r="G84" s="7" t="s">
        <v>3992</v>
      </c>
      <c r="H84" s="7" t="s">
        <v>928</v>
      </c>
      <c r="I84" s="7" t="s">
        <v>1148</v>
      </c>
      <c r="J84" s="8" t="s">
        <v>4334</v>
      </c>
      <c r="K84" s="8" t="s">
        <v>474</v>
      </c>
      <c r="L84" s="7" t="s">
        <v>483</v>
      </c>
      <c r="M84" s="7" t="s">
        <v>4335</v>
      </c>
      <c r="N84" s="7" t="n">
        <v>3</v>
      </c>
      <c r="O84" s="7" t="s">
        <v>502</v>
      </c>
      <c r="P84" s="7" t="s">
        <v>1150</v>
      </c>
      <c r="Q84" s="7" t="s">
        <v>1183</v>
      </c>
      <c r="R84" s="7" t="s">
        <v>1152</v>
      </c>
      <c r="S84" s="8" t="s">
        <v>3984</v>
      </c>
      <c r="T84" s="12"/>
      <c r="U84" s="12"/>
    </row>
    <row r="85" customFormat="false" ht="46.25" hidden="false" customHeight="false" outlineLevel="0" collapsed="false">
      <c r="A85" s="7" t="s">
        <v>4336</v>
      </c>
      <c r="B85" s="14" t="s">
        <v>4332</v>
      </c>
      <c r="C85" s="7" t="s">
        <v>501</v>
      </c>
      <c r="D85" s="7" t="s">
        <v>471</v>
      </c>
      <c r="E85" s="7" t="s">
        <v>501</v>
      </c>
      <c r="F85" s="7" t="s">
        <v>4337</v>
      </c>
      <c r="G85" s="7" t="s">
        <v>3992</v>
      </c>
      <c r="H85" s="7" t="s">
        <v>943</v>
      </c>
      <c r="I85" s="7" t="s">
        <v>1424</v>
      </c>
      <c r="J85" s="8" t="s">
        <v>4338</v>
      </c>
      <c r="K85" s="8" t="s">
        <v>474</v>
      </c>
      <c r="L85" s="7" t="s">
        <v>998</v>
      </c>
      <c r="M85" s="7" t="s">
        <v>4339</v>
      </c>
      <c r="N85" s="7" t="s">
        <v>952</v>
      </c>
      <c r="O85" s="7" t="s">
        <v>4335</v>
      </c>
      <c r="P85" s="7" t="s">
        <v>1150</v>
      </c>
      <c r="Q85" s="7" t="s">
        <v>1480</v>
      </c>
      <c r="R85" s="7" t="s">
        <v>1152</v>
      </c>
      <c r="S85" s="8" t="s">
        <v>4340</v>
      </c>
      <c r="T85" s="12"/>
      <c r="U85" s="12"/>
    </row>
    <row r="86" customFormat="false" ht="46.25" hidden="false" customHeight="false" outlineLevel="0" collapsed="false">
      <c r="A86" s="7" t="s">
        <v>4341</v>
      </c>
      <c r="B86" s="14" t="s">
        <v>4332</v>
      </c>
      <c r="C86" s="7" t="s">
        <v>501</v>
      </c>
      <c r="D86" s="7" t="s">
        <v>471</v>
      </c>
      <c r="E86" s="7" t="s">
        <v>501</v>
      </c>
      <c r="F86" s="7" t="s">
        <v>4342</v>
      </c>
      <c r="G86" s="7" t="s">
        <v>3992</v>
      </c>
      <c r="H86" s="7" t="s">
        <v>928</v>
      </c>
      <c r="I86" s="7" t="s">
        <v>1148</v>
      </c>
      <c r="J86" s="8" t="s">
        <v>4343</v>
      </c>
      <c r="K86" s="8" t="s">
        <v>474</v>
      </c>
      <c r="L86" s="7" t="s">
        <v>606</v>
      </c>
      <c r="M86" s="7" t="s">
        <v>4344</v>
      </c>
      <c r="N86" s="7" t="n">
        <v>4</v>
      </c>
      <c r="O86" s="7" t="s">
        <v>4335</v>
      </c>
      <c r="P86" s="7" t="s">
        <v>1150</v>
      </c>
      <c r="Q86" s="7" t="s">
        <v>1183</v>
      </c>
      <c r="R86" s="7" t="s">
        <v>1152</v>
      </c>
      <c r="S86" s="8" t="s">
        <v>4345</v>
      </c>
      <c r="T86" s="12"/>
      <c r="U86" s="12"/>
    </row>
    <row r="87" customFormat="false" ht="46.25" hidden="false" customHeight="false" outlineLevel="0" collapsed="false">
      <c r="A87" s="7" t="s">
        <v>4346</v>
      </c>
      <c r="B87" s="14" t="s">
        <v>4332</v>
      </c>
      <c r="C87" s="7" t="s">
        <v>501</v>
      </c>
      <c r="D87" s="7" t="s">
        <v>471</v>
      </c>
      <c r="E87" s="7" t="s">
        <v>501</v>
      </c>
      <c r="F87" s="7" t="s">
        <v>4347</v>
      </c>
      <c r="G87" s="7" t="s">
        <v>3992</v>
      </c>
      <c r="H87" s="7" t="s">
        <v>943</v>
      </c>
      <c r="I87" s="7" t="s">
        <v>1424</v>
      </c>
      <c r="J87" s="8" t="s">
        <v>4348</v>
      </c>
      <c r="K87" s="8" t="s">
        <v>474</v>
      </c>
      <c r="L87" s="7" t="s">
        <v>998</v>
      </c>
      <c r="M87" s="7" t="s">
        <v>4349</v>
      </c>
      <c r="N87" s="7" t="s">
        <v>952</v>
      </c>
      <c r="O87" s="7" t="s">
        <v>4335</v>
      </c>
      <c r="P87" s="7" t="s">
        <v>1150</v>
      </c>
      <c r="Q87" s="7" t="s">
        <v>1480</v>
      </c>
      <c r="R87" s="13" t="s">
        <v>1790</v>
      </c>
      <c r="S87" s="8" t="s">
        <v>4014</v>
      </c>
      <c r="T87" s="12"/>
      <c r="U87" s="12"/>
    </row>
    <row r="88" customFormat="false" ht="35.05" hidden="false" customHeight="false" outlineLevel="0" collapsed="false">
      <c r="A88" s="7" t="s">
        <v>4350</v>
      </c>
      <c r="B88" s="14" t="s">
        <v>4351</v>
      </c>
      <c r="C88" s="7" t="s">
        <v>501</v>
      </c>
      <c r="D88" s="7" t="s">
        <v>471</v>
      </c>
      <c r="E88" s="7" t="s">
        <v>501</v>
      </c>
      <c r="F88" s="7" t="s">
        <v>4352</v>
      </c>
      <c r="G88" s="7" t="s">
        <v>3992</v>
      </c>
      <c r="H88" s="7" t="s">
        <v>928</v>
      </c>
      <c r="I88" s="7" t="s">
        <v>1148</v>
      </c>
      <c r="J88" s="8" t="s">
        <v>4353</v>
      </c>
      <c r="K88" s="8" t="s">
        <v>474</v>
      </c>
      <c r="L88" s="7" t="s">
        <v>483</v>
      </c>
      <c r="M88" s="7" t="s">
        <v>4354</v>
      </c>
      <c r="N88" s="7" t="n">
        <v>3</v>
      </c>
      <c r="O88" s="7" t="s">
        <v>502</v>
      </c>
      <c r="P88" s="7" t="s">
        <v>1150</v>
      </c>
      <c r="Q88" s="7" t="s">
        <v>1183</v>
      </c>
      <c r="R88" s="7" t="s">
        <v>1152</v>
      </c>
      <c r="S88" s="8" t="s">
        <v>3984</v>
      </c>
      <c r="T88" s="12"/>
      <c r="U88" s="12"/>
    </row>
    <row r="89" customFormat="false" ht="46.25" hidden="false" customHeight="false" outlineLevel="0" collapsed="false">
      <c r="A89" s="7" t="s">
        <v>4355</v>
      </c>
      <c r="B89" s="14" t="s">
        <v>4351</v>
      </c>
      <c r="C89" s="7" t="s">
        <v>501</v>
      </c>
      <c r="D89" s="7" t="s">
        <v>471</v>
      </c>
      <c r="E89" s="7" t="s">
        <v>501</v>
      </c>
      <c r="F89" s="7" t="s">
        <v>4356</v>
      </c>
      <c r="G89" s="7" t="s">
        <v>3992</v>
      </c>
      <c r="H89" s="7" t="s">
        <v>943</v>
      </c>
      <c r="I89" s="7" t="s">
        <v>1424</v>
      </c>
      <c r="J89" s="8" t="s">
        <v>4357</v>
      </c>
      <c r="K89" s="8" t="s">
        <v>474</v>
      </c>
      <c r="L89" s="7" t="s">
        <v>998</v>
      </c>
      <c r="M89" s="7" t="s">
        <v>4358</v>
      </c>
      <c r="N89" s="7" t="s">
        <v>952</v>
      </c>
      <c r="O89" s="7" t="s">
        <v>4354</v>
      </c>
      <c r="P89" s="7" t="s">
        <v>1150</v>
      </c>
      <c r="Q89" s="7" t="s">
        <v>1480</v>
      </c>
      <c r="R89" s="7" t="s">
        <v>1152</v>
      </c>
      <c r="S89" s="8" t="s">
        <v>4340</v>
      </c>
      <c r="T89" s="12"/>
      <c r="U89" s="12"/>
    </row>
    <row r="90" customFormat="false" ht="46.25" hidden="false" customHeight="false" outlineLevel="0" collapsed="false">
      <c r="A90" s="7" t="s">
        <v>4359</v>
      </c>
      <c r="B90" s="14" t="s">
        <v>4351</v>
      </c>
      <c r="C90" s="7" t="s">
        <v>501</v>
      </c>
      <c r="D90" s="7" t="s">
        <v>471</v>
      </c>
      <c r="E90" s="7" t="s">
        <v>501</v>
      </c>
      <c r="F90" s="7" t="s">
        <v>4360</v>
      </c>
      <c r="G90" s="7" t="s">
        <v>3992</v>
      </c>
      <c r="H90" s="7" t="s">
        <v>928</v>
      </c>
      <c r="I90" s="7" t="s">
        <v>1148</v>
      </c>
      <c r="J90" s="8" t="s">
        <v>4361</v>
      </c>
      <c r="K90" s="8" t="s">
        <v>474</v>
      </c>
      <c r="L90" s="7" t="s">
        <v>606</v>
      </c>
      <c r="M90" s="7" t="s">
        <v>4362</v>
      </c>
      <c r="N90" s="7" t="n">
        <v>4</v>
      </c>
      <c r="O90" s="7" t="s">
        <v>4354</v>
      </c>
      <c r="P90" s="7" t="s">
        <v>1150</v>
      </c>
      <c r="Q90" s="7" t="s">
        <v>1183</v>
      </c>
      <c r="R90" s="7" t="s">
        <v>1152</v>
      </c>
      <c r="S90" s="8" t="s">
        <v>4345</v>
      </c>
      <c r="T90" s="12"/>
      <c r="U90" s="12"/>
    </row>
    <row r="91" customFormat="false" ht="46.25" hidden="false" customHeight="false" outlineLevel="0" collapsed="false">
      <c r="A91" s="7" t="s">
        <v>4363</v>
      </c>
      <c r="B91" s="14" t="s">
        <v>4351</v>
      </c>
      <c r="C91" s="7" t="s">
        <v>501</v>
      </c>
      <c r="D91" s="7" t="s">
        <v>471</v>
      </c>
      <c r="E91" s="7" t="s">
        <v>501</v>
      </c>
      <c r="F91" s="7" t="s">
        <v>4364</v>
      </c>
      <c r="G91" s="7" t="s">
        <v>3992</v>
      </c>
      <c r="H91" s="7" t="s">
        <v>943</v>
      </c>
      <c r="I91" s="7" t="s">
        <v>1424</v>
      </c>
      <c r="J91" s="8" t="s">
        <v>4365</v>
      </c>
      <c r="K91" s="8" t="s">
        <v>474</v>
      </c>
      <c r="L91" s="7" t="s">
        <v>998</v>
      </c>
      <c r="M91" s="7" t="s">
        <v>4366</v>
      </c>
      <c r="N91" s="7" t="s">
        <v>952</v>
      </c>
      <c r="O91" s="7" t="s">
        <v>4354</v>
      </c>
      <c r="P91" s="7" t="s">
        <v>1150</v>
      </c>
      <c r="Q91" s="7" t="s">
        <v>1480</v>
      </c>
      <c r="R91" s="13" t="s">
        <v>1790</v>
      </c>
      <c r="S91" s="8" t="s">
        <v>4014</v>
      </c>
      <c r="T91" s="12"/>
      <c r="U91" s="12"/>
    </row>
    <row r="92" customFormat="false" ht="35.05" hidden="false" customHeight="false" outlineLevel="0" collapsed="false">
      <c r="A92" s="7" t="s">
        <v>4367</v>
      </c>
      <c r="B92" s="14" t="s">
        <v>4368</v>
      </c>
      <c r="C92" s="7" t="s">
        <v>501</v>
      </c>
      <c r="D92" s="7" t="s">
        <v>471</v>
      </c>
      <c r="E92" s="7" t="s">
        <v>501</v>
      </c>
      <c r="F92" s="7" t="s">
        <v>4369</v>
      </c>
      <c r="G92" s="7" t="s">
        <v>3992</v>
      </c>
      <c r="H92" s="7" t="s">
        <v>928</v>
      </c>
      <c r="I92" s="7" t="s">
        <v>1148</v>
      </c>
      <c r="J92" s="8" t="s">
        <v>4370</v>
      </c>
      <c r="K92" s="8" t="s">
        <v>474</v>
      </c>
      <c r="L92" s="7" t="s">
        <v>483</v>
      </c>
      <c r="M92" s="7" t="s">
        <v>4371</v>
      </c>
      <c r="N92" s="7" t="n">
        <v>3</v>
      </c>
      <c r="O92" s="7" t="s">
        <v>502</v>
      </c>
      <c r="P92" s="7" t="s">
        <v>1150</v>
      </c>
      <c r="Q92" s="7" t="s">
        <v>1480</v>
      </c>
      <c r="R92" s="7" t="s">
        <v>1152</v>
      </c>
      <c r="S92" s="8" t="s">
        <v>3984</v>
      </c>
      <c r="T92" s="12"/>
      <c r="U92" s="12"/>
    </row>
    <row r="93" customFormat="false" ht="46.25" hidden="false" customHeight="false" outlineLevel="0" collapsed="false">
      <c r="A93" s="7" t="s">
        <v>4372</v>
      </c>
      <c r="B93" s="14" t="s">
        <v>4368</v>
      </c>
      <c r="C93" s="7" t="s">
        <v>501</v>
      </c>
      <c r="D93" s="7" t="s">
        <v>471</v>
      </c>
      <c r="E93" s="7" t="s">
        <v>501</v>
      </c>
      <c r="F93" s="7" t="s">
        <v>4373</v>
      </c>
      <c r="G93" s="7" t="s">
        <v>3992</v>
      </c>
      <c r="H93" s="7" t="s">
        <v>943</v>
      </c>
      <c r="I93" s="7" t="s">
        <v>1424</v>
      </c>
      <c r="J93" s="8" t="s">
        <v>4374</v>
      </c>
      <c r="K93" s="8" t="s">
        <v>474</v>
      </c>
      <c r="L93" s="7" t="s">
        <v>998</v>
      </c>
      <c r="M93" s="7" t="s">
        <v>4375</v>
      </c>
      <c r="N93" s="7" t="s">
        <v>952</v>
      </c>
      <c r="O93" s="7" t="s">
        <v>4371</v>
      </c>
      <c r="P93" s="7" t="s">
        <v>1150</v>
      </c>
      <c r="Q93" s="7" t="s">
        <v>1480</v>
      </c>
      <c r="R93" s="7" t="s">
        <v>1152</v>
      </c>
      <c r="S93" s="8" t="s">
        <v>4340</v>
      </c>
      <c r="T93" s="12"/>
      <c r="U93" s="12"/>
    </row>
    <row r="94" customFormat="false" ht="46.25" hidden="false" customHeight="false" outlineLevel="0" collapsed="false">
      <c r="A94" s="7" t="s">
        <v>4376</v>
      </c>
      <c r="B94" s="14" t="s">
        <v>4368</v>
      </c>
      <c r="C94" s="7" t="s">
        <v>501</v>
      </c>
      <c r="D94" s="7" t="s">
        <v>471</v>
      </c>
      <c r="E94" s="7" t="s">
        <v>501</v>
      </c>
      <c r="F94" s="7" t="s">
        <v>4377</v>
      </c>
      <c r="G94" s="7" t="s">
        <v>3992</v>
      </c>
      <c r="H94" s="7" t="s">
        <v>928</v>
      </c>
      <c r="I94" s="7" t="s">
        <v>1148</v>
      </c>
      <c r="J94" s="8" t="s">
        <v>4378</v>
      </c>
      <c r="K94" s="8" t="s">
        <v>474</v>
      </c>
      <c r="L94" s="7" t="s">
        <v>606</v>
      </c>
      <c r="M94" s="7" t="s">
        <v>4379</v>
      </c>
      <c r="N94" s="7" t="n">
        <v>4</v>
      </c>
      <c r="O94" s="7" t="s">
        <v>4371</v>
      </c>
      <c r="P94" s="7" t="s">
        <v>1150</v>
      </c>
      <c r="Q94" s="7" t="s">
        <v>1480</v>
      </c>
      <c r="R94" s="7" t="s">
        <v>1152</v>
      </c>
      <c r="S94" s="8" t="s">
        <v>4345</v>
      </c>
      <c r="T94" s="12"/>
      <c r="U94" s="12"/>
    </row>
    <row r="95" customFormat="false" ht="46.25" hidden="false" customHeight="false" outlineLevel="0" collapsed="false">
      <c r="A95" s="7" t="s">
        <v>4380</v>
      </c>
      <c r="B95" s="14" t="s">
        <v>4368</v>
      </c>
      <c r="C95" s="7" t="s">
        <v>501</v>
      </c>
      <c r="D95" s="7" t="s">
        <v>471</v>
      </c>
      <c r="E95" s="7" t="s">
        <v>501</v>
      </c>
      <c r="F95" s="7" t="s">
        <v>4381</v>
      </c>
      <c r="G95" s="7" t="s">
        <v>3992</v>
      </c>
      <c r="H95" s="7" t="s">
        <v>943</v>
      </c>
      <c r="I95" s="7" t="s">
        <v>1424</v>
      </c>
      <c r="J95" s="8" t="s">
        <v>4382</v>
      </c>
      <c r="K95" s="8" t="s">
        <v>474</v>
      </c>
      <c r="L95" s="7" t="s">
        <v>998</v>
      </c>
      <c r="M95" s="7" t="s">
        <v>4383</v>
      </c>
      <c r="N95" s="7" t="s">
        <v>952</v>
      </c>
      <c r="O95" s="7" t="s">
        <v>4371</v>
      </c>
      <c r="P95" s="7" t="s">
        <v>1150</v>
      </c>
      <c r="Q95" s="7" t="s">
        <v>1480</v>
      </c>
      <c r="R95" s="13" t="s">
        <v>1790</v>
      </c>
      <c r="S95" s="8" t="s">
        <v>4014</v>
      </c>
      <c r="T95" s="12"/>
      <c r="U95" s="12"/>
    </row>
    <row r="96" customFormat="false" ht="35.05" hidden="false" customHeight="false" outlineLevel="0" collapsed="false">
      <c r="A96" s="7" t="s">
        <v>4384</v>
      </c>
      <c r="B96" s="14" t="s">
        <v>4385</v>
      </c>
      <c r="C96" s="7" t="s">
        <v>501</v>
      </c>
      <c r="D96" s="7" t="s">
        <v>471</v>
      </c>
      <c r="E96" s="7" t="s">
        <v>501</v>
      </c>
      <c r="F96" s="7" t="s">
        <v>4386</v>
      </c>
      <c r="G96" s="7" t="s">
        <v>3992</v>
      </c>
      <c r="H96" s="7" t="s">
        <v>928</v>
      </c>
      <c r="I96" s="7" t="s">
        <v>1148</v>
      </c>
      <c r="J96" s="8" t="s">
        <v>4387</v>
      </c>
      <c r="K96" s="8" t="s">
        <v>474</v>
      </c>
      <c r="L96" s="7" t="s">
        <v>483</v>
      </c>
      <c r="M96" s="7" t="s">
        <v>4388</v>
      </c>
      <c r="N96" s="7" t="n">
        <v>3</v>
      </c>
      <c r="O96" s="7" t="s">
        <v>502</v>
      </c>
      <c r="P96" s="7" t="s">
        <v>1150</v>
      </c>
      <c r="Q96" s="7" t="s">
        <v>1480</v>
      </c>
      <c r="R96" s="7" t="s">
        <v>1152</v>
      </c>
      <c r="S96" s="8" t="s">
        <v>3984</v>
      </c>
      <c r="T96" s="12"/>
      <c r="U96" s="12"/>
    </row>
    <row r="97" customFormat="false" ht="46.25" hidden="false" customHeight="false" outlineLevel="0" collapsed="false">
      <c r="A97" s="7" t="s">
        <v>4389</v>
      </c>
      <c r="B97" s="14" t="s">
        <v>4385</v>
      </c>
      <c r="C97" s="7" t="s">
        <v>501</v>
      </c>
      <c r="D97" s="7" t="s">
        <v>471</v>
      </c>
      <c r="E97" s="7" t="s">
        <v>501</v>
      </c>
      <c r="F97" s="7" t="s">
        <v>4390</v>
      </c>
      <c r="G97" s="7" t="s">
        <v>3992</v>
      </c>
      <c r="H97" s="7" t="s">
        <v>943</v>
      </c>
      <c r="I97" s="7" t="s">
        <v>1424</v>
      </c>
      <c r="J97" s="8" t="s">
        <v>4391</v>
      </c>
      <c r="K97" s="8" t="s">
        <v>474</v>
      </c>
      <c r="L97" s="7" t="s">
        <v>998</v>
      </c>
      <c r="M97" s="7" t="s">
        <v>4392</v>
      </c>
      <c r="N97" s="7" t="s">
        <v>952</v>
      </c>
      <c r="O97" s="7" t="s">
        <v>4388</v>
      </c>
      <c r="P97" s="7" t="s">
        <v>1150</v>
      </c>
      <c r="Q97" s="7" t="s">
        <v>1480</v>
      </c>
      <c r="R97" s="7" t="s">
        <v>1152</v>
      </c>
      <c r="S97" s="8" t="s">
        <v>4340</v>
      </c>
      <c r="T97" s="12"/>
      <c r="U97" s="12"/>
    </row>
    <row r="98" customFormat="false" ht="46.25" hidden="false" customHeight="false" outlineLevel="0" collapsed="false">
      <c r="A98" s="7" t="s">
        <v>4393</v>
      </c>
      <c r="B98" s="14" t="s">
        <v>4385</v>
      </c>
      <c r="C98" s="7" t="s">
        <v>501</v>
      </c>
      <c r="D98" s="7" t="s">
        <v>471</v>
      </c>
      <c r="E98" s="7" t="s">
        <v>501</v>
      </c>
      <c r="F98" s="7" t="s">
        <v>4394</v>
      </c>
      <c r="G98" s="7" t="s">
        <v>3992</v>
      </c>
      <c r="H98" s="7" t="s">
        <v>928</v>
      </c>
      <c r="I98" s="7" t="s">
        <v>1148</v>
      </c>
      <c r="J98" s="8" t="s">
        <v>4395</v>
      </c>
      <c r="K98" s="8" t="s">
        <v>474</v>
      </c>
      <c r="L98" s="7" t="s">
        <v>606</v>
      </c>
      <c r="M98" s="7" t="s">
        <v>4396</v>
      </c>
      <c r="N98" s="7" t="n">
        <v>4</v>
      </c>
      <c r="O98" s="7" t="s">
        <v>4388</v>
      </c>
      <c r="P98" s="7" t="s">
        <v>1150</v>
      </c>
      <c r="Q98" s="7" t="s">
        <v>1480</v>
      </c>
      <c r="R98" s="7" t="s">
        <v>1152</v>
      </c>
      <c r="S98" s="8" t="s">
        <v>4345</v>
      </c>
      <c r="T98" s="12"/>
      <c r="U98" s="12"/>
    </row>
    <row r="99" customFormat="false" ht="46.25" hidden="false" customHeight="false" outlineLevel="0" collapsed="false">
      <c r="A99" s="7" t="s">
        <v>4397</v>
      </c>
      <c r="B99" s="14" t="s">
        <v>4385</v>
      </c>
      <c r="C99" s="7" t="s">
        <v>501</v>
      </c>
      <c r="D99" s="7" t="s">
        <v>471</v>
      </c>
      <c r="E99" s="7" t="s">
        <v>501</v>
      </c>
      <c r="F99" s="7" t="s">
        <v>4398</v>
      </c>
      <c r="G99" s="7" t="s">
        <v>3992</v>
      </c>
      <c r="H99" s="7" t="s">
        <v>943</v>
      </c>
      <c r="I99" s="7" t="s">
        <v>1424</v>
      </c>
      <c r="J99" s="8" t="s">
        <v>4399</v>
      </c>
      <c r="K99" s="8" t="s">
        <v>474</v>
      </c>
      <c r="L99" s="7" t="s">
        <v>998</v>
      </c>
      <c r="M99" s="7" t="s">
        <v>4400</v>
      </c>
      <c r="N99" s="7" t="s">
        <v>952</v>
      </c>
      <c r="O99" s="7" t="s">
        <v>4388</v>
      </c>
      <c r="P99" s="7" t="s">
        <v>1150</v>
      </c>
      <c r="Q99" s="7" t="s">
        <v>1480</v>
      </c>
      <c r="R99" s="13" t="s">
        <v>1790</v>
      </c>
      <c r="S99" s="8" t="s">
        <v>4014</v>
      </c>
      <c r="T99" s="12"/>
      <c r="U99" s="12"/>
    </row>
    <row r="100" customFormat="false" ht="35.05" hidden="false" customHeight="false" outlineLevel="0" collapsed="false">
      <c r="A100" s="7" t="s">
        <v>4401</v>
      </c>
      <c r="B100" s="14" t="s">
        <v>4402</v>
      </c>
      <c r="C100" s="7" t="s">
        <v>501</v>
      </c>
      <c r="D100" s="7" t="s">
        <v>471</v>
      </c>
      <c r="E100" s="7" t="s">
        <v>501</v>
      </c>
      <c r="F100" s="7" t="s">
        <v>4403</v>
      </c>
      <c r="G100" s="7" t="s">
        <v>3992</v>
      </c>
      <c r="H100" s="7" t="s">
        <v>928</v>
      </c>
      <c r="I100" s="7" t="s">
        <v>1148</v>
      </c>
      <c r="J100" s="8" t="s">
        <v>4404</v>
      </c>
      <c r="K100" s="8" t="s">
        <v>474</v>
      </c>
      <c r="L100" s="7" t="s">
        <v>483</v>
      </c>
      <c r="M100" s="7" t="s">
        <v>4405</v>
      </c>
      <c r="N100" s="7" t="n">
        <v>3</v>
      </c>
      <c r="O100" s="7" t="s">
        <v>502</v>
      </c>
      <c r="P100" s="7" t="s">
        <v>1150</v>
      </c>
      <c r="Q100" s="7" t="s">
        <v>1480</v>
      </c>
      <c r="R100" s="7" t="s">
        <v>1152</v>
      </c>
      <c r="S100" s="8" t="s">
        <v>3984</v>
      </c>
      <c r="T100" s="12"/>
      <c r="U100" s="12"/>
    </row>
    <row r="101" customFormat="false" ht="46.25" hidden="false" customHeight="false" outlineLevel="0" collapsed="false">
      <c r="A101" s="7" t="s">
        <v>4406</v>
      </c>
      <c r="B101" s="14" t="s">
        <v>4402</v>
      </c>
      <c r="C101" s="7" t="s">
        <v>501</v>
      </c>
      <c r="D101" s="7" t="s">
        <v>471</v>
      </c>
      <c r="E101" s="7" t="s">
        <v>501</v>
      </c>
      <c r="F101" s="7" t="s">
        <v>4407</v>
      </c>
      <c r="G101" s="7" t="s">
        <v>3992</v>
      </c>
      <c r="H101" s="7" t="s">
        <v>943</v>
      </c>
      <c r="I101" s="7" t="s">
        <v>1424</v>
      </c>
      <c r="J101" s="8" t="s">
        <v>4408</v>
      </c>
      <c r="K101" s="8" t="s">
        <v>474</v>
      </c>
      <c r="L101" s="7" t="s">
        <v>998</v>
      </c>
      <c r="M101" s="7" t="s">
        <v>4409</v>
      </c>
      <c r="N101" s="7" t="s">
        <v>952</v>
      </c>
      <c r="O101" s="7" t="s">
        <v>4405</v>
      </c>
      <c r="P101" s="7" t="s">
        <v>1150</v>
      </c>
      <c r="Q101" s="7" t="s">
        <v>1480</v>
      </c>
      <c r="R101" s="7" t="s">
        <v>1152</v>
      </c>
      <c r="S101" s="8" t="s">
        <v>4340</v>
      </c>
      <c r="T101" s="12"/>
      <c r="U101" s="12"/>
    </row>
    <row r="102" customFormat="false" ht="46.25" hidden="false" customHeight="false" outlineLevel="0" collapsed="false">
      <c r="A102" s="7" t="s">
        <v>4410</v>
      </c>
      <c r="B102" s="14" t="s">
        <v>4402</v>
      </c>
      <c r="C102" s="7" t="s">
        <v>501</v>
      </c>
      <c r="D102" s="7" t="s">
        <v>471</v>
      </c>
      <c r="E102" s="7" t="s">
        <v>501</v>
      </c>
      <c r="F102" s="7" t="s">
        <v>4411</v>
      </c>
      <c r="G102" s="7" t="s">
        <v>3992</v>
      </c>
      <c r="H102" s="7" t="s">
        <v>928</v>
      </c>
      <c r="I102" s="7" t="s">
        <v>1148</v>
      </c>
      <c r="J102" s="8" t="s">
        <v>4412</v>
      </c>
      <c r="K102" s="8" t="s">
        <v>474</v>
      </c>
      <c r="L102" s="7" t="s">
        <v>606</v>
      </c>
      <c r="M102" s="7" t="s">
        <v>4413</v>
      </c>
      <c r="N102" s="7" t="n">
        <v>4</v>
      </c>
      <c r="O102" s="7" t="s">
        <v>4405</v>
      </c>
      <c r="P102" s="7" t="s">
        <v>1150</v>
      </c>
      <c r="Q102" s="7" t="s">
        <v>1480</v>
      </c>
      <c r="R102" s="7" t="s">
        <v>1152</v>
      </c>
      <c r="S102" s="8" t="s">
        <v>4345</v>
      </c>
      <c r="T102" s="12"/>
      <c r="U102" s="12"/>
    </row>
    <row r="103" customFormat="false" ht="46.25" hidden="false" customHeight="false" outlineLevel="0" collapsed="false">
      <c r="A103" s="7" t="s">
        <v>4414</v>
      </c>
      <c r="B103" s="14" t="s">
        <v>4402</v>
      </c>
      <c r="C103" s="7" t="s">
        <v>501</v>
      </c>
      <c r="D103" s="7" t="s">
        <v>471</v>
      </c>
      <c r="E103" s="7" t="s">
        <v>501</v>
      </c>
      <c r="F103" s="7" t="s">
        <v>4415</v>
      </c>
      <c r="G103" s="7" t="s">
        <v>3992</v>
      </c>
      <c r="H103" s="7" t="s">
        <v>943</v>
      </c>
      <c r="I103" s="7" t="s">
        <v>1424</v>
      </c>
      <c r="J103" s="8" t="s">
        <v>4416</v>
      </c>
      <c r="K103" s="8" t="s">
        <v>474</v>
      </c>
      <c r="L103" s="7" t="s">
        <v>998</v>
      </c>
      <c r="M103" s="7" t="s">
        <v>4417</v>
      </c>
      <c r="N103" s="7" t="s">
        <v>952</v>
      </c>
      <c r="O103" s="7" t="s">
        <v>4405</v>
      </c>
      <c r="P103" s="7" t="s">
        <v>1150</v>
      </c>
      <c r="Q103" s="7" t="s">
        <v>1480</v>
      </c>
      <c r="R103" s="13" t="s">
        <v>1790</v>
      </c>
      <c r="S103" s="8" t="s">
        <v>4014</v>
      </c>
      <c r="T103" s="12"/>
      <c r="U103" s="12"/>
    </row>
    <row r="104" customFormat="false" ht="35.05" hidden="false" customHeight="false" outlineLevel="0" collapsed="false">
      <c r="A104" s="7" t="s">
        <v>4418</v>
      </c>
      <c r="B104" s="14" t="s">
        <v>4419</v>
      </c>
      <c r="C104" s="7" t="s">
        <v>501</v>
      </c>
      <c r="D104" s="7" t="s">
        <v>471</v>
      </c>
      <c r="E104" s="7" t="s">
        <v>501</v>
      </c>
      <c r="F104" s="7" t="s">
        <v>4420</v>
      </c>
      <c r="G104" s="7" t="s">
        <v>3992</v>
      </c>
      <c r="H104" s="7" t="s">
        <v>928</v>
      </c>
      <c r="I104" s="7" t="s">
        <v>1148</v>
      </c>
      <c r="J104" s="8" t="s">
        <v>4421</v>
      </c>
      <c r="K104" s="8" t="s">
        <v>474</v>
      </c>
      <c r="L104" s="7" t="s">
        <v>483</v>
      </c>
      <c r="M104" s="7" t="s">
        <v>4422</v>
      </c>
      <c r="N104" s="7" t="n">
        <v>3</v>
      </c>
      <c r="O104" s="7" t="s">
        <v>502</v>
      </c>
      <c r="P104" s="7" t="s">
        <v>1150</v>
      </c>
      <c r="Q104" s="7" t="s">
        <v>1480</v>
      </c>
      <c r="R104" s="7" t="s">
        <v>1152</v>
      </c>
      <c r="S104" s="8" t="s">
        <v>3984</v>
      </c>
      <c r="T104" s="12"/>
      <c r="U104" s="12"/>
    </row>
    <row r="105" customFormat="false" ht="46.25" hidden="false" customHeight="false" outlineLevel="0" collapsed="false">
      <c r="A105" s="7" t="s">
        <v>4423</v>
      </c>
      <c r="B105" s="14" t="s">
        <v>4419</v>
      </c>
      <c r="C105" s="7" t="s">
        <v>501</v>
      </c>
      <c r="D105" s="7" t="s">
        <v>471</v>
      </c>
      <c r="E105" s="7" t="s">
        <v>501</v>
      </c>
      <c r="F105" s="7" t="s">
        <v>4424</v>
      </c>
      <c r="G105" s="7" t="s">
        <v>3992</v>
      </c>
      <c r="H105" s="7" t="s">
        <v>943</v>
      </c>
      <c r="I105" s="7" t="s">
        <v>1424</v>
      </c>
      <c r="J105" s="8" t="s">
        <v>4425</v>
      </c>
      <c r="K105" s="8" t="s">
        <v>474</v>
      </c>
      <c r="L105" s="7" t="s">
        <v>998</v>
      </c>
      <c r="M105" s="7" t="s">
        <v>4426</v>
      </c>
      <c r="N105" s="7" t="s">
        <v>952</v>
      </c>
      <c r="O105" s="7" t="s">
        <v>4422</v>
      </c>
      <c r="P105" s="7" t="s">
        <v>1150</v>
      </c>
      <c r="Q105" s="7" t="s">
        <v>1480</v>
      </c>
      <c r="R105" s="7" t="s">
        <v>1152</v>
      </c>
      <c r="S105" s="8" t="s">
        <v>4340</v>
      </c>
      <c r="T105" s="12"/>
      <c r="U105" s="12"/>
    </row>
    <row r="106" customFormat="false" ht="46.25" hidden="false" customHeight="false" outlineLevel="0" collapsed="false">
      <c r="A106" s="7" t="s">
        <v>4427</v>
      </c>
      <c r="B106" s="14" t="s">
        <v>4419</v>
      </c>
      <c r="C106" s="7" t="s">
        <v>501</v>
      </c>
      <c r="D106" s="7" t="s">
        <v>471</v>
      </c>
      <c r="E106" s="7" t="s">
        <v>501</v>
      </c>
      <c r="F106" s="7" t="s">
        <v>4428</v>
      </c>
      <c r="G106" s="7" t="s">
        <v>3992</v>
      </c>
      <c r="H106" s="7" t="s">
        <v>928</v>
      </c>
      <c r="I106" s="7" t="s">
        <v>1148</v>
      </c>
      <c r="J106" s="8" t="s">
        <v>4429</v>
      </c>
      <c r="K106" s="8" t="s">
        <v>474</v>
      </c>
      <c r="L106" s="7" t="s">
        <v>606</v>
      </c>
      <c r="M106" s="7" t="s">
        <v>4430</v>
      </c>
      <c r="N106" s="7" t="n">
        <v>4</v>
      </c>
      <c r="O106" s="7" t="s">
        <v>4422</v>
      </c>
      <c r="P106" s="7" t="s">
        <v>1150</v>
      </c>
      <c r="Q106" s="7" t="s">
        <v>1480</v>
      </c>
      <c r="R106" s="7" t="s">
        <v>1152</v>
      </c>
      <c r="S106" s="8" t="s">
        <v>4345</v>
      </c>
      <c r="T106" s="12"/>
      <c r="U106" s="12"/>
    </row>
    <row r="107" customFormat="false" ht="46.25" hidden="false" customHeight="false" outlineLevel="0" collapsed="false">
      <c r="A107" s="7" t="s">
        <v>4431</v>
      </c>
      <c r="B107" s="14" t="s">
        <v>4419</v>
      </c>
      <c r="C107" s="7" t="s">
        <v>501</v>
      </c>
      <c r="D107" s="7" t="s">
        <v>471</v>
      </c>
      <c r="E107" s="7" t="s">
        <v>501</v>
      </c>
      <c r="F107" s="7" t="s">
        <v>4432</v>
      </c>
      <c r="G107" s="7" t="s">
        <v>3992</v>
      </c>
      <c r="H107" s="7" t="s">
        <v>943</v>
      </c>
      <c r="I107" s="7" t="s">
        <v>1424</v>
      </c>
      <c r="J107" s="8" t="s">
        <v>4433</v>
      </c>
      <c r="K107" s="8" t="s">
        <v>474</v>
      </c>
      <c r="L107" s="7" t="s">
        <v>998</v>
      </c>
      <c r="M107" s="7" t="s">
        <v>4434</v>
      </c>
      <c r="N107" s="7" t="s">
        <v>952</v>
      </c>
      <c r="O107" s="7" t="s">
        <v>4422</v>
      </c>
      <c r="P107" s="7" t="s">
        <v>1150</v>
      </c>
      <c r="Q107" s="7" t="s">
        <v>1480</v>
      </c>
      <c r="R107" s="13" t="s">
        <v>1790</v>
      </c>
      <c r="S107" s="8" t="s">
        <v>4014</v>
      </c>
      <c r="T107" s="12"/>
      <c r="U107" s="12"/>
    </row>
    <row r="108" customFormat="false" ht="35.05" hidden="false" customHeight="false" outlineLevel="0" collapsed="false">
      <c r="A108" s="7" t="s">
        <v>4435</v>
      </c>
      <c r="B108" s="14" t="s">
        <v>4436</v>
      </c>
      <c r="C108" s="7" t="s">
        <v>501</v>
      </c>
      <c r="D108" s="7" t="s">
        <v>471</v>
      </c>
      <c r="E108" s="7" t="s">
        <v>501</v>
      </c>
      <c r="F108" s="7" t="s">
        <v>4437</v>
      </c>
      <c r="G108" s="7" t="s">
        <v>3992</v>
      </c>
      <c r="H108" s="7" t="s">
        <v>928</v>
      </c>
      <c r="I108" s="7" t="s">
        <v>1148</v>
      </c>
      <c r="J108" s="8" t="s">
        <v>4438</v>
      </c>
      <c r="K108" s="8" t="s">
        <v>474</v>
      </c>
      <c r="L108" s="7" t="s">
        <v>483</v>
      </c>
      <c r="M108" s="7" t="s">
        <v>4439</v>
      </c>
      <c r="N108" s="7" t="n">
        <v>3</v>
      </c>
      <c r="O108" s="7" t="s">
        <v>502</v>
      </c>
      <c r="P108" s="7" t="s">
        <v>1150</v>
      </c>
      <c r="Q108" s="7" t="s">
        <v>1183</v>
      </c>
      <c r="R108" s="7" t="s">
        <v>1152</v>
      </c>
      <c r="S108" s="8" t="s">
        <v>3984</v>
      </c>
      <c r="T108" s="12"/>
      <c r="U108" s="12"/>
    </row>
    <row r="109" customFormat="false" ht="46.25" hidden="false" customHeight="false" outlineLevel="0" collapsed="false">
      <c r="A109" s="7" t="s">
        <v>4440</v>
      </c>
      <c r="B109" s="14" t="s">
        <v>4436</v>
      </c>
      <c r="C109" s="7" t="s">
        <v>501</v>
      </c>
      <c r="D109" s="7" t="s">
        <v>471</v>
      </c>
      <c r="E109" s="7" t="s">
        <v>501</v>
      </c>
      <c r="F109" s="7" t="s">
        <v>4441</v>
      </c>
      <c r="G109" s="7" t="s">
        <v>3992</v>
      </c>
      <c r="H109" s="7" t="s">
        <v>943</v>
      </c>
      <c r="I109" s="7" t="s">
        <v>1424</v>
      </c>
      <c r="J109" s="8" t="s">
        <v>4442</v>
      </c>
      <c r="K109" s="8" t="s">
        <v>474</v>
      </c>
      <c r="L109" s="7" t="s">
        <v>998</v>
      </c>
      <c r="M109" s="7" t="s">
        <v>4443</v>
      </c>
      <c r="N109" s="7" t="s">
        <v>952</v>
      </c>
      <c r="O109" s="7" t="s">
        <v>4439</v>
      </c>
      <c r="P109" s="7" t="s">
        <v>1150</v>
      </c>
      <c r="Q109" s="7" t="s">
        <v>1480</v>
      </c>
      <c r="R109" s="7" t="s">
        <v>1152</v>
      </c>
      <c r="S109" s="8" t="s">
        <v>4340</v>
      </c>
      <c r="T109" s="12"/>
      <c r="U109" s="12"/>
    </row>
    <row r="110" customFormat="false" ht="46.25" hidden="false" customHeight="false" outlineLevel="0" collapsed="false">
      <c r="A110" s="7" t="s">
        <v>4444</v>
      </c>
      <c r="B110" s="14" t="s">
        <v>4436</v>
      </c>
      <c r="C110" s="7" t="s">
        <v>501</v>
      </c>
      <c r="D110" s="7" t="s">
        <v>471</v>
      </c>
      <c r="E110" s="7" t="s">
        <v>501</v>
      </c>
      <c r="F110" s="7" t="s">
        <v>4445</v>
      </c>
      <c r="G110" s="7" t="s">
        <v>3992</v>
      </c>
      <c r="H110" s="7" t="s">
        <v>928</v>
      </c>
      <c r="I110" s="7" t="s">
        <v>1148</v>
      </c>
      <c r="J110" s="8" t="s">
        <v>4446</v>
      </c>
      <c r="K110" s="8" t="s">
        <v>474</v>
      </c>
      <c r="L110" s="7" t="s">
        <v>606</v>
      </c>
      <c r="M110" s="7" t="s">
        <v>4447</v>
      </c>
      <c r="N110" s="7" t="n">
        <v>4</v>
      </c>
      <c r="O110" s="7" t="s">
        <v>4439</v>
      </c>
      <c r="P110" s="7" t="s">
        <v>1150</v>
      </c>
      <c r="Q110" s="7" t="s">
        <v>1183</v>
      </c>
      <c r="R110" s="7" t="s">
        <v>1152</v>
      </c>
      <c r="S110" s="8" t="s">
        <v>4345</v>
      </c>
      <c r="T110" s="12"/>
      <c r="U110" s="12"/>
    </row>
    <row r="111" customFormat="false" ht="46.25" hidden="false" customHeight="false" outlineLevel="0" collapsed="false">
      <c r="A111" s="7" t="s">
        <v>4448</v>
      </c>
      <c r="B111" s="14" t="s">
        <v>4436</v>
      </c>
      <c r="C111" s="7" t="s">
        <v>501</v>
      </c>
      <c r="D111" s="7" t="s">
        <v>471</v>
      </c>
      <c r="E111" s="7" t="s">
        <v>501</v>
      </c>
      <c r="F111" s="7" t="s">
        <v>4449</v>
      </c>
      <c r="G111" s="7" t="s">
        <v>3992</v>
      </c>
      <c r="H111" s="7" t="s">
        <v>943</v>
      </c>
      <c r="I111" s="7" t="s">
        <v>1424</v>
      </c>
      <c r="J111" s="8" t="s">
        <v>4450</v>
      </c>
      <c r="K111" s="8" t="s">
        <v>474</v>
      </c>
      <c r="L111" s="7" t="s">
        <v>998</v>
      </c>
      <c r="M111" s="7" t="s">
        <v>4451</v>
      </c>
      <c r="N111" s="7" t="s">
        <v>952</v>
      </c>
      <c r="O111" s="7" t="s">
        <v>4439</v>
      </c>
      <c r="P111" s="7" t="s">
        <v>1150</v>
      </c>
      <c r="Q111" s="7" t="s">
        <v>1480</v>
      </c>
      <c r="R111" s="13" t="s">
        <v>1790</v>
      </c>
      <c r="S111" s="8" t="s">
        <v>4014</v>
      </c>
      <c r="T111" s="12"/>
      <c r="U111" s="12"/>
    </row>
    <row r="112" customFormat="false" ht="35.05" hidden="false" customHeight="false" outlineLevel="0" collapsed="false">
      <c r="A112" s="7" t="s">
        <v>4452</v>
      </c>
      <c r="B112" s="14" t="s">
        <v>4453</v>
      </c>
      <c r="C112" s="7" t="s">
        <v>501</v>
      </c>
      <c r="D112" s="7" t="s">
        <v>471</v>
      </c>
      <c r="E112" s="7" t="s">
        <v>501</v>
      </c>
      <c r="F112" s="7" t="s">
        <v>4454</v>
      </c>
      <c r="G112" s="7" t="s">
        <v>3992</v>
      </c>
      <c r="H112" s="7" t="s">
        <v>928</v>
      </c>
      <c r="I112" s="7" t="s">
        <v>1148</v>
      </c>
      <c r="J112" s="8" t="s">
        <v>4455</v>
      </c>
      <c r="K112" s="8" t="s">
        <v>474</v>
      </c>
      <c r="L112" s="7" t="s">
        <v>483</v>
      </c>
      <c r="M112" s="7" t="s">
        <v>4456</v>
      </c>
      <c r="N112" s="7" t="n">
        <v>3</v>
      </c>
      <c r="O112" s="7" t="s">
        <v>502</v>
      </c>
      <c r="P112" s="7" t="s">
        <v>1150</v>
      </c>
      <c r="Q112" s="7" t="s">
        <v>1480</v>
      </c>
      <c r="R112" s="7" t="s">
        <v>1152</v>
      </c>
      <c r="S112" s="8" t="s">
        <v>3984</v>
      </c>
      <c r="T112" s="12"/>
      <c r="U112" s="12"/>
    </row>
    <row r="113" customFormat="false" ht="46.25" hidden="false" customHeight="false" outlineLevel="0" collapsed="false">
      <c r="A113" s="7" t="s">
        <v>4457</v>
      </c>
      <c r="B113" s="14" t="s">
        <v>4453</v>
      </c>
      <c r="C113" s="7" t="s">
        <v>501</v>
      </c>
      <c r="D113" s="7" t="s">
        <v>471</v>
      </c>
      <c r="E113" s="7" t="s">
        <v>501</v>
      </c>
      <c r="F113" s="7" t="s">
        <v>4458</v>
      </c>
      <c r="G113" s="7" t="s">
        <v>3992</v>
      </c>
      <c r="H113" s="7" t="s">
        <v>943</v>
      </c>
      <c r="I113" s="7" t="s">
        <v>1424</v>
      </c>
      <c r="J113" s="8" t="s">
        <v>4459</v>
      </c>
      <c r="K113" s="8" t="s">
        <v>474</v>
      </c>
      <c r="L113" s="7" t="s">
        <v>998</v>
      </c>
      <c r="M113" s="7" t="s">
        <v>4460</v>
      </c>
      <c r="N113" s="7" t="s">
        <v>952</v>
      </c>
      <c r="O113" s="7" t="s">
        <v>4456</v>
      </c>
      <c r="P113" s="7" t="s">
        <v>1150</v>
      </c>
      <c r="Q113" s="7" t="s">
        <v>1480</v>
      </c>
      <c r="R113" s="7" t="s">
        <v>1152</v>
      </c>
      <c r="S113" s="8" t="s">
        <v>4340</v>
      </c>
      <c r="T113" s="12"/>
      <c r="U113" s="12"/>
    </row>
    <row r="114" customFormat="false" ht="46.25" hidden="false" customHeight="false" outlineLevel="0" collapsed="false">
      <c r="A114" s="7" t="s">
        <v>4461</v>
      </c>
      <c r="B114" s="14" t="s">
        <v>4453</v>
      </c>
      <c r="C114" s="7" t="s">
        <v>501</v>
      </c>
      <c r="D114" s="7" t="s">
        <v>471</v>
      </c>
      <c r="E114" s="7" t="s">
        <v>501</v>
      </c>
      <c r="F114" s="7" t="s">
        <v>4462</v>
      </c>
      <c r="G114" s="7" t="s">
        <v>3992</v>
      </c>
      <c r="H114" s="7" t="s">
        <v>928</v>
      </c>
      <c r="I114" s="7" t="s">
        <v>1148</v>
      </c>
      <c r="J114" s="8" t="s">
        <v>4463</v>
      </c>
      <c r="K114" s="8" t="s">
        <v>474</v>
      </c>
      <c r="L114" s="7" t="s">
        <v>606</v>
      </c>
      <c r="M114" s="7" t="s">
        <v>4464</v>
      </c>
      <c r="N114" s="7" t="n">
        <v>4</v>
      </c>
      <c r="O114" s="7" t="s">
        <v>4456</v>
      </c>
      <c r="P114" s="7" t="s">
        <v>1150</v>
      </c>
      <c r="Q114" s="7" t="s">
        <v>1480</v>
      </c>
      <c r="R114" s="7" t="s">
        <v>1152</v>
      </c>
      <c r="S114" s="8" t="s">
        <v>4345</v>
      </c>
      <c r="T114" s="12"/>
      <c r="U114" s="12"/>
    </row>
    <row r="115" customFormat="false" ht="46.25" hidden="false" customHeight="false" outlineLevel="0" collapsed="false">
      <c r="A115" s="7" t="s">
        <v>4465</v>
      </c>
      <c r="B115" s="14" t="s">
        <v>4453</v>
      </c>
      <c r="C115" s="7" t="s">
        <v>501</v>
      </c>
      <c r="D115" s="7" t="s">
        <v>471</v>
      </c>
      <c r="E115" s="7" t="s">
        <v>501</v>
      </c>
      <c r="F115" s="7" t="s">
        <v>4466</v>
      </c>
      <c r="G115" s="7" t="s">
        <v>3992</v>
      </c>
      <c r="H115" s="7" t="s">
        <v>943</v>
      </c>
      <c r="I115" s="7" t="s">
        <v>1424</v>
      </c>
      <c r="J115" s="8" t="s">
        <v>4467</v>
      </c>
      <c r="K115" s="8" t="s">
        <v>474</v>
      </c>
      <c r="L115" s="7" t="s">
        <v>998</v>
      </c>
      <c r="M115" s="7" t="s">
        <v>4468</v>
      </c>
      <c r="N115" s="7" t="s">
        <v>952</v>
      </c>
      <c r="O115" s="7" t="s">
        <v>4456</v>
      </c>
      <c r="P115" s="7" t="s">
        <v>1150</v>
      </c>
      <c r="Q115" s="7" t="s">
        <v>1480</v>
      </c>
      <c r="R115" s="13" t="s">
        <v>1790</v>
      </c>
      <c r="S115" s="8" t="s">
        <v>4014</v>
      </c>
      <c r="T115" s="12"/>
      <c r="U115" s="12"/>
    </row>
    <row r="116" customFormat="false" ht="35.05" hidden="false" customHeight="false" outlineLevel="0" collapsed="false">
      <c r="A116" s="7" t="s">
        <v>4469</v>
      </c>
      <c r="B116" s="14" t="s">
        <v>4470</v>
      </c>
      <c r="C116" s="7" t="s">
        <v>501</v>
      </c>
      <c r="D116" s="7" t="s">
        <v>471</v>
      </c>
      <c r="E116" s="7" t="s">
        <v>501</v>
      </c>
      <c r="F116" s="7" t="s">
        <v>4471</v>
      </c>
      <c r="G116" s="7" t="s">
        <v>3992</v>
      </c>
      <c r="H116" s="7" t="s">
        <v>928</v>
      </c>
      <c r="I116" s="7" t="s">
        <v>1148</v>
      </c>
      <c r="J116" s="8" t="s">
        <v>4472</v>
      </c>
      <c r="K116" s="8" t="s">
        <v>474</v>
      </c>
      <c r="L116" s="7" t="s">
        <v>483</v>
      </c>
      <c r="M116" s="7" t="s">
        <v>4473</v>
      </c>
      <c r="N116" s="7" t="n">
        <v>3</v>
      </c>
      <c r="O116" s="7" t="s">
        <v>502</v>
      </c>
      <c r="P116" s="7" t="s">
        <v>1150</v>
      </c>
      <c r="Q116" s="7" t="s">
        <v>1480</v>
      </c>
      <c r="R116" s="7" t="s">
        <v>1152</v>
      </c>
      <c r="S116" s="8" t="s">
        <v>3984</v>
      </c>
      <c r="T116" s="12"/>
      <c r="U116" s="12"/>
    </row>
    <row r="117" customFormat="false" ht="46.25" hidden="false" customHeight="false" outlineLevel="0" collapsed="false">
      <c r="A117" s="7" t="s">
        <v>4474</v>
      </c>
      <c r="B117" s="14" t="s">
        <v>4470</v>
      </c>
      <c r="C117" s="7" t="s">
        <v>501</v>
      </c>
      <c r="D117" s="7" t="s">
        <v>471</v>
      </c>
      <c r="E117" s="7" t="s">
        <v>501</v>
      </c>
      <c r="F117" s="7" t="s">
        <v>4475</v>
      </c>
      <c r="G117" s="7" t="s">
        <v>3992</v>
      </c>
      <c r="H117" s="7" t="s">
        <v>943</v>
      </c>
      <c r="I117" s="7" t="s">
        <v>1424</v>
      </c>
      <c r="J117" s="8" t="s">
        <v>4476</v>
      </c>
      <c r="K117" s="8" t="s">
        <v>474</v>
      </c>
      <c r="L117" s="7" t="s">
        <v>998</v>
      </c>
      <c r="M117" s="7" t="s">
        <v>4477</v>
      </c>
      <c r="N117" s="7" t="s">
        <v>952</v>
      </c>
      <c r="O117" s="7" t="s">
        <v>4473</v>
      </c>
      <c r="P117" s="7" t="s">
        <v>1150</v>
      </c>
      <c r="Q117" s="7" t="s">
        <v>1480</v>
      </c>
      <c r="R117" s="7" t="s">
        <v>1152</v>
      </c>
      <c r="S117" s="8" t="s">
        <v>4340</v>
      </c>
      <c r="T117" s="12"/>
      <c r="U117" s="12"/>
    </row>
    <row r="118" customFormat="false" ht="46.25" hidden="false" customHeight="false" outlineLevel="0" collapsed="false">
      <c r="A118" s="7" t="s">
        <v>4478</v>
      </c>
      <c r="B118" s="14" t="s">
        <v>4470</v>
      </c>
      <c r="C118" s="7" t="s">
        <v>501</v>
      </c>
      <c r="D118" s="7" t="s">
        <v>471</v>
      </c>
      <c r="E118" s="7" t="s">
        <v>501</v>
      </c>
      <c r="F118" s="7" t="s">
        <v>4479</v>
      </c>
      <c r="G118" s="7" t="s">
        <v>3992</v>
      </c>
      <c r="H118" s="7" t="s">
        <v>928</v>
      </c>
      <c r="I118" s="7" t="s">
        <v>1148</v>
      </c>
      <c r="J118" s="8" t="s">
        <v>4480</v>
      </c>
      <c r="K118" s="8" t="s">
        <v>474</v>
      </c>
      <c r="L118" s="7" t="s">
        <v>606</v>
      </c>
      <c r="M118" s="7" t="s">
        <v>4481</v>
      </c>
      <c r="N118" s="7" t="n">
        <v>4</v>
      </c>
      <c r="O118" s="7" t="s">
        <v>4473</v>
      </c>
      <c r="P118" s="7" t="s">
        <v>1150</v>
      </c>
      <c r="Q118" s="7" t="s">
        <v>1480</v>
      </c>
      <c r="R118" s="7" t="s">
        <v>1152</v>
      </c>
      <c r="S118" s="8" t="s">
        <v>4345</v>
      </c>
      <c r="T118" s="12"/>
      <c r="U118" s="12"/>
    </row>
    <row r="119" customFormat="false" ht="46.25" hidden="false" customHeight="false" outlineLevel="0" collapsed="false">
      <c r="A119" s="7" t="s">
        <v>4482</v>
      </c>
      <c r="B119" s="14" t="s">
        <v>4470</v>
      </c>
      <c r="C119" s="7" t="s">
        <v>501</v>
      </c>
      <c r="D119" s="7" t="s">
        <v>471</v>
      </c>
      <c r="E119" s="7" t="s">
        <v>501</v>
      </c>
      <c r="F119" s="7" t="s">
        <v>4483</v>
      </c>
      <c r="G119" s="7" t="s">
        <v>3992</v>
      </c>
      <c r="H119" s="7" t="s">
        <v>943</v>
      </c>
      <c r="I119" s="7" t="s">
        <v>1424</v>
      </c>
      <c r="J119" s="8" t="s">
        <v>4484</v>
      </c>
      <c r="K119" s="8" t="s">
        <v>474</v>
      </c>
      <c r="L119" s="7" t="s">
        <v>998</v>
      </c>
      <c r="M119" s="7" t="s">
        <v>4485</v>
      </c>
      <c r="N119" s="7" t="s">
        <v>952</v>
      </c>
      <c r="O119" s="7" t="s">
        <v>4473</v>
      </c>
      <c r="P119" s="7" t="s">
        <v>1150</v>
      </c>
      <c r="Q119" s="7" t="s">
        <v>1480</v>
      </c>
      <c r="R119" s="13" t="s">
        <v>1790</v>
      </c>
      <c r="S119" s="8" t="s">
        <v>4014</v>
      </c>
      <c r="T119" s="12"/>
      <c r="U119" s="12"/>
    </row>
    <row r="120" customFormat="false" ht="35.05" hidden="false" customHeight="false" outlineLevel="0" collapsed="false">
      <c r="A120" s="7" t="s">
        <v>4486</v>
      </c>
      <c r="B120" s="14" t="s">
        <v>3986</v>
      </c>
      <c r="C120" s="7" t="s">
        <v>506</v>
      </c>
      <c r="D120" s="7" t="s">
        <v>471</v>
      </c>
      <c r="E120" s="7" t="s">
        <v>864</v>
      </c>
      <c r="F120" s="7" t="s">
        <v>506</v>
      </c>
      <c r="G120" s="7" t="s">
        <v>3987</v>
      </c>
      <c r="H120" s="7" t="s">
        <v>928</v>
      </c>
      <c r="I120" s="7" t="s">
        <v>1148</v>
      </c>
      <c r="J120" s="8" t="s">
        <v>4487</v>
      </c>
      <c r="K120" s="8" t="s">
        <v>474</v>
      </c>
      <c r="L120" s="7" t="s">
        <v>478</v>
      </c>
      <c r="M120" s="7" t="s">
        <v>507</v>
      </c>
      <c r="N120" s="7" t="n">
        <v>2</v>
      </c>
      <c r="O120" s="7" t="s">
        <v>472</v>
      </c>
      <c r="P120" s="7" t="s">
        <v>1150</v>
      </c>
      <c r="Q120" s="7" t="s">
        <v>1183</v>
      </c>
      <c r="R120" s="7" t="s">
        <v>1152</v>
      </c>
      <c r="S120" s="8"/>
      <c r="T120" s="12"/>
      <c r="U120" s="12"/>
    </row>
    <row r="121" customFormat="false" ht="35.05" hidden="false" customHeight="false" outlineLevel="0" collapsed="false">
      <c r="A121" s="7" t="s">
        <v>4488</v>
      </c>
      <c r="B121" s="14" t="s">
        <v>4489</v>
      </c>
      <c r="C121" s="7" t="s">
        <v>506</v>
      </c>
      <c r="D121" s="7" t="s">
        <v>471</v>
      </c>
      <c r="E121" s="7" t="s">
        <v>506</v>
      </c>
      <c r="F121" s="7" t="s">
        <v>4490</v>
      </c>
      <c r="G121" s="7" t="s">
        <v>3992</v>
      </c>
      <c r="H121" s="7" t="s">
        <v>928</v>
      </c>
      <c r="I121" s="7" t="s">
        <v>1148</v>
      </c>
      <c r="J121" s="8" t="s">
        <v>4491</v>
      </c>
      <c r="K121" s="8" t="s">
        <v>474</v>
      </c>
      <c r="L121" s="7" t="s">
        <v>483</v>
      </c>
      <c r="M121" s="7" t="s">
        <v>4492</v>
      </c>
      <c r="N121" s="7" t="n">
        <v>3</v>
      </c>
      <c r="O121" s="7" t="s">
        <v>507</v>
      </c>
      <c r="P121" s="7" t="s">
        <v>1150</v>
      </c>
      <c r="Q121" s="7" t="s">
        <v>1183</v>
      </c>
      <c r="R121" s="7" t="s">
        <v>1152</v>
      </c>
      <c r="S121" s="8" t="s">
        <v>3984</v>
      </c>
      <c r="T121" s="12"/>
      <c r="U121" s="12"/>
    </row>
    <row r="122" customFormat="false" ht="46.25" hidden="false" customHeight="false" outlineLevel="0" collapsed="false">
      <c r="A122" s="7" t="s">
        <v>4493</v>
      </c>
      <c r="B122" s="14" t="s">
        <v>4489</v>
      </c>
      <c r="C122" s="7" t="s">
        <v>506</v>
      </c>
      <c r="D122" s="7" t="s">
        <v>471</v>
      </c>
      <c r="E122" s="7" t="s">
        <v>506</v>
      </c>
      <c r="F122" s="7" t="s">
        <v>4494</v>
      </c>
      <c r="G122" s="7" t="s">
        <v>3992</v>
      </c>
      <c r="H122" s="7" t="s">
        <v>943</v>
      </c>
      <c r="I122" s="7" t="s">
        <v>1424</v>
      </c>
      <c r="J122" s="8" t="s">
        <v>4495</v>
      </c>
      <c r="K122" s="8" t="s">
        <v>474</v>
      </c>
      <c r="L122" s="7" t="s">
        <v>998</v>
      </c>
      <c r="M122" s="7" t="s">
        <v>4496</v>
      </c>
      <c r="N122" s="7" t="s">
        <v>952</v>
      </c>
      <c r="O122" s="7" t="s">
        <v>4492</v>
      </c>
      <c r="P122" s="7" t="s">
        <v>1150</v>
      </c>
      <c r="Q122" s="7" t="s">
        <v>1480</v>
      </c>
      <c r="R122" s="7" t="s">
        <v>1152</v>
      </c>
      <c r="S122" s="8" t="s">
        <v>4208</v>
      </c>
      <c r="T122" s="12"/>
      <c r="U122" s="12"/>
    </row>
    <row r="123" customFormat="false" ht="46.25" hidden="false" customHeight="false" outlineLevel="0" collapsed="false">
      <c r="A123" s="7" t="s">
        <v>4497</v>
      </c>
      <c r="B123" s="14" t="s">
        <v>4489</v>
      </c>
      <c r="C123" s="7" t="s">
        <v>506</v>
      </c>
      <c r="D123" s="7" t="s">
        <v>471</v>
      </c>
      <c r="E123" s="7" t="s">
        <v>506</v>
      </c>
      <c r="F123" s="7" t="s">
        <v>4498</v>
      </c>
      <c r="G123" s="7" t="s">
        <v>3992</v>
      </c>
      <c r="H123" s="7" t="s">
        <v>943</v>
      </c>
      <c r="I123" s="7" t="s">
        <v>1424</v>
      </c>
      <c r="J123" s="8" t="s">
        <v>4499</v>
      </c>
      <c r="K123" s="8" t="s">
        <v>474</v>
      </c>
      <c r="L123" s="7" t="s">
        <v>998</v>
      </c>
      <c r="M123" s="7" t="s">
        <v>4500</v>
      </c>
      <c r="N123" s="7" t="s">
        <v>952</v>
      </c>
      <c r="O123" s="7" t="s">
        <v>4492</v>
      </c>
      <c r="P123" s="7" t="s">
        <v>1150</v>
      </c>
      <c r="Q123" s="7" t="s">
        <v>1480</v>
      </c>
      <c r="R123" s="13" t="s">
        <v>1790</v>
      </c>
      <c r="S123" s="8" t="s">
        <v>4213</v>
      </c>
      <c r="T123" s="12"/>
      <c r="U123" s="12"/>
    </row>
    <row r="124" customFormat="false" ht="35.05" hidden="false" customHeight="false" outlineLevel="0" collapsed="false">
      <c r="A124" s="7" t="s">
        <v>4501</v>
      </c>
      <c r="B124" s="14" t="s">
        <v>4502</v>
      </c>
      <c r="C124" s="7" t="s">
        <v>506</v>
      </c>
      <c r="D124" s="7" t="s">
        <v>471</v>
      </c>
      <c r="E124" s="7" t="s">
        <v>506</v>
      </c>
      <c r="F124" s="7" t="s">
        <v>4503</v>
      </c>
      <c r="G124" s="7" t="s">
        <v>3992</v>
      </c>
      <c r="H124" s="7" t="s">
        <v>928</v>
      </c>
      <c r="I124" s="7" t="s">
        <v>1148</v>
      </c>
      <c r="J124" s="8" t="s">
        <v>4504</v>
      </c>
      <c r="K124" s="8" t="s">
        <v>474</v>
      </c>
      <c r="L124" s="7" t="s">
        <v>483</v>
      </c>
      <c r="M124" s="7" t="s">
        <v>4505</v>
      </c>
      <c r="N124" s="7" t="n">
        <v>3</v>
      </c>
      <c r="O124" s="7" t="s">
        <v>507</v>
      </c>
      <c r="P124" s="7" t="s">
        <v>1150</v>
      </c>
      <c r="Q124" s="7" t="s">
        <v>1480</v>
      </c>
      <c r="R124" s="7" t="s">
        <v>1152</v>
      </c>
      <c r="S124" s="8" t="s">
        <v>3984</v>
      </c>
      <c r="T124" s="12"/>
      <c r="U124" s="12"/>
    </row>
    <row r="125" customFormat="false" ht="46.25" hidden="false" customHeight="false" outlineLevel="0" collapsed="false">
      <c r="A125" s="7" t="s">
        <v>4506</v>
      </c>
      <c r="B125" s="14" t="s">
        <v>4502</v>
      </c>
      <c r="C125" s="7" t="s">
        <v>506</v>
      </c>
      <c r="D125" s="7" t="s">
        <v>471</v>
      </c>
      <c r="E125" s="7" t="s">
        <v>506</v>
      </c>
      <c r="F125" s="7" t="s">
        <v>4507</v>
      </c>
      <c r="G125" s="7" t="s">
        <v>3992</v>
      </c>
      <c r="H125" s="7" t="s">
        <v>943</v>
      </c>
      <c r="I125" s="7" t="s">
        <v>1424</v>
      </c>
      <c r="J125" s="8" t="s">
        <v>4508</v>
      </c>
      <c r="K125" s="8" t="s">
        <v>474</v>
      </c>
      <c r="L125" s="7" t="s">
        <v>998</v>
      </c>
      <c r="M125" s="7" t="s">
        <v>4509</v>
      </c>
      <c r="N125" s="7" t="s">
        <v>952</v>
      </c>
      <c r="O125" s="7" t="s">
        <v>4505</v>
      </c>
      <c r="P125" s="7" t="s">
        <v>1150</v>
      </c>
      <c r="Q125" s="7" t="s">
        <v>1480</v>
      </c>
      <c r="R125" s="7" t="s">
        <v>1152</v>
      </c>
      <c r="S125" s="8" t="s">
        <v>4208</v>
      </c>
      <c r="T125" s="12"/>
      <c r="U125" s="12"/>
    </row>
    <row r="126" customFormat="false" ht="46.25" hidden="false" customHeight="false" outlineLevel="0" collapsed="false">
      <c r="A126" s="7" t="s">
        <v>4510</v>
      </c>
      <c r="B126" s="14" t="s">
        <v>4502</v>
      </c>
      <c r="C126" s="7" t="s">
        <v>506</v>
      </c>
      <c r="D126" s="7" t="s">
        <v>471</v>
      </c>
      <c r="E126" s="7" t="s">
        <v>506</v>
      </c>
      <c r="F126" s="7" t="s">
        <v>4511</v>
      </c>
      <c r="G126" s="7" t="s">
        <v>3992</v>
      </c>
      <c r="H126" s="7" t="s">
        <v>943</v>
      </c>
      <c r="I126" s="7" t="s">
        <v>1424</v>
      </c>
      <c r="J126" s="8" t="s">
        <v>4512</v>
      </c>
      <c r="K126" s="8" t="s">
        <v>474</v>
      </c>
      <c r="L126" s="7" t="s">
        <v>998</v>
      </c>
      <c r="M126" s="7" t="s">
        <v>4513</v>
      </c>
      <c r="N126" s="7" t="s">
        <v>952</v>
      </c>
      <c r="O126" s="7" t="s">
        <v>4505</v>
      </c>
      <c r="P126" s="7" t="s">
        <v>1150</v>
      </c>
      <c r="Q126" s="7" t="s">
        <v>1480</v>
      </c>
      <c r="R126" s="13" t="s">
        <v>1790</v>
      </c>
      <c r="S126" s="8" t="s">
        <v>4213</v>
      </c>
      <c r="T126" s="12"/>
      <c r="U126" s="12"/>
    </row>
    <row r="127" customFormat="false" ht="35.05" hidden="false" customHeight="false" outlineLevel="0" collapsed="false">
      <c r="A127" s="7" t="s">
        <v>4514</v>
      </c>
      <c r="B127" s="14" t="s">
        <v>3986</v>
      </c>
      <c r="C127" s="7" t="s">
        <v>541</v>
      </c>
      <c r="D127" s="7" t="s">
        <v>471</v>
      </c>
      <c r="E127" s="7" t="s">
        <v>875</v>
      </c>
      <c r="F127" s="7" t="s">
        <v>541</v>
      </c>
      <c r="G127" s="7" t="s">
        <v>3987</v>
      </c>
      <c r="H127" s="7" t="s">
        <v>928</v>
      </c>
      <c r="I127" s="7" t="s">
        <v>1148</v>
      </c>
      <c r="J127" s="8" t="s">
        <v>4515</v>
      </c>
      <c r="K127" s="8" t="s">
        <v>474</v>
      </c>
      <c r="L127" s="7" t="s">
        <v>478</v>
      </c>
      <c r="M127" s="7" t="s">
        <v>542</v>
      </c>
      <c r="N127" s="7" t="n">
        <v>2</v>
      </c>
      <c r="O127" s="7" t="s">
        <v>472</v>
      </c>
      <c r="P127" s="7" t="s">
        <v>1150</v>
      </c>
      <c r="Q127" s="7" t="s">
        <v>1183</v>
      </c>
      <c r="R127" s="7" t="s">
        <v>1152</v>
      </c>
      <c r="S127" s="8"/>
      <c r="T127" s="12"/>
      <c r="U127" s="12"/>
    </row>
    <row r="128" customFormat="false" ht="35.05" hidden="false" customHeight="false" outlineLevel="0" collapsed="false">
      <c r="A128" s="7" t="s">
        <v>4516</v>
      </c>
      <c r="B128" s="14" t="s">
        <v>4517</v>
      </c>
      <c r="C128" s="7" t="s">
        <v>541</v>
      </c>
      <c r="D128" s="7" t="s">
        <v>471</v>
      </c>
      <c r="E128" s="7" t="s">
        <v>541</v>
      </c>
      <c r="F128" s="7" t="s">
        <v>4518</v>
      </c>
      <c r="G128" s="7" t="s">
        <v>3992</v>
      </c>
      <c r="H128" s="7" t="s">
        <v>928</v>
      </c>
      <c r="I128" s="7" t="s">
        <v>1148</v>
      </c>
      <c r="J128" s="8" t="s">
        <v>4519</v>
      </c>
      <c r="K128" s="8" t="s">
        <v>474</v>
      </c>
      <c r="L128" s="7" t="s">
        <v>483</v>
      </c>
      <c r="M128" s="7" t="s">
        <v>4520</v>
      </c>
      <c r="N128" s="7" t="n">
        <v>3</v>
      </c>
      <c r="O128" s="7" t="s">
        <v>542</v>
      </c>
      <c r="P128" s="7" t="s">
        <v>1150</v>
      </c>
      <c r="Q128" s="7" t="s">
        <v>1183</v>
      </c>
      <c r="R128" s="7" t="s">
        <v>1152</v>
      </c>
      <c r="S128" s="8" t="s">
        <v>3984</v>
      </c>
      <c r="T128" s="12"/>
      <c r="U128" s="12"/>
    </row>
    <row r="129" customFormat="false" ht="46.25" hidden="false" customHeight="false" outlineLevel="0" collapsed="false">
      <c r="A129" s="7" t="s">
        <v>4521</v>
      </c>
      <c r="B129" s="14" t="s">
        <v>4517</v>
      </c>
      <c r="C129" s="7" t="s">
        <v>541</v>
      </c>
      <c r="D129" s="7" t="s">
        <v>471</v>
      </c>
      <c r="E129" s="7" t="s">
        <v>541</v>
      </c>
      <c r="F129" s="7" t="s">
        <v>4522</v>
      </c>
      <c r="G129" s="7" t="s">
        <v>3992</v>
      </c>
      <c r="H129" s="7" t="s">
        <v>943</v>
      </c>
      <c r="I129" s="7" t="s">
        <v>1424</v>
      </c>
      <c r="J129" s="8" t="s">
        <v>4523</v>
      </c>
      <c r="K129" s="8" t="s">
        <v>474</v>
      </c>
      <c r="L129" s="7" t="s">
        <v>606</v>
      </c>
      <c r="M129" s="7" t="s">
        <v>4524</v>
      </c>
      <c r="N129" s="7" t="n">
        <v>4</v>
      </c>
      <c r="O129" s="7" t="s">
        <v>4520</v>
      </c>
      <c r="P129" s="7" t="s">
        <v>1150</v>
      </c>
      <c r="Q129" s="7" t="s">
        <v>1183</v>
      </c>
      <c r="R129" s="7" t="s">
        <v>1152</v>
      </c>
      <c r="S129" s="8" t="s">
        <v>4525</v>
      </c>
      <c r="T129" s="12"/>
      <c r="U129" s="12"/>
    </row>
    <row r="130" customFormat="false" ht="46.25" hidden="false" customHeight="false" outlineLevel="0" collapsed="false">
      <c r="A130" s="7" t="s">
        <v>4526</v>
      </c>
      <c r="B130" s="14" t="s">
        <v>4517</v>
      </c>
      <c r="C130" s="7" t="s">
        <v>541</v>
      </c>
      <c r="D130" s="7" t="s">
        <v>471</v>
      </c>
      <c r="E130" s="7" t="s">
        <v>541</v>
      </c>
      <c r="F130" s="7" t="s">
        <v>4527</v>
      </c>
      <c r="G130" s="7" t="s">
        <v>3992</v>
      </c>
      <c r="H130" s="7" t="s">
        <v>943</v>
      </c>
      <c r="I130" s="7" t="s">
        <v>1424</v>
      </c>
      <c r="J130" s="8" t="s">
        <v>4528</v>
      </c>
      <c r="K130" s="8" t="s">
        <v>474</v>
      </c>
      <c r="L130" s="7" t="s">
        <v>998</v>
      </c>
      <c r="M130" s="7" t="s">
        <v>4529</v>
      </c>
      <c r="N130" s="7" t="s">
        <v>952</v>
      </c>
      <c r="O130" s="7" t="s">
        <v>4520</v>
      </c>
      <c r="P130" s="7" t="s">
        <v>1150</v>
      </c>
      <c r="Q130" s="7" t="s">
        <v>1480</v>
      </c>
      <c r="R130" s="7" t="s">
        <v>1152</v>
      </c>
      <c r="S130" s="8" t="s">
        <v>4530</v>
      </c>
      <c r="T130" s="12"/>
      <c r="U130" s="12"/>
    </row>
    <row r="131" customFormat="false" ht="46.25" hidden="false" customHeight="false" outlineLevel="0" collapsed="false">
      <c r="A131" s="7" t="s">
        <v>4531</v>
      </c>
      <c r="B131" s="14" t="s">
        <v>4517</v>
      </c>
      <c r="C131" s="7" t="s">
        <v>541</v>
      </c>
      <c r="D131" s="7" t="s">
        <v>471</v>
      </c>
      <c r="E131" s="7" t="s">
        <v>541</v>
      </c>
      <c r="F131" s="7" t="s">
        <v>4532</v>
      </c>
      <c r="G131" s="7" t="s">
        <v>3992</v>
      </c>
      <c r="H131" s="7" t="s">
        <v>943</v>
      </c>
      <c r="I131" s="7" t="s">
        <v>1424</v>
      </c>
      <c r="J131" s="8" t="s">
        <v>4533</v>
      </c>
      <c r="K131" s="8" t="s">
        <v>474</v>
      </c>
      <c r="L131" s="7" t="s">
        <v>998</v>
      </c>
      <c r="M131" s="7" t="s">
        <v>4534</v>
      </c>
      <c r="N131" s="7" t="s">
        <v>952</v>
      </c>
      <c r="O131" s="7" t="s">
        <v>4520</v>
      </c>
      <c r="P131" s="7" t="s">
        <v>1150</v>
      </c>
      <c r="Q131" s="7" t="s">
        <v>1480</v>
      </c>
      <c r="R131" s="7" t="s">
        <v>1152</v>
      </c>
      <c r="S131" s="8" t="s">
        <v>4535</v>
      </c>
      <c r="T131" s="12"/>
      <c r="U131" s="12"/>
    </row>
    <row r="132" customFormat="false" ht="46.25" hidden="false" customHeight="false" outlineLevel="0" collapsed="false">
      <c r="A132" s="7" t="s">
        <v>4536</v>
      </c>
      <c r="B132" s="14" t="s">
        <v>4517</v>
      </c>
      <c r="C132" s="7" t="s">
        <v>541</v>
      </c>
      <c r="D132" s="7" t="s">
        <v>471</v>
      </c>
      <c r="E132" s="7" t="s">
        <v>541</v>
      </c>
      <c r="F132" s="7" t="s">
        <v>4537</v>
      </c>
      <c r="G132" s="7" t="s">
        <v>3992</v>
      </c>
      <c r="H132" s="7" t="s">
        <v>943</v>
      </c>
      <c r="I132" s="7" t="s">
        <v>1424</v>
      </c>
      <c r="J132" s="8" t="s">
        <v>4538</v>
      </c>
      <c r="K132" s="8" t="s">
        <v>474</v>
      </c>
      <c r="L132" s="7" t="s">
        <v>606</v>
      </c>
      <c r="M132" s="7" t="s">
        <v>4539</v>
      </c>
      <c r="N132" s="7" t="n">
        <v>4</v>
      </c>
      <c r="O132" s="7" t="s">
        <v>4520</v>
      </c>
      <c r="P132" s="7" t="s">
        <v>1150</v>
      </c>
      <c r="Q132" s="7" t="s">
        <v>1183</v>
      </c>
      <c r="R132" s="13" t="s">
        <v>1790</v>
      </c>
      <c r="S132" s="8" t="s">
        <v>4540</v>
      </c>
      <c r="T132" s="12"/>
      <c r="U132" s="12"/>
    </row>
    <row r="133" customFormat="false" ht="35.05" hidden="false" customHeight="false" outlineLevel="0" collapsed="false">
      <c r="A133" s="7" t="s">
        <v>4541</v>
      </c>
      <c r="B133" s="14" t="s">
        <v>4542</v>
      </c>
      <c r="C133" s="7" t="s">
        <v>541</v>
      </c>
      <c r="D133" s="7" t="s">
        <v>471</v>
      </c>
      <c r="E133" s="7" t="s">
        <v>541</v>
      </c>
      <c r="F133" s="7" t="s">
        <v>4543</v>
      </c>
      <c r="G133" s="7" t="s">
        <v>3992</v>
      </c>
      <c r="H133" s="7" t="s">
        <v>928</v>
      </c>
      <c r="I133" s="7" t="s">
        <v>1148</v>
      </c>
      <c r="J133" s="8" t="s">
        <v>4544</v>
      </c>
      <c r="K133" s="8" t="s">
        <v>474</v>
      </c>
      <c r="L133" s="7" t="s">
        <v>483</v>
      </c>
      <c r="M133" s="7" t="s">
        <v>4545</v>
      </c>
      <c r="N133" s="7" t="n">
        <v>3</v>
      </c>
      <c r="O133" s="7" t="s">
        <v>542</v>
      </c>
      <c r="P133" s="7" t="s">
        <v>1150</v>
      </c>
      <c r="Q133" s="7" t="s">
        <v>1183</v>
      </c>
      <c r="R133" s="7" t="s">
        <v>1152</v>
      </c>
      <c r="S133" s="8" t="s">
        <v>3984</v>
      </c>
      <c r="T133" s="12"/>
      <c r="U133" s="12"/>
    </row>
    <row r="134" customFormat="false" ht="46.25" hidden="false" customHeight="false" outlineLevel="0" collapsed="false">
      <c r="A134" s="7" t="s">
        <v>4546</v>
      </c>
      <c r="B134" s="14" t="s">
        <v>4542</v>
      </c>
      <c r="C134" s="7" t="s">
        <v>541</v>
      </c>
      <c r="D134" s="7" t="s">
        <v>471</v>
      </c>
      <c r="E134" s="7" t="s">
        <v>541</v>
      </c>
      <c r="F134" s="7" t="s">
        <v>4547</v>
      </c>
      <c r="G134" s="7" t="s">
        <v>3992</v>
      </c>
      <c r="H134" s="7" t="s">
        <v>943</v>
      </c>
      <c r="I134" s="7" t="s">
        <v>1424</v>
      </c>
      <c r="J134" s="8" t="s">
        <v>4548</v>
      </c>
      <c r="K134" s="8" t="s">
        <v>474</v>
      </c>
      <c r="L134" s="7" t="s">
        <v>606</v>
      </c>
      <c r="M134" s="7" t="s">
        <v>4549</v>
      </c>
      <c r="N134" s="7" t="n">
        <v>4</v>
      </c>
      <c r="O134" s="7" t="s">
        <v>4545</v>
      </c>
      <c r="P134" s="7" t="s">
        <v>1150</v>
      </c>
      <c r="Q134" s="7" t="s">
        <v>1183</v>
      </c>
      <c r="R134" s="7" t="s">
        <v>1152</v>
      </c>
      <c r="S134" s="8" t="s">
        <v>4525</v>
      </c>
      <c r="T134" s="12"/>
      <c r="U134" s="12"/>
    </row>
    <row r="135" customFormat="false" ht="46.25" hidden="false" customHeight="false" outlineLevel="0" collapsed="false">
      <c r="A135" s="7" t="s">
        <v>4550</v>
      </c>
      <c r="B135" s="14" t="s">
        <v>4542</v>
      </c>
      <c r="C135" s="7" t="s">
        <v>541</v>
      </c>
      <c r="D135" s="7" t="s">
        <v>471</v>
      </c>
      <c r="E135" s="7" t="s">
        <v>541</v>
      </c>
      <c r="F135" s="7" t="s">
        <v>4551</v>
      </c>
      <c r="G135" s="7" t="s">
        <v>3992</v>
      </c>
      <c r="H135" s="7" t="s">
        <v>943</v>
      </c>
      <c r="I135" s="7" t="s">
        <v>1424</v>
      </c>
      <c r="J135" s="8" t="s">
        <v>4552</v>
      </c>
      <c r="K135" s="8" t="s">
        <v>474</v>
      </c>
      <c r="L135" s="7" t="s">
        <v>998</v>
      </c>
      <c r="M135" s="7" t="s">
        <v>4553</v>
      </c>
      <c r="N135" s="7" t="s">
        <v>952</v>
      </c>
      <c r="O135" s="7" t="s">
        <v>4545</v>
      </c>
      <c r="P135" s="7" t="s">
        <v>1150</v>
      </c>
      <c r="Q135" s="7" t="s">
        <v>1480</v>
      </c>
      <c r="R135" s="7" t="s">
        <v>1152</v>
      </c>
      <c r="S135" s="8" t="s">
        <v>4530</v>
      </c>
      <c r="T135" s="12"/>
      <c r="U135" s="12"/>
    </row>
    <row r="136" customFormat="false" ht="46.25" hidden="false" customHeight="false" outlineLevel="0" collapsed="false">
      <c r="A136" s="7" t="s">
        <v>4554</v>
      </c>
      <c r="B136" s="14" t="s">
        <v>4542</v>
      </c>
      <c r="C136" s="7" t="s">
        <v>541</v>
      </c>
      <c r="D136" s="7" t="s">
        <v>471</v>
      </c>
      <c r="E136" s="7" t="s">
        <v>541</v>
      </c>
      <c r="F136" s="7" t="s">
        <v>4555</v>
      </c>
      <c r="G136" s="7" t="s">
        <v>3992</v>
      </c>
      <c r="H136" s="7" t="s">
        <v>943</v>
      </c>
      <c r="I136" s="7" t="s">
        <v>1424</v>
      </c>
      <c r="J136" s="8" t="s">
        <v>4556</v>
      </c>
      <c r="K136" s="8" t="s">
        <v>474</v>
      </c>
      <c r="L136" s="7" t="s">
        <v>998</v>
      </c>
      <c r="M136" s="7" t="s">
        <v>4557</v>
      </c>
      <c r="N136" s="7" t="s">
        <v>952</v>
      </c>
      <c r="O136" s="7" t="s">
        <v>4545</v>
      </c>
      <c r="P136" s="7" t="s">
        <v>1150</v>
      </c>
      <c r="Q136" s="7" t="s">
        <v>1480</v>
      </c>
      <c r="R136" s="7" t="s">
        <v>1152</v>
      </c>
      <c r="S136" s="8" t="s">
        <v>4535</v>
      </c>
      <c r="T136" s="12"/>
      <c r="U136" s="12"/>
    </row>
    <row r="137" customFormat="false" ht="46.25" hidden="false" customHeight="false" outlineLevel="0" collapsed="false">
      <c r="A137" s="7" t="s">
        <v>4558</v>
      </c>
      <c r="B137" s="14" t="s">
        <v>4542</v>
      </c>
      <c r="C137" s="7" t="s">
        <v>541</v>
      </c>
      <c r="D137" s="7" t="s">
        <v>471</v>
      </c>
      <c r="E137" s="7" t="s">
        <v>541</v>
      </c>
      <c r="F137" s="7" t="s">
        <v>4559</v>
      </c>
      <c r="G137" s="7" t="s">
        <v>3992</v>
      </c>
      <c r="H137" s="7" t="s">
        <v>943</v>
      </c>
      <c r="I137" s="7" t="s">
        <v>1424</v>
      </c>
      <c r="J137" s="8" t="s">
        <v>4560</v>
      </c>
      <c r="K137" s="8" t="s">
        <v>474</v>
      </c>
      <c r="L137" s="7" t="s">
        <v>606</v>
      </c>
      <c r="M137" s="7" t="s">
        <v>4561</v>
      </c>
      <c r="N137" s="7" t="n">
        <v>4</v>
      </c>
      <c r="O137" s="7" t="s">
        <v>4545</v>
      </c>
      <c r="P137" s="7" t="s">
        <v>1150</v>
      </c>
      <c r="Q137" s="7" t="s">
        <v>1183</v>
      </c>
      <c r="R137" s="13" t="s">
        <v>1790</v>
      </c>
      <c r="S137" s="8" t="s">
        <v>4540</v>
      </c>
      <c r="T137" s="12"/>
      <c r="U137" s="12"/>
    </row>
    <row r="138" customFormat="false" ht="35.05" hidden="false" customHeight="false" outlineLevel="0" collapsed="false">
      <c r="A138" s="7" t="s">
        <v>4562</v>
      </c>
      <c r="B138" s="14" t="s">
        <v>4563</v>
      </c>
      <c r="C138" s="7" t="s">
        <v>541</v>
      </c>
      <c r="D138" s="7" t="s">
        <v>471</v>
      </c>
      <c r="E138" s="7" t="s">
        <v>541</v>
      </c>
      <c r="F138" s="7" t="s">
        <v>4564</v>
      </c>
      <c r="G138" s="7" t="s">
        <v>3992</v>
      </c>
      <c r="H138" s="7" t="s">
        <v>928</v>
      </c>
      <c r="I138" s="7" t="s">
        <v>1148</v>
      </c>
      <c r="J138" s="8" t="s">
        <v>4565</v>
      </c>
      <c r="K138" s="8" t="s">
        <v>474</v>
      </c>
      <c r="L138" s="7" t="s">
        <v>483</v>
      </c>
      <c r="M138" s="7" t="s">
        <v>4566</v>
      </c>
      <c r="N138" s="7" t="n">
        <v>3</v>
      </c>
      <c r="O138" s="7" t="s">
        <v>542</v>
      </c>
      <c r="P138" s="7" t="s">
        <v>1150</v>
      </c>
      <c r="Q138" s="7" t="s">
        <v>1183</v>
      </c>
      <c r="R138" s="7" t="s">
        <v>1152</v>
      </c>
      <c r="S138" s="8" t="s">
        <v>3984</v>
      </c>
      <c r="T138" s="12"/>
      <c r="U138" s="12"/>
    </row>
    <row r="139" customFormat="false" ht="46.25" hidden="false" customHeight="false" outlineLevel="0" collapsed="false">
      <c r="A139" s="7" t="s">
        <v>4567</v>
      </c>
      <c r="B139" s="14" t="s">
        <v>4563</v>
      </c>
      <c r="C139" s="7" t="s">
        <v>541</v>
      </c>
      <c r="D139" s="7" t="s">
        <v>471</v>
      </c>
      <c r="E139" s="7" t="s">
        <v>541</v>
      </c>
      <c r="F139" s="7" t="s">
        <v>4568</v>
      </c>
      <c r="G139" s="7" t="s">
        <v>3992</v>
      </c>
      <c r="H139" s="7" t="s">
        <v>943</v>
      </c>
      <c r="I139" s="7" t="s">
        <v>1424</v>
      </c>
      <c r="J139" s="8" t="s">
        <v>4569</v>
      </c>
      <c r="K139" s="8" t="s">
        <v>474</v>
      </c>
      <c r="L139" s="7" t="s">
        <v>606</v>
      </c>
      <c r="M139" s="7" t="s">
        <v>4570</v>
      </c>
      <c r="N139" s="7" t="n">
        <v>4</v>
      </c>
      <c r="O139" s="7" t="s">
        <v>4566</v>
      </c>
      <c r="P139" s="7" t="s">
        <v>1150</v>
      </c>
      <c r="Q139" s="7" t="s">
        <v>1183</v>
      </c>
      <c r="R139" s="7" t="s">
        <v>1152</v>
      </c>
      <c r="S139" s="8" t="s">
        <v>4525</v>
      </c>
      <c r="T139" s="12"/>
      <c r="U139" s="12"/>
    </row>
    <row r="140" customFormat="false" ht="46.25" hidden="false" customHeight="false" outlineLevel="0" collapsed="false">
      <c r="A140" s="7" t="s">
        <v>4571</v>
      </c>
      <c r="B140" s="14" t="s">
        <v>4563</v>
      </c>
      <c r="C140" s="7" t="s">
        <v>541</v>
      </c>
      <c r="D140" s="7" t="s">
        <v>471</v>
      </c>
      <c r="E140" s="7" t="s">
        <v>541</v>
      </c>
      <c r="F140" s="7" t="s">
        <v>4572</v>
      </c>
      <c r="G140" s="7" t="s">
        <v>3992</v>
      </c>
      <c r="H140" s="7" t="s">
        <v>943</v>
      </c>
      <c r="I140" s="7" t="s">
        <v>1424</v>
      </c>
      <c r="J140" s="8" t="s">
        <v>4573</v>
      </c>
      <c r="K140" s="8" t="s">
        <v>474</v>
      </c>
      <c r="L140" s="7" t="s">
        <v>998</v>
      </c>
      <c r="M140" s="7" t="s">
        <v>4574</v>
      </c>
      <c r="N140" s="7" t="s">
        <v>952</v>
      </c>
      <c r="O140" s="7" t="s">
        <v>4566</v>
      </c>
      <c r="P140" s="7" t="s">
        <v>1150</v>
      </c>
      <c r="Q140" s="7" t="s">
        <v>1480</v>
      </c>
      <c r="R140" s="7" t="s">
        <v>1152</v>
      </c>
      <c r="S140" s="8" t="s">
        <v>4530</v>
      </c>
      <c r="T140" s="12"/>
      <c r="U140" s="12"/>
    </row>
    <row r="141" customFormat="false" ht="46.25" hidden="false" customHeight="false" outlineLevel="0" collapsed="false">
      <c r="A141" s="7" t="s">
        <v>4575</v>
      </c>
      <c r="B141" s="14" t="s">
        <v>4563</v>
      </c>
      <c r="C141" s="7" t="s">
        <v>541</v>
      </c>
      <c r="D141" s="7" t="s">
        <v>471</v>
      </c>
      <c r="E141" s="7" t="s">
        <v>541</v>
      </c>
      <c r="F141" s="7" t="s">
        <v>4576</v>
      </c>
      <c r="G141" s="7" t="s">
        <v>3992</v>
      </c>
      <c r="H141" s="7" t="s">
        <v>943</v>
      </c>
      <c r="I141" s="7" t="s">
        <v>1424</v>
      </c>
      <c r="J141" s="8" t="s">
        <v>4577</v>
      </c>
      <c r="K141" s="8" t="s">
        <v>474</v>
      </c>
      <c r="L141" s="7" t="s">
        <v>998</v>
      </c>
      <c r="M141" s="7" t="s">
        <v>4578</v>
      </c>
      <c r="N141" s="7" t="s">
        <v>952</v>
      </c>
      <c r="O141" s="7" t="s">
        <v>4566</v>
      </c>
      <c r="P141" s="7" t="s">
        <v>1150</v>
      </c>
      <c r="Q141" s="7" t="s">
        <v>1480</v>
      </c>
      <c r="R141" s="7" t="s">
        <v>1152</v>
      </c>
      <c r="S141" s="8" t="s">
        <v>4535</v>
      </c>
      <c r="T141" s="12"/>
      <c r="U141" s="12"/>
    </row>
    <row r="142" customFormat="false" ht="46.25" hidden="false" customHeight="false" outlineLevel="0" collapsed="false">
      <c r="A142" s="7" t="s">
        <v>4579</v>
      </c>
      <c r="B142" s="14" t="s">
        <v>4563</v>
      </c>
      <c r="C142" s="7" t="s">
        <v>541</v>
      </c>
      <c r="D142" s="7" t="s">
        <v>471</v>
      </c>
      <c r="E142" s="7" t="s">
        <v>541</v>
      </c>
      <c r="F142" s="7" t="s">
        <v>4580</v>
      </c>
      <c r="G142" s="7" t="s">
        <v>3992</v>
      </c>
      <c r="H142" s="7" t="s">
        <v>943</v>
      </c>
      <c r="I142" s="7" t="s">
        <v>1424</v>
      </c>
      <c r="J142" s="8" t="s">
        <v>4581</v>
      </c>
      <c r="K142" s="8" t="s">
        <v>474</v>
      </c>
      <c r="L142" s="7" t="s">
        <v>606</v>
      </c>
      <c r="M142" s="7" t="s">
        <v>4582</v>
      </c>
      <c r="N142" s="7" t="n">
        <v>4</v>
      </c>
      <c r="O142" s="7" t="s">
        <v>4566</v>
      </c>
      <c r="P142" s="7" t="s">
        <v>1150</v>
      </c>
      <c r="Q142" s="7" t="s">
        <v>1183</v>
      </c>
      <c r="R142" s="13" t="s">
        <v>1790</v>
      </c>
      <c r="S142" s="8" t="s">
        <v>4540</v>
      </c>
      <c r="T142" s="12"/>
      <c r="U142" s="12"/>
    </row>
    <row r="143" customFormat="false" ht="35.05" hidden="false" customHeight="false" outlineLevel="0" collapsed="false">
      <c r="A143" s="7" t="s">
        <v>4583</v>
      </c>
      <c r="B143" s="14" t="s">
        <v>4489</v>
      </c>
      <c r="C143" s="7" t="s">
        <v>541</v>
      </c>
      <c r="D143" s="7" t="s">
        <v>471</v>
      </c>
      <c r="E143" s="7" t="s">
        <v>541</v>
      </c>
      <c r="F143" s="7" t="s">
        <v>4584</v>
      </c>
      <c r="G143" s="7" t="s">
        <v>3992</v>
      </c>
      <c r="H143" s="7" t="s">
        <v>928</v>
      </c>
      <c r="I143" s="7" t="s">
        <v>1148</v>
      </c>
      <c r="J143" s="8" t="s">
        <v>4491</v>
      </c>
      <c r="K143" s="8" t="s">
        <v>474</v>
      </c>
      <c r="L143" s="7" t="s">
        <v>483</v>
      </c>
      <c r="M143" s="7" t="s">
        <v>4585</v>
      </c>
      <c r="N143" s="7" t="n">
        <v>3</v>
      </c>
      <c r="O143" s="7" t="s">
        <v>542</v>
      </c>
      <c r="P143" s="7" t="s">
        <v>1150</v>
      </c>
      <c r="Q143" s="7" t="s">
        <v>1480</v>
      </c>
      <c r="R143" s="7" t="s">
        <v>1152</v>
      </c>
      <c r="S143" s="8" t="s">
        <v>3984</v>
      </c>
      <c r="T143" s="12"/>
      <c r="U143" s="12"/>
    </row>
    <row r="144" customFormat="false" ht="46.25" hidden="false" customHeight="false" outlineLevel="0" collapsed="false">
      <c r="A144" s="7" t="s">
        <v>4586</v>
      </c>
      <c r="B144" s="14" t="s">
        <v>4489</v>
      </c>
      <c r="C144" s="7" t="s">
        <v>541</v>
      </c>
      <c r="D144" s="7" t="s">
        <v>471</v>
      </c>
      <c r="E144" s="7" t="s">
        <v>541</v>
      </c>
      <c r="F144" s="7" t="s">
        <v>4587</v>
      </c>
      <c r="G144" s="7" t="s">
        <v>3992</v>
      </c>
      <c r="H144" s="7" t="s">
        <v>943</v>
      </c>
      <c r="I144" s="7" t="s">
        <v>1424</v>
      </c>
      <c r="J144" s="8" t="s">
        <v>4588</v>
      </c>
      <c r="K144" s="8" t="s">
        <v>474</v>
      </c>
      <c r="L144" s="7" t="s">
        <v>606</v>
      </c>
      <c r="M144" s="7" t="s">
        <v>4589</v>
      </c>
      <c r="N144" s="7" t="n">
        <v>4</v>
      </c>
      <c r="O144" s="7" t="s">
        <v>4585</v>
      </c>
      <c r="P144" s="7" t="s">
        <v>1150</v>
      </c>
      <c r="Q144" s="7" t="s">
        <v>1480</v>
      </c>
      <c r="R144" s="7" t="s">
        <v>1152</v>
      </c>
      <c r="S144" s="8" t="s">
        <v>4525</v>
      </c>
      <c r="T144" s="12"/>
      <c r="U144" s="12"/>
    </row>
    <row r="145" customFormat="false" ht="46.25" hidden="false" customHeight="false" outlineLevel="0" collapsed="false">
      <c r="A145" s="7" t="s">
        <v>4590</v>
      </c>
      <c r="B145" s="14" t="s">
        <v>4489</v>
      </c>
      <c r="C145" s="7" t="s">
        <v>541</v>
      </c>
      <c r="D145" s="7" t="s">
        <v>471</v>
      </c>
      <c r="E145" s="7" t="s">
        <v>541</v>
      </c>
      <c r="F145" s="7" t="s">
        <v>4591</v>
      </c>
      <c r="G145" s="7" t="s">
        <v>3992</v>
      </c>
      <c r="H145" s="7" t="s">
        <v>943</v>
      </c>
      <c r="I145" s="7" t="s">
        <v>1424</v>
      </c>
      <c r="J145" s="8" t="s">
        <v>4592</v>
      </c>
      <c r="K145" s="8" t="s">
        <v>474</v>
      </c>
      <c r="L145" s="7" t="s">
        <v>998</v>
      </c>
      <c r="M145" s="7" t="s">
        <v>4593</v>
      </c>
      <c r="N145" s="7" t="s">
        <v>952</v>
      </c>
      <c r="O145" s="7" t="s">
        <v>4585</v>
      </c>
      <c r="P145" s="7" t="s">
        <v>1150</v>
      </c>
      <c r="Q145" s="7" t="s">
        <v>1480</v>
      </c>
      <c r="R145" s="7" t="s">
        <v>1152</v>
      </c>
      <c r="S145" s="8" t="s">
        <v>4530</v>
      </c>
      <c r="T145" s="12"/>
      <c r="U145" s="12"/>
    </row>
    <row r="146" customFormat="false" ht="46.25" hidden="false" customHeight="false" outlineLevel="0" collapsed="false">
      <c r="A146" s="7" t="s">
        <v>4594</v>
      </c>
      <c r="B146" s="14" t="s">
        <v>4489</v>
      </c>
      <c r="C146" s="7" t="s">
        <v>541</v>
      </c>
      <c r="D146" s="7" t="s">
        <v>471</v>
      </c>
      <c r="E146" s="7" t="s">
        <v>541</v>
      </c>
      <c r="F146" s="7" t="s">
        <v>4595</v>
      </c>
      <c r="G146" s="7" t="s">
        <v>3992</v>
      </c>
      <c r="H146" s="7" t="s">
        <v>943</v>
      </c>
      <c r="I146" s="7" t="s">
        <v>1424</v>
      </c>
      <c r="J146" s="8" t="s">
        <v>4596</v>
      </c>
      <c r="K146" s="8" t="s">
        <v>474</v>
      </c>
      <c r="L146" s="7" t="s">
        <v>998</v>
      </c>
      <c r="M146" s="7" t="s">
        <v>4597</v>
      </c>
      <c r="N146" s="7" t="s">
        <v>952</v>
      </c>
      <c r="O146" s="7" t="s">
        <v>4585</v>
      </c>
      <c r="P146" s="7" t="s">
        <v>1150</v>
      </c>
      <c r="Q146" s="7" t="s">
        <v>1480</v>
      </c>
      <c r="R146" s="7" t="s">
        <v>1152</v>
      </c>
      <c r="S146" s="8" t="s">
        <v>4535</v>
      </c>
      <c r="T146" s="12"/>
      <c r="U146" s="12"/>
    </row>
    <row r="147" customFormat="false" ht="46.25" hidden="false" customHeight="false" outlineLevel="0" collapsed="false">
      <c r="A147" s="7" t="s">
        <v>4598</v>
      </c>
      <c r="B147" s="14" t="s">
        <v>4489</v>
      </c>
      <c r="C147" s="7" t="s">
        <v>541</v>
      </c>
      <c r="D147" s="7" t="s">
        <v>471</v>
      </c>
      <c r="E147" s="7" t="s">
        <v>541</v>
      </c>
      <c r="F147" s="7" t="s">
        <v>4599</v>
      </c>
      <c r="G147" s="7" t="s">
        <v>3992</v>
      </c>
      <c r="H147" s="7" t="s">
        <v>943</v>
      </c>
      <c r="I147" s="7" t="s">
        <v>1424</v>
      </c>
      <c r="J147" s="8" t="s">
        <v>4600</v>
      </c>
      <c r="K147" s="8" t="s">
        <v>474</v>
      </c>
      <c r="L147" s="7" t="s">
        <v>606</v>
      </c>
      <c r="M147" s="7" t="s">
        <v>4601</v>
      </c>
      <c r="N147" s="7" t="n">
        <v>4</v>
      </c>
      <c r="O147" s="7" t="s">
        <v>4585</v>
      </c>
      <c r="P147" s="7" t="s">
        <v>1150</v>
      </c>
      <c r="Q147" s="7" t="s">
        <v>1480</v>
      </c>
      <c r="R147" s="13" t="s">
        <v>1790</v>
      </c>
      <c r="S147" s="8" t="s">
        <v>4540</v>
      </c>
      <c r="T147" s="12"/>
      <c r="U147" s="12"/>
    </row>
    <row r="148" customFormat="false" ht="35.05" hidden="false" customHeight="false" outlineLevel="0" collapsed="false">
      <c r="A148" s="7" t="s">
        <v>4602</v>
      </c>
      <c r="B148" s="14" t="s">
        <v>4603</v>
      </c>
      <c r="C148" s="7" t="s">
        <v>541</v>
      </c>
      <c r="D148" s="7" t="s">
        <v>471</v>
      </c>
      <c r="E148" s="7" t="s">
        <v>541</v>
      </c>
      <c r="F148" s="7" t="s">
        <v>4604</v>
      </c>
      <c r="G148" s="7" t="s">
        <v>3992</v>
      </c>
      <c r="H148" s="7" t="s">
        <v>928</v>
      </c>
      <c r="I148" s="7" t="s">
        <v>1148</v>
      </c>
      <c r="J148" s="8" t="s">
        <v>4605</v>
      </c>
      <c r="K148" s="8" t="s">
        <v>474</v>
      </c>
      <c r="L148" s="7" t="s">
        <v>483</v>
      </c>
      <c r="M148" s="7" t="s">
        <v>4606</v>
      </c>
      <c r="N148" s="7" t="n">
        <v>3</v>
      </c>
      <c r="O148" s="7" t="s">
        <v>542</v>
      </c>
      <c r="P148" s="7" t="s">
        <v>1150</v>
      </c>
      <c r="Q148" s="7" t="s">
        <v>1480</v>
      </c>
      <c r="R148" s="7" t="s">
        <v>1152</v>
      </c>
      <c r="S148" s="8" t="s">
        <v>3984</v>
      </c>
      <c r="T148" s="12"/>
      <c r="U148" s="12"/>
    </row>
    <row r="149" customFormat="false" ht="46.25" hidden="false" customHeight="false" outlineLevel="0" collapsed="false">
      <c r="A149" s="7" t="s">
        <v>4607</v>
      </c>
      <c r="B149" s="14" t="s">
        <v>4603</v>
      </c>
      <c r="C149" s="7" t="s">
        <v>541</v>
      </c>
      <c r="D149" s="7" t="s">
        <v>471</v>
      </c>
      <c r="E149" s="7" t="s">
        <v>541</v>
      </c>
      <c r="F149" s="7" t="s">
        <v>4608</v>
      </c>
      <c r="G149" s="7" t="s">
        <v>3992</v>
      </c>
      <c r="H149" s="7" t="s">
        <v>943</v>
      </c>
      <c r="I149" s="7" t="s">
        <v>1424</v>
      </c>
      <c r="J149" s="8" t="s">
        <v>4609</v>
      </c>
      <c r="K149" s="8" t="s">
        <v>474</v>
      </c>
      <c r="L149" s="7" t="s">
        <v>606</v>
      </c>
      <c r="M149" s="7" t="s">
        <v>4610</v>
      </c>
      <c r="N149" s="7" t="n">
        <v>4</v>
      </c>
      <c r="O149" s="7" t="s">
        <v>4606</v>
      </c>
      <c r="P149" s="7" t="s">
        <v>1150</v>
      </c>
      <c r="Q149" s="7" t="s">
        <v>1480</v>
      </c>
      <c r="R149" s="7" t="s">
        <v>1152</v>
      </c>
      <c r="S149" s="8" t="s">
        <v>4525</v>
      </c>
      <c r="T149" s="12"/>
      <c r="U149" s="12"/>
    </row>
    <row r="150" customFormat="false" ht="46.25" hidden="false" customHeight="false" outlineLevel="0" collapsed="false">
      <c r="A150" s="7" t="s">
        <v>4611</v>
      </c>
      <c r="B150" s="14" t="s">
        <v>4603</v>
      </c>
      <c r="C150" s="7" t="s">
        <v>541</v>
      </c>
      <c r="D150" s="7" t="s">
        <v>471</v>
      </c>
      <c r="E150" s="7" t="s">
        <v>541</v>
      </c>
      <c r="F150" s="7" t="s">
        <v>4612</v>
      </c>
      <c r="G150" s="7" t="s">
        <v>3992</v>
      </c>
      <c r="H150" s="7" t="s">
        <v>943</v>
      </c>
      <c r="I150" s="7" t="s">
        <v>1424</v>
      </c>
      <c r="J150" s="8" t="s">
        <v>4613</v>
      </c>
      <c r="K150" s="8" t="s">
        <v>474</v>
      </c>
      <c r="L150" s="7" t="s">
        <v>998</v>
      </c>
      <c r="M150" s="7" t="s">
        <v>4614</v>
      </c>
      <c r="N150" s="7" t="s">
        <v>952</v>
      </c>
      <c r="O150" s="7" t="s">
        <v>4606</v>
      </c>
      <c r="P150" s="7" t="s">
        <v>1150</v>
      </c>
      <c r="Q150" s="7" t="s">
        <v>1480</v>
      </c>
      <c r="R150" s="7" t="s">
        <v>1152</v>
      </c>
      <c r="S150" s="8" t="s">
        <v>4530</v>
      </c>
      <c r="T150" s="12"/>
      <c r="U150" s="12"/>
    </row>
    <row r="151" customFormat="false" ht="46.25" hidden="false" customHeight="false" outlineLevel="0" collapsed="false">
      <c r="A151" s="7" t="s">
        <v>4615</v>
      </c>
      <c r="B151" s="14" t="s">
        <v>4603</v>
      </c>
      <c r="C151" s="7" t="s">
        <v>541</v>
      </c>
      <c r="D151" s="7" t="s">
        <v>471</v>
      </c>
      <c r="E151" s="7" t="s">
        <v>541</v>
      </c>
      <c r="F151" s="7" t="s">
        <v>4616</v>
      </c>
      <c r="G151" s="7" t="s">
        <v>3992</v>
      </c>
      <c r="H151" s="7" t="s">
        <v>943</v>
      </c>
      <c r="I151" s="7" t="s">
        <v>1424</v>
      </c>
      <c r="J151" s="8" t="s">
        <v>4617</v>
      </c>
      <c r="K151" s="8" t="s">
        <v>474</v>
      </c>
      <c r="L151" s="7" t="s">
        <v>998</v>
      </c>
      <c r="M151" s="7" t="s">
        <v>4618</v>
      </c>
      <c r="N151" s="7" t="s">
        <v>952</v>
      </c>
      <c r="O151" s="7" t="s">
        <v>4606</v>
      </c>
      <c r="P151" s="7" t="s">
        <v>1150</v>
      </c>
      <c r="Q151" s="7" t="s">
        <v>1480</v>
      </c>
      <c r="R151" s="7" t="s">
        <v>1152</v>
      </c>
      <c r="S151" s="8" t="s">
        <v>4535</v>
      </c>
      <c r="T151" s="12"/>
      <c r="U151" s="12"/>
    </row>
    <row r="152" customFormat="false" ht="46.25" hidden="false" customHeight="false" outlineLevel="0" collapsed="false">
      <c r="A152" s="7" t="s">
        <v>4619</v>
      </c>
      <c r="B152" s="14" t="s">
        <v>4603</v>
      </c>
      <c r="C152" s="7" t="s">
        <v>541</v>
      </c>
      <c r="D152" s="7" t="s">
        <v>471</v>
      </c>
      <c r="E152" s="7" t="s">
        <v>541</v>
      </c>
      <c r="F152" s="7" t="s">
        <v>4620</v>
      </c>
      <c r="G152" s="7" t="s">
        <v>3992</v>
      </c>
      <c r="H152" s="7" t="s">
        <v>943</v>
      </c>
      <c r="I152" s="7" t="s">
        <v>1424</v>
      </c>
      <c r="J152" s="8" t="s">
        <v>4621</v>
      </c>
      <c r="K152" s="8" t="s">
        <v>474</v>
      </c>
      <c r="L152" s="7" t="s">
        <v>606</v>
      </c>
      <c r="M152" s="7" t="s">
        <v>4622</v>
      </c>
      <c r="N152" s="7" t="n">
        <v>4</v>
      </c>
      <c r="O152" s="7" t="s">
        <v>4606</v>
      </c>
      <c r="P152" s="7" t="s">
        <v>1150</v>
      </c>
      <c r="Q152" s="7" t="s">
        <v>1480</v>
      </c>
      <c r="R152" s="13" t="s">
        <v>1790</v>
      </c>
      <c r="S152" s="8" t="s">
        <v>4540</v>
      </c>
      <c r="T152" s="12"/>
      <c r="U152" s="12"/>
    </row>
    <row r="153" customFormat="false" ht="35.05" hidden="false" customHeight="false" outlineLevel="0" collapsed="false">
      <c r="A153" s="7" t="s">
        <v>4623</v>
      </c>
      <c r="B153" s="14" t="s">
        <v>4624</v>
      </c>
      <c r="C153" s="7" t="s">
        <v>541</v>
      </c>
      <c r="D153" s="7" t="s">
        <v>471</v>
      </c>
      <c r="E153" s="7" t="s">
        <v>541</v>
      </c>
      <c r="F153" s="7" t="s">
        <v>4625</v>
      </c>
      <c r="G153" s="7" t="s">
        <v>3992</v>
      </c>
      <c r="H153" s="7" t="s">
        <v>928</v>
      </c>
      <c r="I153" s="7" t="s">
        <v>1148</v>
      </c>
      <c r="J153" s="8" t="s">
        <v>4626</v>
      </c>
      <c r="K153" s="8" t="s">
        <v>474</v>
      </c>
      <c r="L153" s="7" t="s">
        <v>483</v>
      </c>
      <c r="M153" s="7" t="s">
        <v>4627</v>
      </c>
      <c r="N153" s="7" t="n">
        <v>3</v>
      </c>
      <c r="O153" s="7" t="s">
        <v>542</v>
      </c>
      <c r="P153" s="7" t="s">
        <v>1150</v>
      </c>
      <c r="Q153" s="7" t="s">
        <v>1480</v>
      </c>
      <c r="R153" s="7" t="s">
        <v>1152</v>
      </c>
      <c r="S153" s="8" t="s">
        <v>3984</v>
      </c>
      <c r="T153" s="12"/>
      <c r="U153" s="12"/>
    </row>
    <row r="154" customFormat="false" ht="46.25" hidden="false" customHeight="false" outlineLevel="0" collapsed="false">
      <c r="A154" s="7" t="s">
        <v>4628</v>
      </c>
      <c r="B154" s="14" t="s">
        <v>4624</v>
      </c>
      <c r="C154" s="7" t="s">
        <v>541</v>
      </c>
      <c r="D154" s="7" t="s">
        <v>471</v>
      </c>
      <c r="E154" s="7" t="s">
        <v>541</v>
      </c>
      <c r="F154" s="7" t="s">
        <v>4629</v>
      </c>
      <c r="G154" s="7" t="s">
        <v>3992</v>
      </c>
      <c r="H154" s="7" t="s">
        <v>943</v>
      </c>
      <c r="I154" s="7" t="s">
        <v>1424</v>
      </c>
      <c r="J154" s="8" t="s">
        <v>4630</v>
      </c>
      <c r="K154" s="8" t="s">
        <v>474</v>
      </c>
      <c r="L154" s="7" t="s">
        <v>606</v>
      </c>
      <c r="M154" s="7" t="s">
        <v>4631</v>
      </c>
      <c r="N154" s="7" t="n">
        <v>4</v>
      </c>
      <c r="O154" s="7" t="s">
        <v>4627</v>
      </c>
      <c r="P154" s="7" t="s">
        <v>1150</v>
      </c>
      <c r="Q154" s="7" t="s">
        <v>1480</v>
      </c>
      <c r="R154" s="7" t="s">
        <v>1152</v>
      </c>
      <c r="S154" s="8" t="s">
        <v>4525</v>
      </c>
      <c r="T154" s="12"/>
      <c r="U154" s="12"/>
    </row>
    <row r="155" customFormat="false" ht="46.25" hidden="false" customHeight="false" outlineLevel="0" collapsed="false">
      <c r="A155" s="7" t="s">
        <v>4632</v>
      </c>
      <c r="B155" s="14" t="s">
        <v>4624</v>
      </c>
      <c r="C155" s="7" t="s">
        <v>541</v>
      </c>
      <c r="D155" s="7" t="s">
        <v>471</v>
      </c>
      <c r="E155" s="7" t="s">
        <v>541</v>
      </c>
      <c r="F155" s="7" t="s">
        <v>4633</v>
      </c>
      <c r="G155" s="7" t="s">
        <v>3992</v>
      </c>
      <c r="H155" s="7" t="s">
        <v>943</v>
      </c>
      <c r="I155" s="7" t="s">
        <v>1424</v>
      </c>
      <c r="J155" s="8" t="s">
        <v>4634</v>
      </c>
      <c r="K155" s="8" t="s">
        <v>474</v>
      </c>
      <c r="L155" s="7" t="s">
        <v>998</v>
      </c>
      <c r="M155" s="7" t="s">
        <v>4635</v>
      </c>
      <c r="N155" s="7" t="s">
        <v>952</v>
      </c>
      <c r="O155" s="7" t="s">
        <v>4627</v>
      </c>
      <c r="P155" s="7" t="s">
        <v>1150</v>
      </c>
      <c r="Q155" s="7" t="s">
        <v>1480</v>
      </c>
      <c r="R155" s="7" t="s">
        <v>1152</v>
      </c>
      <c r="S155" s="8" t="s">
        <v>4530</v>
      </c>
      <c r="T155" s="12"/>
      <c r="U155" s="12"/>
    </row>
    <row r="156" customFormat="false" ht="46.25" hidden="false" customHeight="false" outlineLevel="0" collapsed="false">
      <c r="A156" s="7" t="s">
        <v>4636</v>
      </c>
      <c r="B156" s="14" t="s">
        <v>4624</v>
      </c>
      <c r="C156" s="7" t="s">
        <v>541</v>
      </c>
      <c r="D156" s="7" t="s">
        <v>471</v>
      </c>
      <c r="E156" s="7" t="s">
        <v>541</v>
      </c>
      <c r="F156" s="7" t="s">
        <v>4637</v>
      </c>
      <c r="G156" s="7" t="s">
        <v>3992</v>
      </c>
      <c r="H156" s="7" t="s">
        <v>943</v>
      </c>
      <c r="I156" s="7" t="s">
        <v>1424</v>
      </c>
      <c r="J156" s="8" t="s">
        <v>4638</v>
      </c>
      <c r="K156" s="8" t="s">
        <v>474</v>
      </c>
      <c r="L156" s="7" t="s">
        <v>998</v>
      </c>
      <c r="M156" s="7" t="s">
        <v>4639</v>
      </c>
      <c r="N156" s="7" t="s">
        <v>952</v>
      </c>
      <c r="O156" s="7" t="s">
        <v>4627</v>
      </c>
      <c r="P156" s="7" t="s">
        <v>1150</v>
      </c>
      <c r="Q156" s="7" t="s">
        <v>1480</v>
      </c>
      <c r="R156" s="7" t="s">
        <v>1152</v>
      </c>
      <c r="S156" s="8" t="s">
        <v>4535</v>
      </c>
      <c r="T156" s="12"/>
      <c r="U156" s="12"/>
    </row>
    <row r="157" customFormat="false" ht="46.25" hidden="false" customHeight="false" outlineLevel="0" collapsed="false">
      <c r="A157" s="7" t="s">
        <v>4640</v>
      </c>
      <c r="B157" s="14" t="s">
        <v>4624</v>
      </c>
      <c r="C157" s="7" t="s">
        <v>541</v>
      </c>
      <c r="D157" s="7" t="s">
        <v>471</v>
      </c>
      <c r="E157" s="7" t="s">
        <v>541</v>
      </c>
      <c r="F157" s="7" t="s">
        <v>4641</v>
      </c>
      <c r="G157" s="7" t="s">
        <v>3992</v>
      </c>
      <c r="H157" s="7" t="s">
        <v>943</v>
      </c>
      <c r="I157" s="7" t="s">
        <v>1424</v>
      </c>
      <c r="J157" s="8" t="s">
        <v>4642</v>
      </c>
      <c r="K157" s="8" t="s">
        <v>474</v>
      </c>
      <c r="L157" s="7" t="s">
        <v>606</v>
      </c>
      <c r="M157" s="7" t="s">
        <v>4643</v>
      </c>
      <c r="N157" s="7" t="n">
        <v>4</v>
      </c>
      <c r="O157" s="7" t="s">
        <v>4627</v>
      </c>
      <c r="P157" s="7" t="s">
        <v>1150</v>
      </c>
      <c r="Q157" s="7" t="s">
        <v>1480</v>
      </c>
      <c r="R157" s="13" t="s">
        <v>1790</v>
      </c>
      <c r="S157" s="8" t="s">
        <v>4540</v>
      </c>
      <c r="T157" s="12"/>
      <c r="U157" s="12"/>
    </row>
    <row r="158" customFormat="false" ht="35.05" hidden="false" customHeight="false" outlineLevel="0" collapsed="false">
      <c r="A158" s="7" t="s">
        <v>4644</v>
      </c>
      <c r="B158" s="14" t="s">
        <v>3986</v>
      </c>
      <c r="C158" s="7" t="s">
        <v>511</v>
      </c>
      <c r="D158" s="7" t="s">
        <v>471</v>
      </c>
      <c r="E158" s="7" t="s">
        <v>864</v>
      </c>
      <c r="F158" s="7" t="s">
        <v>511</v>
      </c>
      <c r="G158" s="7" t="s">
        <v>3987</v>
      </c>
      <c r="H158" s="7" t="s">
        <v>928</v>
      </c>
      <c r="I158" s="7" t="s">
        <v>1148</v>
      </c>
      <c r="J158" s="8" t="s">
        <v>4645</v>
      </c>
      <c r="K158" s="8" t="s">
        <v>474</v>
      </c>
      <c r="L158" s="7" t="s">
        <v>478</v>
      </c>
      <c r="M158" s="7" t="s">
        <v>512</v>
      </c>
      <c r="N158" s="7" t="n">
        <v>2</v>
      </c>
      <c r="O158" s="7" t="s">
        <v>472</v>
      </c>
      <c r="P158" s="7" t="s">
        <v>1150</v>
      </c>
      <c r="Q158" s="7" t="s">
        <v>1183</v>
      </c>
      <c r="R158" s="7" t="s">
        <v>1152</v>
      </c>
      <c r="S158" s="8"/>
      <c r="T158" s="12"/>
      <c r="U158" s="12"/>
    </row>
    <row r="159" customFormat="false" ht="35.05" hidden="false" customHeight="false" outlineLevel="0" collapsed="false">
      <c r="A159" s="7" t="s">
        <v>4646</v>
      </c>
      <c r="B159" s="14" t="s">
        <v>4647</v>
      </c>
      <c r="C159" s="7" t="s">
        <v>511</v>
      </c>
      <c r="D159" s="7" t="s">
        <v>471</v>
      </c>
      <c r="E159" s="7" t="s">
        <v>511</v>
      </c>
      <c r="F159" s="7" t="s">
        <v>4648</v>
      </c>
      <c r="G159" s="7" t="s">
        <v>3992</v>
      </c>
      <c r="H159" s="7" t="s">
        <v>928</v>
      </c>
      <c r="I159" s="7" t="s">
        <v>1148</v>
      </c>
      <c r="J159" s="8" t="s">
        <v>4649</v>
      </c>
      <c r="K159" s="8" t="s">
        <v>474</v>
      </c>
      <c r="L159" s="7" t="s">
        <v>483</v>
      </c>
      <c r="M159" s="7" t="s">
        <v>4650</v>
      </c>
      <c r="N159" s="7" t="n">
        <v>3</v>
      </c>
      <c r="O159" s="7" t="s">
        <v>512</v>
      </c>
      <c r="P159" s="7" t="s">
        <v>1150</v>
      </c>
      <c r="Q159" s="7" t="s">
        <v>1183</v>
      </c>
      <c r="R159" s="7" t="s">
        <v>1152</v>
      </c>
      <c r="S159" s="8" t="s">
        <v>3984</v>
      </c>
      <c r="T159" s="12"/>
      <c r="U159" s="12"/>
    </row>
    <row r="160" customFormat="false" ht="46.25" hidden="false" customHeight="false" outlineLevel="0" collapsed="false">
      <c r="A160" s="7" t="s">
        <v>4651</v>
      </c>
      <c r="B160" s="14" t="s">
        <v>4647</v>
      </c>
      <c r="C160" s="7" t="s">
        <v>511</v>
      </c>
      <c r="D160" s="7" t="s">
        <v>471</v>
      </c>
      <c r="E160" s="7" t="s">
        <v>511</v>
      </c>
      <c r="F160" s="7" t="s">
        <v>4652</v>
      </c>
      <c r="G160" s="7" t="s">
        <v>3992</v>
      </c>
      <c r="H160" s="7" t="s">
        <v>928</v>
      </c>
      <c r="I160" s="7" t="s">
        <v>1148</v>
      </c>
      <c r="J160" s="8" t="s">
        <v>4653</v>
      </c>
      <c r="K160" s="8" t="s">
        <v>474</v>
      </c>
      <c r="L160" s="7" t="s">
        <v>998</v>
      </c>
      <c r="M160" s="7" t="s">
        <v>4654</v>
      </c>
      <c r="N160" s="7" t="s">
        <v>952</v>
      </c>
      <c r="O160" s="7" t="s">
        <v>4650</v>
      </c>
      <c r="P160" s="7" t="s">
        <v>1150</v>
      </c>
      <c r="Q160" s="7" t="s">
        <v>1480</v>
      </c>
      <c r="R160" s="7" t="s">
        <v>1152</v>
      </c>
      <c r="S160" s="8" t="s">
        <v>4655</v>
      </c>
      <c r="T160" s="12"/>
      <c r="U160" s="12"/>
    </row>
    <row r="161" customFormat="false" ht="46.25" hidden="false" customHeight="false" outlineLevel="0" collapsed="false">
      <c r="A161" s="7" t="s">
        <v>4656</v>
      </c>
      <c r="B161" s="14" t="s">
        <v>4647</v>
      </c>
      <c r="C161" s="7" t="s">
        <v>511</v>
      </c>
      <c r="D161" s="7" t="s">
        <v>471</v>
      </c>
      <c r="E161" s="7" t="s">
        <v>511</v>
      </c>
      <c r="F161" s="7" t="s">
        <v>4657</v>
      </c>
      <c r="G161" s="7" t="s">
        <v>3992</v>
      </c>
      <c r="H161" s="7" t="s">
        <v>928</v>
      </c>
      <c r="I161" s="7" t="s">
        <v>1148</v>
      </c>
      <c r="J161" s="8" t="s">
        <v>4658</v>
      </c>
      <c r="K161" s="8" t="s">
        <v>474</v>
      </c>
      <c r="L161" s="7" t="s">
        <v>998</v>
      </c>
      <c r="M161" s="7" t="s">
        <v>4659</v>
      </c>
      <c r="N161" s="7" t="s">
        <v>952</v>
      </c>
      <c r="O161" s="7" t="s">
        <v>4650</v>
      </c>
      <c r="P161" s="7" t="s">
        <v>1150</v>
      </c>
      <c r="Q161" s="7" t="s">
        <v>1480</v>
      </c>
      <c r="R161" s="7" t="s">
        <v>1152</v>
      </c>
      <c r="S161" s="8" t="s">
        <v>4660</v>
      </c>
      <c r="T161" s="12"/>
      <c r="U161" s="12"/>
    </row>
    <row r="162" customFormat="false" ht="46.25" hidden="false" customHeight="false" outlineLevel="0" collapsed="false">
      <c r="A162" s="7" t="s">
        <v>4661</v>
      </c>
      <c r="B162" s="14" t="s">
        <v>4647</v>
      </c>
      <c r="C162" s="7" t="s">
        <v>511</v>
      </c>
      <c r="D162" s="7" t="s">
        <v>471</v>
      </c>
      <c r="E162" s="7" t="s">
        <v>511</v>
      </c>
      <c r="F162" s="7" t="s">
        <v>4662</v>
      </c>
      <c r="G162" s="7" t="s">
        <v>3992</v>
      </c>
      <c r="H162" s="7" t="s">
        <v>943</v>
      </c>
      <c r="I162" s="7" t="s">
        <v>1424</v>
      </c>
      <c r="J162" s="8" t="s">
        <v>4663</v>
      </c>
      <c r="K162" s="8" t="s">
        <v>474</v>
      </c>
      <c r="L162" s="7" t="s">
        <v>998</v>
      </c>
      <c r="M162" s="7" t="s">
        <v>4664</v>
      </c>
      <c r="N162" s="7" t="s">
        <v>952</v>
      </c>
      <c r="O162" s="7" t="s">
        <v>4650</v>
      </c>
      <c r="P162" s="7" t="s">
        <v>1150</v>
      </c>
      <c r="Q162" s="7" t="s">
        <v>1480</v>
      </c>
      <c r="R162" s="13" t="s">
        <v>1790</v>
      </c>
      <c r="S162" s="8" t="s">
        <v>4665</v>
      </c>
      <c r="T162" s="12"/>
      <c r="U162" s="12"/>
    </row>
    <row r="163" customFormat="false" ht="35.05" hidden="false" customHeight="false" outlineLevel="0" collapsed="false">
      <c r="A163" s="7" t="s">
        <v>4666</v>
      </c>
      <c r="B163" s="14" t="s">
        <v>4667</v>
      </c>
      <c r="C163" s="7" t="s">
        <v>511</v>
      </c>
      <c r="D163" s="7" t="s">
        <v>471</v>
      </c>
      <c r="E163" s="7" t="s">
        <v>511</v>
      </c>
      <c r="F163" s="7" t="s">
        <v>4668</v>
      </c>
      <c r="G163" s="7" t="s">
        <v>3992</v>
      </c>
      <c r="H163" s="7" t="s">
        <v>928</v>
      </c>
      <c r="I163" s="7" t="s">
        <v>1148</v>
      </c>
      <c r="J163" s="8" t="s">
        <v>4669</v>
      </c>
      <c r="K163" s="8" t="s">
        <v>474</v>
      </c>
      <c r="L163" s="7" t="s">
        <v>483</v>
      </c>
      <c r="M163" s="7" t="s">
        <v>4670</v>
      </c>
      <c r="N163" s="7" t="n">
        <v>3</v>
      </c>
      <c r="O163" s="7" t="s">
        <v>512</v>
      </c>
      <c r="P163" s="7" t="s">
        <v>1150</v>
      </c>
      <c r="Q163" s="7" t="s">
        <v>1183</v>
      </c>
      <c r="R163" s="7" t="s">
        <v>1152</v>
      </c>
      <c r="S163" s="8" t="s">
        <v>3984</v>
      </c>
      <c r="T163" s="12"/>
      <c r="U163" s="12"/>
    </row>
    <row r="164" customFormat="false" ht="46.25" hidden="false" customHeight="false" outlineLevel="0" collapsed="false">
      <c r="A164" s="7" t="s">
        <v>4671</v>
      </c>
      <c r="B164" s="14" t="s">
        <v>4667</v>
      </c>
      <c r="C164" s="7" t="s">
        <v>511</v>
      </c>
      <c r="D164" s="7" t="s">
        <v>471</v>
      </c>
      <c r="E164" s="7" t="s">
        <v>511</v>
      </c>
      <c r="F164" s="7" t="s">
        <v>4672</v>
      </c>
      <c r="G164" s="7" t="s">
        <v>3992</v>
      </c>
      <c r="H164" s="7" t="s">
        <v>928</v>
      </c>
      <c r="I164" s="7" t="s">
        <v>1148</v>
      </c>
      <c r="J164" s="8" t="s">
        <v>4673</v>
      </c>
      <c r="K164" s="8" t="s">
        <v>474</v>
      </c>
      <c r="L164" s="7" t="s">
        <v>998</v>
      </c>
      <c r="M164" s="7" t="s">
        <v>4674</v>
      </c>
      <c r="N164" s="7" t="s">
        <v>952</v>
      </c>
      <c r="O164" s="7" t="s">
        <v>4670</v>
      </c>
      <c r="P164" s="7" t="s">
        <v>1150</v>
      </c>
      <c r="Q164" s="7" t="s">
        <v>1480</v>
      </c>
      <c r="R164" s="7" t="s">
        <v>1152</v>
      </c>
      <c r="S164" s="8" t="s">
        <v>4655</v>
      </c>
      <c r="T164" s="12"/>
      <c r="U164" s="12"/>
    </row>
    <row r="165" customFormat="false" ht="46.25" hidden="false" customHeight="false" outlineLevel="0" collapsed="false">
      <c r="A165" s="7" t="s">
        <v>4675</v>
      </c>
      <c r="B165" s="14" t="s">
        <v>4667</v>
      </c>
      <c r="C165" s="7" t="s">
        <v>511</v>
      </c>
      <c r="D165" s="7" t="s">
        <v>471</v>
      </c>
      <c r="E165" s="7" t="s">
        <v>511</v>
      </c>
      <c r="F165" s="7" t="s">
        <v>4676</v>
      </c>
      <c r="G165" s="7" t="s">
        <v>3992</v>
      </c>
      <c r="H165" s="7" t="s">
        <v>928</v>
      </c>
      <c r="I165" s="7" t="s">
        <v>1148</v>
      </c>
      <c r="J165" s="8" t="s">
        <v>4677</v>
      </c>
      <c r="K165" s="8" t="s">
        <v>474</v>
      </c>
      <c r="L165" s="7" t="s">
        <v>998</v>
      </c>
      <c r="M165" s="7" t="s">
        <v>4678</v>
      </c>
      <c r="N165" s="7" t="s">
        <v>952</v>
      </c>
      <c r="O165" s="7" t="s">
        <v>4670</v>
      </c>
      <c r="P165" s="7" t="s">
        <v>1150</v>
      </c>
      <c r="Q165" s="7" t="s">
        <v>1480</v>
      </c>
      <c r="R165" s="7" t="s">
        <v>1152</v>
      </c>
      <c r="S165" s="8" t="s">
        <v>4660</v>
      </c>
      <c r="T165" s="12"/>
      <c r="U165" s="12"/>
    </row>
    <row r="166" customFormat="false" ht="46.25" hidden="false" customHeight="false" outlineLevel="0" collapsed="false">
      <c r="A166" s="7" t="s">
        <v>4679</v>
      </c>
      <c r="B166" s="14" t="s">
        <v>4667</v>
      </c>
      <c r="C166" s="7" t="s">
        <v>511</v>
      </c>
      <c r="D166" s="7" t="s">
        <v>471</v>
      </c>
      <c r="E166" s="7" t="s">
        <v>511</v>
      </c>
      <c r="F166" s="7" t="s">
        <v>4680</v>
      </c>
      <c r="G166" s="7" t="s">
        <v>3992</v>
      </c>
      <c r="H166" s="7" t="s">
        <v>943</v>
      </c>
      <c r="I166" s="7" t="s">
        <v>1424</v>
      </c>
      <c r="J166" s="8" t="s">
        <v>4681</v>
      </c>
      <c r="K166" s="8" t="s">
        <v>474</v>
      </c>
      <c r="L166" s="7" t="s">
        <v>998</v>
      </c>
      <c r="M166" s="7" t="s">
        <v>4682</v>
      </c>
      <c r="N166" s="7" t="s">
        <v>952</v>
      </c>
      <c r="O166" s="7" t="s">
        <v>4670</v>
      </c>
      <c r="P166" s="7" t="s">
        <v>1150</v>
      </c>
      <c r="Q166" s="7" t="s">
        <v>1480</v>
      </c>
      <c r="R166" s="13" t="s">
        <v>1790</v>
      </c>
      <c r="S166" s="8" t="s">
        <v>4665</v>
      </c>
      <c r="T166" s="12"/>
      <c r="U166" s="12"/>
    </row>
    <row r="167" customFormat="false" ht="35.05" hidden="false" customHeight="false" outlineLevel="0" collapsed="false">
      <c r="A167" s="7" t="s">
        <v>4683</v>
      </c>
      <c r="B167" s="14" t="s">
        <v>4684</v>
      </c>
      <c r="C167" s="7" t="s">
        <v>511</v>
      </c>
      <c r="D167" s="7" t="s">
        <v>471</v>
      </c>
      <c r="E167" s="7" t="s">
        <v>511</v>
      </c>
      <c r="F167" s="7" t="s">
        <v>4685</v>
      </c>
      <c r="G167" s="7" t="s">
        <v>3992</v>
      </c>
      <c r="H167" s="7" t="s">
        <v>928</v>
      </c>
      <c r="I167" s="7" t="s">
        <v>1148</v>
      </c>
      <c r="J167" s="8" t="s">
        <v>4686</v>
      </c>
      <c r="K167" s="8" t="s">
        <v>474</v>
      </c>
      <c r="L167" s="7" t="s">
        <v>483</v>
      </c>
      <c r="M167" s="7" t="s">
        <v>4687</v>
      </c>
      <c r="N167" s="7" t="n">
        <v>3</v>
      </c>
      <c r="O167" s="7" t="s">
        <v>512</v>
      </c>
      <c r="P167" s="7" t="s">
        <v>1150</v>
      </c>
      <c r="Q167" s="7" t="s">
        <v>1480</v>
      </c>
      <c r="R167" s="7" t="s">
        <v>1152</v>
      </c>
      <c r="S167" s="8" t="s">
        <v>3984</v>
      </c>
      <c r="T167" s="12"/>
      <c r="U167" s="12"/>
    </row>
    <row r="168" customFormat="false" ht="46.25" hidden="false" customHeight="false" outlineLevel="0" collapsed="false">
      <c r="A168" s="7" t="s">
        <v>4688</v>
      </c>
      <c r="B168" s="14" t="s">
        <v>4684</v>
      </c>
      <c r="C168" s="7" t="s">
        <v>511</v>
      </c>
      <c r="D168" s="7" t="s">
        <v>471</v>
      </c>
      <c r="E168" s="7" t="s">
        <v>511</v>
      </c>
      <c r="F168" s="7" t="s">
        <v>4689</v>
      </c>
      <c r="G168" s="7" t="s">
        <v>3992</v>
      </c>
      <c r="H168" s="7" t="s">
        <v>928</v>
      </c>
      <c r="I168" s="7" t="s">
        <v>1148</v>
      </c>
      <c r="J168" s="8" t="s">
        <v>4690</v>
      </c>
      <c r="K168" s="8" t="s">
        <v>474</v>
      </c>
      <c r="L168" s="7" t="s">
        <v>998</v>
      </c>
      <c r="M168" s="7" t="s">
        <v>4691</v>
      </c>
      <c r="N168" s="7" t="s">
        <v>952</v>
      </c>
      <c r="O168" s="7" t="s">
        <v>4687</v>
      </c>
      <c r="P168" s="7" t="s">
        <v>1150</v>
      </c>
      <c r="Q168" s="7" t="s">
        <v>1480</v>
      </c>
      <c r="R168" s="7" t="s">
        <v>1152</v>
      </c>
      <c r="S168" s="8" t="s">
        <v>4655</v>
      </c>
      <c r="T168" s="12"/>
      <c r="U168" s="12"/>
    </row>
    <row r="169" customFormat="false" ht="46.25" hidden="false" customHeight="false" outlineLevel="0" collapsed="false">
      <c r="A169" s="7" t="s">
        <v>4692</v>
      </c>
      <c r="B169" s="14" t="s">
        <v>4684</v>
      </c>
      <c r="C169" s="7" t="s">
        <v>511</v>
      </c>
      <c r="D169" s="7" t="s">
        <v>471</v>
      </c>
      <c r="E169" s="7" t="s">
        <v>511</v>
      </c>
      <c r="F169" s="7" t="s">
        <v>4693</v>
      </c>
      <c r="G169" s="7" t="s">
        <v>3992</v>
      </c>
      <c r="H169" s="7" t="s">
        <v>928</v>
      </c>
      <c r="I169" s="7" t="s">
        <v>1148</v>
      </c>
      <c r="J169" s="8" t="s">
        <v>4694</v>
      </c>
      <c r="K169" s="8" t="s">
        <v>474</v>
      </c>
      <c r="L169" s="7" t="s">
        <v>998</v>
      </c>
      <c r="M169" s="7" t="s">
        <v>4695</v>
      </c>
      <c r="N169" s="7" t="s">
        <v>952</v>
      </c>
      <c r="O169" s="7" t="s">
        <v>4687</v>
      </c>
      <c r="P169" s="7" t="s">
        <v>1150</v>
      </c>
      <c r="Q169" s="7" t="s">
        <v>1480</v>
      </c>
      <c r="R169" s="7" t="s">
        <v>1152</v>
      </c>
      <c r="S169" s="8" t="s">
        <v>4660</v>
      </c>
      <c r="T169" s="12"/>
      <c r="U169" s="12"/>
    </row>
    <row r="170" customFormat="false" ht="46.25" hidden="false" customHeight="false" outlineLevel="0" collapsed="false">
      <c r="A170" s="7" t="s">
        <v>4696</v>
      </c>
      <c r="B170" s="14" t="s">
        <v>4684</v>
      </c>
      <c r="C170" s="7" t="s">
        <v>511</v>
      </c>
      <c r="D170" s="7" t="s">
        <v>471</v>
      </c>
      <c r="E170" s="7" t="s">
        <v>511</v>
      </c>
      <c r="F170" s="7" t="s">
        <v>4697</v>
      </c>
      <c r="G170" s="7" t="s">
        <v>3992</v>
      </c>
      <c r="H170" s="7" t="s">
        <v>943</v>
      </c>
      <c r="I170" s="7" t="s">
        <v>1424</v>
      </c>
      <c r="J170" s="8" t="s">
        <v>4698</v>
      </c>
      <c r="K170" s="8" t="s">
        <v>474</v>
      </c>
      <c r="L170" s="7" t="s">
        <v>998</v>
      </c>
      <c r="M170" s="7" t="s">
        <v>4699</v>
      </c>
      <c r="N170" s="7" t="s">
        <v>952</v>
      </c>
      <c r="O170" s="7" t="s">
        <v>4687</v>
      </c>
      <c r="P170" s="7" t="s">
        <v>1150</v>
      </c>
      <c r="Q170" s="7" t="s">
        <v>1480</v>
      </c>
      <c r="R170" s="13" t="s">
        <v>1790</v>
      </c>
      <c r="S170" s="8" t="s">
        <v>4665</v>
      </c>
      <c r="T170" s="12"/>
      <c r="U170" s="12"/>
    </row>
    <row r="171" customFormat="false" ht="35.05" hidden="false" customHeight="false" outlineLevel="0" collapsed="false">
      <c r="A171" s="7" t="s">
        <v>4700</v>
      </c>
      <c r="B171" s="14" t="s">
        <v>4701</v>
      </c>
      <c r="C171" s="7" t="s">
        <v>511</v>
      </c>
      <c r="D171" s="7" t="s">
        <v>471</v>
      </c>
      <c r="E171" s="7" t="s">
        <v>511</v>
      </c>
      <c r="F171" s="7" t="s">
        <v>4702</v>
      </c>
      <c r="G171" s="7" t="s">
        <v>3992</v>
      </c>
      <c r="H171" s="7" t="s">
        <v>928</v>
      </c>
      <c r="I171" s="7" t="s">
        <v>1148</v>
      </c>
      <c r="J171" s="8" t="s">
        <v>4703</v>
      </c>
      <c r="K171" s="8" t="s">
        <v>474</v>
      </c>
      <c r="L171" s="7" t="s">
        <v>483</v>
      </c>
      <c r="M171" s="7" t="s">
        <v>4704</v>
      </c>
      <c r="N171" s="7" t="n">
        <v>3</v>
      </c>
      <c r="O171" s="7" t="s">
        <v>512</v>
      </c>
      <c r="P171" s="7" t="s">
        <v>1150</v>
      </c>
      <c r="Q171" s="7" t="s">
        <v>1480</v>
      </c>
      <c r="R171" s="7" t="s">
        <v>1152</v>
      </c>
      <c r="S171" s="8" t="s">
        <v>3984</v>
      </c>
      <c r="T171" s="12"/>
      <c r="U171" s="12"/>
    </row>
    <row r="172" customFormat="false" ht="46.25" hidden="false" customHeight="false" outlineLevel="0" collapsed="false">
      <c r="A172" s="7" t="s">
        <v>4705</v>
      </c>
      <c r="B172" s="14" t="s">
        <v>4701</v>
      </c>
      <c r="C172" s="7" t="s">
        <v>511</v>
      </c>
      <c r="D172" s="7" t="s">
        <v>471</v>
      </c>
      <c r="E172" s="7" t="s">
        <v>511</v>
      </c>
      <c r="F172" s="7" t="s">
        <v>4706</v>
      </c>
      <c r="G172" s="7" t="s">
        <v>3992</v>
      </c>
      <c r="H172" s="7" t="s">
        <v>928</v>
      </c>
      <c r="I172" s="7" t="s">
        <v>1148</v>
      </c>
      <c r="J172" s="8" t="s">
        <v>4707</v>
      </c>
      <c r="K172" s="8" t="s">
        <v>474</v>
      </c>
      <c r="L172" s="7" t="s">
        <v>998</v>
      </c>
      <c r="M172" s="7" t="s">
        <v>4708</v>
      </c>
      <c r="N172" s="7" t="s">
        <v>952</v>
      </c>
      <c r="O172" s="7" t="s">
        <v>4704</v>
      </c>
      <c r="P172" s="7" t="s">
        <v>1150</v>
      </c>
      <c r="Q172" s="7" t="s">
        <v>1480</v>
      </c>
      <c r="R172" s="7" t="s">
        <v>1152</v>
      </c>
      <c r="S172" s="8" t="s">
        <v>4655</v>
      </c>
      <c r="T172" s="12"/>
      <c r="U172" s="12"/>
    </row>
    <row r="173" customFormat="false" ht="46.25" hidden="false" customHeight="false" outlineLevel="0" collapsed="false">
      <c r="A173" s="7" t="s">
        <v>4709</v>
      </c>
      <c r="B173" s="14" t="s">
        <v>4701</v>
      </c>
      <c r="C173" s="7" t="s">
        <v>511</v>
      </c>
      <c r="D173" s="7" t="s">
        <v>471</v>
      </c>
      <c r="E173" s="7" t="s">
        <v>511</v>
      </c>
      <c r="F173" s="7" t="s">
        <v>4710</v>
      </c>
      <c r="G173" s="7" t="s">
        <v>3992</v>
      </c>
      <c r="H173" s="7" t="s">
        <v>928</v>
      </c>
      <c r="I173" s="7" t="s">
        <v>1148</v>
      </c>
      <c r="J173" s="8" t="s">
        <v>4711</v>
      </c>
      <c r="K173" s="8" t="s">
        <v>474</v>
      </c>
      <c r="L173" s="7" t="s">
        <v>998</v>
      </c>
      <c r="M173" s="7" t="s">
        <v>4712</v>
      </c>
      <c r="N173" s="7" t="s">
        <v>952</v>
      </c>
      <c r="O173" s="7" t="s">
        <v>4704</v>
      </c>
      <c r="P173" s="7" t="s">
        <v>1150</v>
      </c>
      <c r="Q173" s="7" t="s">
        <v>1480</v>
      </c>
      <c r="R173" s="7" t="s">
        <v>1152</v>
      </c>
      <c r="S173" s="8" t="s">
        <v>4660</v>
      </c>
      <c r="T173" s="12"/>
      <c r="U173" s="12"/>
    </row>
    <row r="174" customFormat="false" ht="46.25" hidden="false" customHeight="false" outlineLevel="0" collapsed="false">
      <c r="A174" s="7" t="s">
        <v>4713</v>
      </c>
      <c r="B174" s="14" t="s">
        <v>4701</v>
      </c>
      <c r="C174" s="7" t="s">
        <v>511</v>
      </c>
      <c r="D174" s="7" t="s">
        <v>471</v>
      </c>
      <c r="E174" s="7" t="s">
        <v>511</v>
      </c>
      <c r="F174" s="7" t="s">
        <v>4714</v>
      </c>
      <c r="G174" s="7" t="s">
        <v>3992</v>
      </c>
      <c r="H174" s="7" t="s">
        <v>943</v>
      </c>
      <c r="I174" s="7" t="s">
        <v>1424</v>
      </c>
      <c r="J174" s="8" t="s">
        <v>4715</v>
      </c>
      <c r="K174" s="8" t="s">
        <v>474</v>
      </c>
      <c r="L174" s="7" t="s">
        <v>998</v>
      </c>
      <c r="M174" s="7" t="s">
        <v>4716</v>
      </c>
      <c r="N174" s="7" t="s">
        <v>952</v>
      </c>
      <c r="O174" s="7" t="s">
        <v>4704</v>
      </c>
      <c r="P174" s="7" t="s">
        <v>1150</v>
      </c>
      <c r="Q174" s="7" t="s">
        <v>1480</v>
      </c>
      <c r="R174" s="13" t="s">
        <v>1790</v>
      </c>
      <c r="S174" s="8" t="s">
        <v>4665</v>
      </c>
      <c r="T174" s="12"/>
      <c r="U174" s="12"/>
    </row>
    <row r="175" customFormat="false" ht="35.05" hidden="false" customHeight="false" outlineLevel="0" collapsed="false">
      <c r="A175" s="7" t="s">
        <v>4717</v>
      </c>
      <c r="B175" s="14" t="s">
        <v>3986</v>
      </c>
      <c r="C175" s="7" t="s">
        <v>516</v>
      </c>
      <c r="D175" s="7" t="s">
        <v>471</v>
      </c>
      <c r="E175" s="7" t="s">
        <v>864</v>
      </c>
      <c r="F175" s="7" t="s">
        <v>516</v>
      </c>
      <c r="G175" s="7" t="s">
        <v>3987</v>
      </c>
      <c r="H175" s="7" t="s">
        <v>928</v>
      </c>
      <c r="I175" s="7" t="s">
        <v>1148</v>
      </c>
      <c r="J175" s="8" t="s">
        <v>4718</v>
      </c>
      <c r="K175" s="8" t="s">
        <v>474</v>
      </c>
      <c r="L175" s="7" t="s">
        <v>478</v>
      </c>
      <c r="M175" s="7" t="s">
        <v>517</v>
      </c>
      <c r="N175" s="7" t="n">
        <v>2</v>
      </c>
      <c r="O175" s="7" t="s">
        <v>472</v>
      </c>
      <c r="P175" s="7" t="s">
        <v>1150</v>
      </c>
      <c r="Q175" s="7" t="s">
        <v>1183</v>
      </c>
      <c r="R175" s="7" t="s">
        <v>1152</v>
      </c>
      <c r="S175" s="8"/>
      <c r="T175" s="12"/>
      <c r="U175" s="12"/>
    </row>
    <row r="176" customFormat="false" ht="35.05" hidden="false" customHeight="false" outlineLevel="0" collapsed="false">
      <c r="A176" s="7" t="s">
        <v>4719</v>
      </c>
      <c r="B176" s="14" t="s">
        <v>4720</v>
      </c>
      <c r="C176" s="7" t="s">
        <v>516</v>
      </c>
      <c r="D176" s="7" t="s">
        <v>471</v>
      </c>
      <c r="E176" s="7" t="s">
        <v>516</v>
      </c>
      <c r="F176" s="7" t="s">
        <v>4721</v>
      </c>
      <c r="G176" s="7" t="s">
        <v>3992</v>
      </c>
      <c r="H176" s="7" t="s">
        <v>928</v>
      </c>
      <c r="I176" s="7" t="s">
        <v>1148</v>
      </c>
      <c r="J176" s="8" t="s">
        <v>4722</v>
      </c>
      <c r="K176" s="8" t="s">
        <v>474</v>
      </c>
      <c r="L176" s="7" t="s">
        <v>483</v>
      </c>
      <c r="M176" s="7" t="s">
        <v>4723</v>
      </c>
      <c r="N176" s="7" t="n">
        <v>3</v>
      </c>
      <c r="O176" s="7" t="s">
        <v>517</v>
      </c>
      <c r="P176" s="7" t="s">
        <v>1150</v>
      </c>
      <c r="Q176" s="7" t="s">
        <v>1183</v>
      </c>
      <c r="R176" s="7" t="s">
        <v>1152</v>
      </c>
      <c r="S176" s="8" t="s">
        <v>3984</v>
      </c>
      <c r="T176" s="12"/>
      <c r="U176" s="12"/>
    </row>
    <row r="177" customFormat="false" ht="46.25" hidden="false" customHeight="false" outlineLevel="0" collapsed="false">
      <c r="A177" s="7" t="s">
        <v>4724</v>
      </c>
      <c r="B177" s="14" t="s">
        <v>4720</v>
      </c>
      <c r="C177" s="7" t="s">
        <v>516</v>
      </c>
      <c r="D177" s="7" t="s">
        <v>471</v>
      </c>
      <c r="E177" s="7" t="s">
        <v>516</v>
      </c>
      <c r="F177" s="7" t="s">
        <v>4725</v>
      </c>
      <c r="G177" s="7" t="s">
        <v>3992</v>
      </c>
      <c r="H177" s="7" t="s">
        <v>943</v>
      </c>
      <c r="I177" s="7" t="s">
        <v>1424</v>
      </c>
      <c r="J177" s="8" t="s">
        <v>4726</v>
      </c>
      <c r="K177" s="8" t="s">
        <v>474</v>
      </c>
      <c r="L177" s="7" t="s">
        <v>998</v>
      </c>
      <c r="M177" s="7" t="s">
        <v>4727</v>
      </c>
      <c r="N177" s="7" t="s">
        <v>952</v>
      </c>
      <c r="O177" s="7" t="s">
        <v>4723</v>
      </c>
      <c r="P177" s="7" t="s">
        <v>1150</v>
      </c>
      <c r="Q177" s="7" t="s">
        <v>1480</v>
      </c>
      <c r="R177" s="7" t="s">
        <v>1152</v>
      </c>
      <c r="S177" s="8" t="s">
        <v>4728</v>
      </c>
      <c r="T177" s="12"/>
      <c r="U177" s="12"/>
    </row>
    <row r="178" customFormat="false" ht="46.25" hidden="false" customHeight="false" outlineLevel="0" collapsed="false">
      <c r="A178" s="7" t="s">
        <v>4729</v>
      </c>
      <c r="B178" s="14" t="s">
        <v>4720</v>
      </c>
      <c r="C178" s="7" t="s">
        <v>516</v>
      </c>
      <c r="D178" s="7" t="s">
        <v>471</v>
      </c>
      <c r="E178" s="7" t="s">
        <v>516</v>
      </c>
      <c r="F178" s="7" t="s">
        <v>4730</v>
      </c>
      <c r="G178" s="7" t="s">
        <v>3992</v>
      </c>
      <c r="H178" s="7" t="s">
        <v>943</v>
      </c>
      <c r="I178" s="7" t="s">
        <v>1424</v>
      </c>
      <c r="J178" s="8" t="s">
        <v>4731</v>
      </c>
      <c r="K178" s="8" t="s">
        <v>474</v>
      </c>
      <c r="L178" s="7" t="s">
        <v>998</v>
      </c>
      <c r="M178" s="7" t="s">
        <v>4732</v>
      </c>
      <c r="N178" s="7" t="s">
        <v>952</v>
      </c>
      <c r="O178" s="7" t="s">
        <v>4723</v>
      </c>
      <c r="P178" s="7" t="s">
        <v>1150</v>
      </c>
      <c r="Q178" s="7" t="s">
        <v>1480</v>
      </c>
      <c r="R178" s="7" t="s">
        <v>1152</v>
      </c>
      <c r="S178" s="8" t="s">
        <v>4733</v>
      </c>
      <c r="T178" s="12"/>
      <c r="U178" s="12"/>
    </row>
    <row r="179" customFormat="false" ht="46.25" hidden="false" customHeight="false" outlineLevel="0" collapsed="false">
      <c r="A179" s="7" t="s">
        <v>4734</v>
      </c>
      <c r="B179" s="14" t="s">
        <v>4720</v>
      </c>
      <c r="C179" s="7" t="s">
        <v>516</v>
      </c>
      <c r="D179" s="7" t="s">
        <v>471</v>
      </c>
      <c r="E179" s="7" t="s">
        <v>516</v>
      </c>
      <c r="F179" s="7" t="s">
        <v>4735</v>
      </c>
      <c r="G179" s="7" t="s">
        <v>3992</v>
      </c>
      <c r="H179" s="7" t="s">
        <v>928</v>
      </c>
      <c r="I179" s="7" t="s">
        <v>1148</v>
      </c>
      <c r="J179" s="8" t="s">
        <v>4736</v>
      </c>
      <c r="K179" s="8" t="s">
        <v>474</v>
      </c>
      <c r="L179" s="7" t="s">
        <v>998</v>
      </c>
      <c r="M179" s="7" t="s">
        <v>4737</v>
      </c>
      <c r="N179" s="7" t="s">
        <v>952</v>
      </c>
      <c r="O179" s="7" t="s">
        <v>4723</v>
      </c>
      <c r="P179" s="7" t="s">
        <v>1150</v>
      </c>
      <c r="Q179" s="7" t="s">
        <v>1480</v>
      </c>
      <c r="R179" s="7" t="s">
        <v>1152</v>
      </c>
      <c r="S179" s="8" t="s">
        <v>4738</v>
      </c>
      <c r="T179" s="12"/>
      <c r="U179" s="12"/>
    </row>
    <row r="180" customFormat="false" ht="35.05" hidden="false" customHeight="false" outlineLevel="0" collapsed="false">
      <c r="A180" s="7" t="s">
        <v>4739</v>
      </c>
      <c r="B180" s="14" t="s">
        <v>4740</v>
      </c>
      <c r="C180" s="7" t="s">
        <v>516</v>
      </c>
      <c r="D180" s="7" t="s">
        <v>471</v>
      </c>
      <c r="E180" s="7" t="s">
        <v>516</v>
      </c>
      <c r="F180" s="7" t="s">
        <v>4741</v>
      </c>
      <c r="G180" s="7" t="s">
        <v>3992</v>
      </c>
      <c r="H180" s="7" t="s">
        <v>928</v>
      </c>
      <c r="I180" s="7" t="s">
        <v>1148</v>
      </c>
      <c r="J180" s="8" t="s">
        <v>4742</v>
      </c>
      <c r="K180" s="8" t="s">
        <v>474</v>
      </c>
      <c r="L180" s="7" t="s">
        <v>483</v>
      </c>
      <c r="M180" s="7" t="s">
        <v>4743</v>
      </c>
      <c r="N180" s="7" t="n">
        <v>3</v>
      </c>
      <c r="O180" s="7" t="s">
        <v>517</v>
      </c>
      <c r="P180" s="7" t="s">
        <v>1150</v>
      </c>
      <c r="Q180" s="7" t="s">
        <v>1480</v>
      </c>
      <c r="R180" s="7" t="s">
        <v>1152</v>
      </c>
      <c r="S180" s="8" t="s">
        <v>3984</v>
      </c>
      <c r="T180" s="12"/>
      <c r="U180" s="12"/>
    </row>
    <row r="181" customFormat="false" ht="46.25" hidden="false" customHeight="false" outlineLevel="0" collapsed="false">
      <c r="A181" s="7" t="s">
        <v>4744</v>
      </c>
      <c r="B181" s="14" t="s">
        <v>4740</v>
      </c>
      <c r="C181" s="7" t="s">
        <v>516</v>
      </c>
      <c r="D181" s="7" t="s">
        <v>471</v>
      </c>
      <c r="E181" s="7" t="s">
        <v>516</v>
      </c>
      <c r="F181" s="7" t="s">
        <v>4745</v>
      </c>
      <c r="G181" s="7" t="s">
        <v>3992</v>
      </c>
      <c r="H181" s="7" t="s">
        <v>943</v>
      </c>
      <c r="I181" s="7" t="s">
        <v>1424</v>
      </c>
      <c r="J181" s="8" t="s">
        <v>4746</v>
      </c>
      <c r="K181" s="8" t="s">
        <v>474</v>
      </c>
      <c r="L181" s="7" t="s">
        <v>998</v>
      </c>
      <c r="M181" s="7" t="s">
        <v>4747</v>
      </c>
      <c r="N181" s="7" t="s">
        <v>952</v>
      </c>
      <c r="O181" s="7" t="s">
        <v>4743</v>
      </c>
      <c r="P181" s="7" t="s">
        <v>1150</v>
      </c>
      <c r="Q181" s="7" t="s">
        <v>1480</v>
      </c>
      <c r="R181" s="7" t="s">
        <v>1152</v>
      </c>
      <c r="S181" s="8" t="s">
        <v>4728</v>
      </c>
      <c r="T181" s="12"/>
      <c r="U181" s="12"/>
    </row>
    <row r="182" customFormat="false" ht="46.25" hidden="false" customHeight="false" outlineLevel="0" collapsed="false">
      <c r="A182" s="7" t="s">
        <v>4748</v>
      </c>
      <c r="B182" s="14" t="s">
        <v>4740</v>
      </c>
      <c r="C182" s="7" t="s">
        <v>516</v>
      </c>
      <c r="D182" s="7" t="s">
        <v>471</v>
      </c>
      <c r="E182" s="7" t="s">
        <v>516</v>
      </c>
      <c r="F182" s="7" t="s">
        <v>4749</v>
      </c>
      <c r="G182" s="7" t="s">
        <v>3992</v>
      </c>
      <c r="H182" s="7" t="s">
        <v>943</v>
      </c>
      <c r="I182" s="7" t="s">
        <v>1424</v>
      </c>
      <c r="J182" s="8" t="s">
        <v>4750</v>
      </c>
      <c r="K182" s="8" t="s">
        <v>474</v>
      </c>
      <c r="L182" s="7" t="s">
        <v>998</v>
      </c>
      <c r="M182" s="7" t="s">
        <v>4751</v>
      </c>
      <c r="N182" s="7" t="s">
        <v>952</v>
      </c>
      <c r="O182" s="7" t="s">
        <v>4743</v>
      </c>
      <c r="P182" s="7" t="s">
        <v>1150</v>
      </c>
      <c r="Q182" s="7" t="s">
        <v>1480</v>
      </c>
      <c r="R182" s="7" t="s">
        <v>1152</v>
      </c>
      <c r="S182" s="8" t="s">
        <v>4733</v>
      </c>
      <c r="T182" s="12"/>
      <c r="U182" s="12"/>
    </row>
    <row r="183" customFormat="false" ht="46.25" hidden="false" customHeight="false" outlineLevel="0" collapsed="false">
      <c r="A183" s="7" t="s">
        <v>4752</v>
      </c>
      <c r="B183" s="14" t="s">
        <v>4740</v>
      </c>
      <c r="C183" s="7" t="s">
        <v>516</v>
      </c>
      <c r="D183" s="7" t="s">
        <v>471</v>
      </c>
      <c r="E183" s="7" t="s">
        <v>516</v>
      </c>
      <c r="F183" s="7" t="s">
        <v>4753</v>
      </c>
      <c r="G183" s="7" t="s">
        <v>3992</v>
      </c>
      <c r="H183" s="7" t="s">
        <v>928</v>
      </c>
      <c r="I183" s="7" t="s">
        <v>1148</v>
      </c>
      <c r="J183" s="8" t="s">
        <v>4754</v>
      </c>
      <c r="K183" s="8" t="s">
        <v>474</v>
      </c>
      <c r="L183" s="7" t="s">
        <v>998</v>
      </c>
      <c r="M183" s="7" t="s">
        <v>4755</v>
      </c>
      <c r="N183" s="7" t="s">
        <v>952</v>
      </c>
      <c r="O183" s="7" t="s">
        <v>4743</v>
      </c>
      <c r="P183" s="7" t="s">
        <v>1150</v>
      </c>
      <c r="Q183" s="7" t="s">
        <v>1480</v>
      </c>
      <c r="R183" s="7" t="s">
        <v>1152</v>
      </c>
      <c r="S183" s="8" t="s">
        <v>4738</v>
      </c>
      <c r="T183" s="12"/>
      <c r="U183" s="12"/>
    </row>
    <row r="184" customFormat="false" ht="35.05" hidden="false" customHeight="false" outlineLevel="0" collapsed="false">
      <c r="A184" s="7" t="s">
        <v>4756</v>
      </c>
      <c r="B184" s="14" t="s">
        <v>3986</v>
      </c>
      <c r="C184" s="7" t="s">
        <v>546</v>
      </c>
      <c r="D184" s="7" t="s">
        <v>471</v>
      </c>
      <c r="E184" s="7" t="s">
        <v>875</v>
      </c>
      <c r="F184" s="7" t="s">
        <v>546</v>
      </c>
      <c r="G184" s="7" t="s">
        <v>3987</v>
      </c>
      <c r="H184" s="7" t="s">
        <v>928</v>
      </c>
      <c r="I184" s="7" t="s">
        <v>1148</v>
      </c>
      <c r="J184" s="8" t="s">
        <v>4757</v>
      </c>
      <c r="K184" s="8" t="s">
        <v>474</v>
      </c>
      <c r="L184" s="7" t="s">
        <v>478</v>
      </c>
      <c r="M184" s="7" t="s">
        <v>547</v>
      </c>
      <c r="N184" s="7" t="n">
        <v>2</v>
      </c>
      <c r="O184" s="7" t="s">
        <v>472</v>
      </c>
      <c r="P184" s="7" t="s">
        <v>1150</v>
      </c>
      <c r="Q184" s="7" t="s">
        <v>1183</v>
      </c>
      <c r="R184" s="7" t="s">
        <v>1152</v>
      </c>
      <c r="S184" s="8"/>
      <c r="T184" s="12"/>
      <c r="U184" s="12"/>
    </row>
    <row r="185" customFormat="false" ht="35.05" hidden="false" customHeight="false" outlineLevel="0" collapsed="false">
      <c r="A185" s="7" t="s">
        <v>4758</v>
      </c>
      <c r="B185" s="14" t="s">
        <v>4759</v>
      </c>
      <c r="C185" s="7" t="s">
        <v>546</v>
      </c>
      <c r="D185" s="7" t="s">
        <v>471</v>
      </c>
      <c r="E185" s="7" t="s">
        <v>546</v>
      </c>
      <c r="F185" s="7" t="s">
        <v>4760</v>
      </c>
      <c r="G185" s="7" t="s">
        <v>3992</v>
      </c>
      <c r="H185" s="7" t="s">
        <v>928</v>
      </c>
      <c r="I185" s="7" t="s">
        <v>1148</v>
      </c>
      <c r="J185" s="8" t="s">
        <v>4761</v>
      </c>
      <c r="K185" s="8" t="s">
        <v>474</v>
      </c>
      <c r="L185" s="7" t="s">
        <v>483</v>
      </c>
      <c r="M185" s="7" t="s">
        <v>4762</v>
      </c>
      <c r="N185" s="7" t="n">
        <v>3</v>
      </c>
      <c r="O185" s="7" t="s">
        <v>547</v>
      </c>
      <c r="P185" s="7" t="s">
        <v>1150</v>
      </c>
      <c r="Q185" s="7" t="s">
        <v>1183</v>
      </c>
      <c r="R185" s="7" t="s">
        <v>1152</v>
      </c>
      <c r="S185" s="8" t="s">
        <v>3984</v>
      </c>
      <c r="T185" s="12"/>
      <c r="U185" s="12"/>
    </row>
    <row r="186" customFormat="false" ht="46.25" hidden="false" customHeight="false" outlineLevel="0" collapsed="false">
      <c r="A186" s="7" t="s">
        <v>4763</v>
      </c>
      <c r="B186" s="14" t="s">
        <v>4759</v>
      </c>
      <c r="C186" s="7" t="s">
        <v>546</v>
      </c>
      <c r="D186" s="7" t="s">
        <v>471</v>
      </c>
      <c r="E186" s="7" t="s">
        <v>546</v>
      </c>
      <c r="F186" s="7" t="s">
        <v>4764</v>
      </c>
      <c r="G186" s="7" t="s">
        <v>3992</v>
      </c>
      <c r="H186" s="7" t="s">
        <v>928</v>
      </c>
      <c r="I186" s="7" t="s">
        <v>1148</v>
      </c>
      <c r="J186" s="8" t="s">
        <v>4765</v>
      </c>
      <c r="K186" s="8" t="s">
        <v>474</v>
      </c>
      <c r="L186" s="7" t="s">
        <v>998</v>
      </c>
      <c r="M186" s="7" t="s">
        <v>4766</v>
      </c>
      <c r="N186" s="7" t="s">
        <v>952</v>
      </c>
      <c r="O186" s="7" t="s">
        <v>4762</v>
      </c>
      <c r="P186" s="7" t="s">
        <v>1150</v>
      </c>
      <c r="Q186" s="7" t="s">
        <v>1480</v>
      </c>
      <c r="R186" s="7" t="s">
        <v>1152</v>
      </c>
      <c r="S186" s="8" t="s">
        <v>4767</v>
      </c>
      <c r="T186" s="12"/>
      <c r="U186" s="12"/>
    </row>
    <row r="187" customFormat="false" ht="46.25" hidden="false" customHeight="false" outlineLevel="0" collapsed="false">
      <c r="A187" s="7" t="s">
        <v>4768</v>
      </c>
      <c r="B187" s="14" t="s">
        <v>4759</v>
      </c>
      <c r="C187" s="7" t="s">
        <v>546</v>
      </c>
      <c r="D187" s="7" t="s">
        <v>471</v>
      </c>
      <c r="E187" s="7" t="s">
        <v>546</v>
      </c>
      <c r="F187" s="7" t="s">
        <v>4769</v>
      </c>
      <c r="G187" s="7" t="s">
        <v>3992</v>
      </c>
      <c r="H187" s="7" t="s">
        <v>943</v>
      </c>
      <c r="I187" s="7" t="s">
        <v>1424</v>
      </c>
      <c r="J187" s="8" t="s">
        <v>4770</v>
      </c>
      <c r="K187" s="8" t="s">
        <v>474</v>
      </c>
      <c r="L187" s="7" t="s">
        <v>998</v>
      </c>
      <c r="M187" s="7" t="s">
        <v>4771</v>
      </c>
      <c r="N187" s="7" t="s">
        <v>952</v>
      </c>
      <c r="O187" s="7" t="s">
        <v>4762</v>
      </c>
      <c r="P187" s="7" t="s">
        <v>1150</v>
      </c>
      <c r="Q187" s="7" t="s">
        <v>1480</v>
      </c>
      <c r="R187" s="13" t="s">
        <v>1790</v>
      </c>
      <c r="S187" s="8" t="s">
        <v>4772</v>
      </c>
      <c r="T187" s="12"/>
      <c r="U187" s="12"/>
    </row>
    <row r="188" customFormat="false" ht="46.25" hidden="false" customHeight="false" outlineLevel="0" collapsed="false">
      <c r="A188" s="7" t="s">
        <v>4773</v>
      </c>
      <c r="B188" s="14" t="s">
        <v>4759</v>
      </c>
      <c r="C188" s="7" t="s">
        <v>546</v>
      </c>
      <c r="D188" s="7" t="s">
        <v>471</v>
      </c>
      <c r="E188" s="7" t="s">
        <v>546</v>
      </c>
      <c r="F188" s="7" t="s">
        <v>4774</v>
      </c>
      <c r="G188" s="7" t="s">
        <v>3992</v>
      </c>
      <c r="H188" s="7" t="s">
        <v>943</v>
      </c>
      <c r="I188" s="7" t="s">
        <v>1424</v>
      </c>
      <c r="J188" s="8" t="s">
        <v>4775</v>
      </c>
      <c r="K188" s="8" t="s">
        <v>474</v>
      </c>
      <c r="L188" s="7" t="s">
        <v>998</v>
      </c>
      <c r="M188" s="7" t="s">
        <v>4776</v>
      </c>
      <c r="N188" s="7" t="s">
        <v>952</v>
      </c>
      <c r="O188" s="7" t="s">
        <v>4762</v>
      </c>
      <c r="P188" s="7" t="s">
        <v>1150</v>
      </c>
      <c r="Q188" s="7" t="s">
        <v>1480</v>
      </c>
      <c r="R188" s="7" t="s">
        <v>1152</v>
      </c>
      <c r="S188" s="8" t="s">
        <v>4777</v>
      </c>
      <c r="T188" s="12"/>
      <c r="U188" s="12"/>
    </row>
    <row r="189" customFormat="false" ht="35.05" hidden="false" customHeight="false" outlineLevel="0" collapsed="false">
      <c r="A189" s="7" t="s">
        <v>4778</v>
      </c>
      <c r="B189" s="14" t="s">
        <v>4779</v>
      </c>
      <c r="C189" s="7" t="s">
        <v>546</v>
      </c>
      <c r="D189" s="7" t="s">
        <v>471</v>
      </c>
      <c r="E189" s="7" t="s">
        <v>546</v>
      </c>
      <c r="F189" s="7" t="s">
        <v>4780</v>
      </c>
      <c r="G189" s="7" t="s">
        <v>3992</v>
      </c>
      <c r="H189" s="7" t="s">
        <v>928</v>
      </c>
      <c r="I189" s="7" t="s">
        <v>1148</v>
      </c>
      <c r="J189" s="8" t="s">
        <v>4781</v>
      </c>
      <c r="K189" s="8" t="s">
        <v>474</v>
      </c>
      <c r="L189" s="7" t="s">
        <v>483</v>
      </c>
      <c r="M189" s="7" t="s">
        <v>4782</v>
      </c>
      <c r="N189" s="7" t="n">
        <v>3</v>
      </c>
      <c r="O189" s="7" t="s">
        <v>547</v>
      </c>
      <c r="P189" s="7" t="s">
        <v>1150</v>
      </c>
      <c r="Q189" s="7" t="s">
        <v>1480</v>
      </c>
      <c r="R189" s="7" t="s">
        <v>1152</v>
      </c>
      <c r="S189" s="8" t="s">
        <v>3984</v>
      </c>
      <c r="T189" s="12"/>
      <c r="U189" s="12"/>
    </row>
    <row r="190" customFormat="false" ht="46.25" hidden="false" customHeight="false" outlineLevel="0" collapsed="false">
      <c r="A190" s="7" t="s">
        <v>4783</v>
      </c>
      <c r="B190" s="14" t="s">
        <v>4779</v>
      </c>
      <c r="C190" s="7" t="s">
        <v>546</v>
      </c>
      <c r="D190" s="7" t="s">
        <v>471</v>
      </c>
      <c r="E190" s="7" t="s">
        <v>546</v>
      </c>
      <c r="F190" s="7" t="s">
        <v>4784</v>
      </c>
      <c r="G190" s="7" t="s">
        <v>3992</v>
      </c>
      <c r="H190" s="7" t="s">
        <v>928</v>
      </c>
      <c r="I190" s="7" t="s">
        <v>1148</v>
      </c>
      <c r="J190" s="8" t="s">
        <v>4785</v>
      </c>
      <c r="K190" s="8" t="s">
        <v>474</v>
      </c>
      <c r="L190" s="7" t="s">
        <v>998</v>
      </c>
      <c r="M190" s="7" t="s">
        <v>4786</v>
      </c>
      <c r="N190" s="7" t="s">
        <v>952</v>
      </c>
      <c r="O190" s="7" t="s">
        <v>4782</v>
      </c>
      <c r="P190" s="7" t="s">
        <v>1150</v>
      </c>
      <c r="Q190" s="7" t="s">
        <v>1480</v>
      </c>
      <c r="R190" s="7" t="s">
        <v>1152</v>
      </c>
      <c r="S190" s="8" t="s">
        <v>4767</v>
      </c>
      <c r="T190" s="12"/>
      <c r="U190" s="12"/>
    </row>
    <row r="191" customFormat="false" ht="46.25" hidden="false" customHeight="false" outlineLevel="0" collapsed="false">
      <c r="A191" s="7" t="s">
        <v>4787</v>
      </c>
      <c r="B191" s="14" t="s">
        <v>4779</v>
      </c>
      <c r="C191" s="7" t="s">
        <v>546</v>
      </c>
      <c r="D191" s="7" t="s">
        <v>471</v>
      </c>
      <c r="E191" s="7" t="s">
        <v>546</v>
      </c>
      <c r="F191" s="7" t="s">
        <v>4788</v>
      </c>
      <c r="G191" s="7" t="s">
        <v>3992</v>
      </c>
      <c r="H191" s="7" t="s">
        <v>943</v>
      </c>
      <c r="I191" s="7" t="s">
        <v>1424</v>
      </c>
      <c r="J191" s="8" t="s">
        <v>4789</v>
      </c>
      <c r="K191" s="8" t="s">
        <v>474</v>
      </c>
      <c r="L191" s="7" t="s">
        <v>998</v>
      </c>
      <c r="M191" s="7" t="s">
        <v>4790</v>
      </c>
      <c r="N191" s="7" t="s">
        <v>952</v>
      </c>
      <c r="O191" s="7" t="s">
        <v>4782</v>
      </c>
      <c r="P191" s="7" t="s">
        <v>1150</v>
      </c>
      <c r="Q191" s="7" t="s">
        <v>1480</v>
      </c>
      <c r="R191" s="13" t="s">
        <v>1790</v>
      </c>
      <c r="S191" s="8" t="s">
        <v>4772</v>
      </c>
      <c r="T191" s="12"/>
      <c r="U191" s="12"/>
    </row>
    <row r="192" customFormat="false" ht="46.25" hidden="false" customHeight="false" outlineLevel="0" collapsed="false">
      <c r="A192" s="7" t="s">
        <v>4791</v>
      </c>
      <c r="B192" s="14" t="s">
        <v>4779</v>
      </c>
      <c r="C192" s="7" t="s">
        <v>546</v>
      </c>
      <c r="D192" s="7" t="s">
        <v>471</v>
      </c>
      <c r="E192" s="7" t="s">
        <v>546</v>
      </c>
      <c r="F192" s="7" t="s">
        <v>4792</v>
      </c>
      <c r="G192" s="7" t="s">
        <v>3992</v>
      </c>
      <c r="H192" s="7" t="s">
        <v>943</v>
      </c>
      <c r="I192" s="7" t="s">
        <v>1424</v>
      </c>
      <c r="J192" s="8" t="s">
        <v>4793</v>
      </c>
      <c r="K192" s="8" t="s">
        <v>474</v>
      </c>
      <c r="L192" s="7" t="s">
        <v>998</v>
      </c>
      <c r="M192" s="7" t="s">
        <v>4794</v>
      </c>
      <c r="N192" s="7" t="s">
        <v>952</v>
      </c>
      <c r="O192" s="7" t="s">
        <v>4782</v>
      </c>
      <c r="P192" s="7" t="s">
        <v>1150</v>
      </c>
      <c r="Q192" s="7" t="s">
        <v>1480</v>
      </c>
      <c r="R192" s="7" t="s">
        <v>1152</v>
      </c>
      <c r="S192" s="8" t="s">
        <v>4777</v>
      </c>
      <c r="T192" s="12"/>
      <c r="U192" s="12"/>
    </row>
    <row r="193" customFormat="false" ht="35.05" hidden="false" customHeight="false" outlineLevel="0" collapsed="false">
      <c r="A193" s="7" t="s">
        <v>4795</v>
      </c>
      <c r="B193" s="14" t="s">
        <v>4796</v>
      </c>
      <c r="C193" s="7" t="s">
        <v>546</v>
      </c>
      <c r="D193" s="7" t="s">
        <v>471</v>
      </c>
      <c r="E193" s="7" t="s">
        <v>546</v>
      </c>
      <c r="F193" s="7" t="s">
        <v>4797</v>
      </c>
      <c r="G193" s="7" t="s">
        <v>3992</v>
      </c>
      <c r="H193" s="7" t="s">
        <v>928</v>
      </c>
      <c r="I193" s="7" t="s">
        <v>1148</v>
      </c>
      <c r="J193" s="8" t="s">
        <v>4798</v>
      </c>
      <c r="K193" s="8" t="s">
        <v>474</v>
      </c>
      <c r="L193" s="7" t="s">
        <v>483</v>
      </c>
      <c r="M193" s="7" t="s">
        <v>4799</v>
      </c>
      <c r="N193" s="7" t="n">
        <v>3</v>
      </c>
      <c r="O193" s="7" t="s">
        <v>547</v>
      </c>
      <c r="P193" s="7" t="s">
        <v>1150</v>
      </c>
      <c r="Q193" s="7" t="s">
        <v>1183</v>
      </c>
      <c r="R193" s="7" t="s">
        <v>1152</v>
      </c>
      <c r="S193" s="8" t="s">
        <v>3984</v>
      </c>
      <c r="T193" s="12"/>
      <c r="U193" s="12"/>
    </row>
    <row r="194" customFormat="false" ht="46.25" hidden="false" customHeight="false" outlineLevel="0" collapsed="false">
      <c r="A194" s="7" t="s">
        <v>4800</v>
      </c>
      <c r="B194" s="14" t="s">
        <v>4796</v>
      </c>
      <c r="C194" s="7" t="s">
        <v>546</v>
      </c>
      <c r="D194" s="7" t="s">
        <v>471</v>
      </c>
      <c r="E194" s="7" t="s">
        <v>546</v>
      </c>
      <c r="F194" s="7" t="s">
        <v>4801</v>
      </c>
      <c r="G194" s="7" t="s">
        <v>3992</v>
      </c>
      <c r="H194" s="7" t="s">
        <v>928</v>
      </c>
      <c r="I194" s="7" t="s">
        <v>1148</v>
      </c>
      <c r="J194" s="8" t="s">
        <v>4802</v>
      </c>
      <c r="K194" s="8" t="s">
        <v>474</v>
      </c>
      <c r="L194" s="7" t="s">
        <v>998</v>
      </c>
      <c r="M194" s="7" t="s">
        <v>4803</v>
      </c>
      <c r="N194" s="7" t="s">
        <v>952</v>
      </c>
      <c r="O194" s="7" t="s">
        <v>4799</v>
      </c>
      <c r="P194" s="7" t="s">
        <v>1150</v>
      </c>
      <c r="Q194" s="7" t="s">
        <v>1480</v>
      </c>
      <c r="R194" s="7" t="s">
        <v>1152</v>
      </c>
      <c r="S194" s="8" t="s">
        <v>4767</v>
      </c>
      <c r="T194" s="12"/>
      <c r="U194" s="12"/>
    </row>
    <row r="195" customFormat="false" ht="46.25" hidden="false" customHeight="false" outlineLevel="0" collapsed="false">
      <c r="A195" s="7" t="s">
        <v>4804</v>
      </c>
      <c r="B195" s="14" t="s">
        <v>4796</v>
      </c>
      <c r="C195" s="7" t="s">
        <v>546</v>
      </c>
      <c r="D195" s="7" t="s">
        <v>471</v>
      </c>
      <c r="E195" s="7" t="s">
        <v>546</v>
      </c>
      <c r="F195" s="7" t="s">
        <v>4805</v>
      </c>
      <c r="G195" s="7" t="s">
        <v>3992</v>
      </c>
      <c r="H195" s="7" t="s">
        <v>943</v>
      </c>
      <c r="I195" s="7" t="s">
        <v>1424</v>
      </c>
      <c r="J195" s="8" t="s">
        <v>4806</v>
      </c>
      <c r="K195" s="8" t="s">
        <v>474</v>
      </c>
      <c r="L195" s="7" t="s">
        <v>998</v>
      </c>
      <c r="M195" s="7" t="s">
        <v>4807</v>
      </c>
      <c r="N195" s="7" t="s">
        <v>952</v>
      </c>
      <c r="O195" s="7" t="s">
        <v>4799</v>
      </c>
      <c r="P195" s="7" t="s">
        <v>1150</v>
      </c>
      <c r="Q195" s="7" t="s">
        <v>1480</v>
      </c>
      <c r="R195" s="13" t="s">
        <v>1790</v>
      </c>
      <c r="S195" s="8" t="s">
        <v>4772</v>
      </c>
      <c r="T195" s="12"/>
      <c r="U195" s="12"/>
    </row>
    <row r="196" customFormat="false" ht="46.25" hidden="false" customHeight="false" outlineLevel="0" collapsed="false">
      <c r="A196" s="7" t="s">
        <v>4808</v>
      </c>
      <c r="B196" s="14" t="s">
        <v>4796</v>
      </c>
      <c r="C196" s="7" t="s">
        <v>546</v>
      </c>
      <c r="D196" s="7" t="s">
        <v>471</v>
      </c>
      <c r="E196" s="7" t="s">
        <v>546</v>
      </c>
      <c r="F196" s="7" t="s">
        <v>4809</v>
      </c>
      <c r="G196" s="7" t="s">
        <v>3992</v>
      </c>
      <c r="H196" s="7" t="s">
        <v>943</v>
      </c>
      <c r="I196" s="7" t="s">
        <v>1424</v>
      </c>
      <c r="J196" s="8" t="s">
        <v>4810</v>
      </c>
      <c r="K196" s="8" t="s">
        <v>474</v>
      </c>
      <c r="L196" s="7" t="s">
        <v>998</v>
      </c>
      <c r="M196" s="7" t="s">
        <v>4811</v>
      </c>
      <c r="N196" s="7" t="s">
        <v>952</v>
      </c>
      <c r="O196" s="7" t="s">
        <v>4799</v>
      </c>
      <c r="P196" s="7" t="s">
        <v>1150</v>
      </c>
      <c r="Q196" s="7" t="s">
        <v>1480</v>
      </c>
      <c r="R196" s="7" t="s">
        <v>1152</v>
      </c>
      <c r="S196" s="8" t="s">
        <v>4777</v>
      </c>
      <c r="T196" s="12"/>
      <c r="U196" s="12"/>
    </row>
    <row r="197" customFormat="false" ht="35.05" hidden="false" customHeight="false" outlineLevel="0" collapsed="false">
      <c r="A197" s="7" t="s">
        <v>4812</v>
      </c>
      <c r="B197" s="14" t="s">
        <v>4813</v>
      </c>
      <c r="C197" s="7" t="s">
        <v>546</v>
      </c>
      <c r="D197" s="7" t="s">
        <v>471</v>
      </c>
      <c r="E197" s="7" t="s">
        <v>546</v>
      </c>
      <c r="F197" s="7" t="s">
        <v>4814</v>
      </c>
      <c r="G197" s="7" t="s">
        <v>3992</v>
      </c>
      <c r="H197" s="7" t="s">
        <v>928</v>
      </c>
      <c r="I197" s="7" t="s">
        <v>1148</v>
      </c>
      <c r="J197" s="8" t="s">
        <v>4815</v>
      </c>
      <c r="K197" s="8" t="s">
        <v>474</v>
      </c>
      <c r="L197" s="7" t="s">
        <v>483</v>
      </c>
      <c r="M197" s="7" t="s">
        <v>4816</v>
      </c>
      <c r="N197" s="7" t="n">
        <v>3</v>
      </c>
      <c r="O197" s="7" t="s">
        <v>547</v>
      </c>
      <c r="P197" s="7" t="s">
        <v>1150</v>
      </c>
      <c r="Q197" s="7" t="s">
        <v>1480</v>
      </c>
      <c r="R197" s="7" t="s">
        <v>1152</v>
      </c>
      <c r="S197" s="8" t="s">
        <v>3984</v>
      </c>
      <c r="T197" s="12"/>
      <c r="U197" s="12"/>
    </row>
    <row r="198" customFormat="false" ht="46.25" hidden="false" customHeight="false" outlineLevel="0" collapsed="false">
      <c r="A198" s="7" t="s">
        <v>4817</v>
      </c>
      <c r="B198" s="14" t="s">
        <v>4813</v>
      </c>
      <c r="C198" s="7" t="s">
        <v>546</v>
      </c>
      <c r="D198" s="7" t="s">
        <v>471</v>
      </c>
      <c r="E198" s="7" t="s">
        <v>546</v>
      </c>
      <c r="F198" s="7" t="s">
        <v>4818</v>
      </c>
      <c r="G198" s="7" t="s">
        <v>3992</v>
      </c>
      <c r="H198" s="7" t="s">
        <v>928</v>
      </c>
      <c r="I198" s="7" t="s">
        <v>1148</v>
      </c>
      <c r="J198" s="8" t="s">
        <v>4819</v>
      </c>
      <c r="K198" s="8" t="s">
        <v>474</v>
      </c>
      <c r="L198" s="7" t="s">
        <v>998</v>
      </c>
      <c r="M198" s="7" t="s">
        <v>4820</v>
      </c>
      <c r="N198" s="7" t="s">
        <v>952</v>
      </c>
      <c r="O198" s="7" t="s">
        <v>4816</v>
      </c>
      <c r="P198" s="7" t="s">
        <v>1150</v>
      </c>
      <c r="Q198" s="7" t="s">
        <v>1480</v>
      </c>
      <c r="R198" s="7" t="s">
        <v>1152</v>
      </c>
      <c r="S198" s="8" t="s">
        <v>4767</v>
      </c>
      <c r="T198" s="12"/>
      <c r="U198" s="12"/>
    </row>
    <row r="199" customFormat="false" ht="46.25" hidden="false" customHeight="false" outlineLevel="0" collapsed="false">
      <c r="A199" s="7" t="s">
        <v>4821</v>
      </c>
      <c r="B199" s="14" t="s">
        <v>4813</v>
      </c>
      <c r="C199" s="7" t="s">
        <v>546</v>
      </c>
      <c r="D199" s="7" t="s">
        <v>471</v>
      </c>
      <c r="E199" s="7" t="s">
        <v>546</v>
      </c>
      <c r="F199" s="7" t="s">
        <v>4822</v>
      </c>
      <c r="G199" s="7" t="s">
        <v>3992</v>
      </c>
      <c r="H199" s="7" t="s">
        <v>943</v>
      </c>
      <c r="I199" s="7" t="s">
        <v>1424</v>
      </c>
      <c r="J199" s="8" t="s">
        <v>4823</v>
      </c>
      <c r="K199" s="8" t="s">
        <v>474</v>
      </c>
      <c r="L199" s="7" t="s">
        <v>998</v>
      </c>
      <c r="M199" s="7" t="s">
        <v>4824</v>
      </c>
      <c r="N199" s="7" t="s">
        <v>952</v>
      </c>
      <c r="O199" s="7" t="s">
        <v>4816</v>
      </c>
      <c r="P199" s="7" t="s">
        <v>1150</v>
      </c>
      <c r="Q199" s="7" t="s">
        <v>1480</v>
      </c>
      <c r="R199" s="13" t="s">
        <v>1790</v>
      </c>
      <c r="S199" s="8" t="s">
        <v>4772</v>
      </c>
      <c r="T199" s="12"/>
      <c r="U199" s="12"/>
    </row>
    <row r="200" customFormat="false" ht="46.25" hidden="false" customHeight="false" outlineLevel="0" collapsed="false">
      <c r="A200" s="7" t="s">
        <v>4825</v>
      </c>
      <c r="B200" s="14" t="s">
        <v>4813</v>
      </c>
      <c r="C200" s="7" t="s">
        <v>546</v>
      </c>
      <c r="D200" s="7" t="s">
        <v>471</v>
      </c>
      <c r="E200" s="7" t="s">
        <v>546</v>
      </c>
      <c r="F200" s="7" t="s">
        <v>4826</v>
      </c>
      <c r="G200" s="7" t="s">
        <v>3992</v>
      </c>
      <c r="H200" s="7" t="s">
        <v>943</v>
      </c>
      <c r="I200" s="7" t="s">
        <v>1424</v>
      </c>
      <c r="J200" s="8" t="s">
        <v>4827</v>
      </c>
      <c r="K200" s="8" t="s">
        <v>474</v>
      </c>
      <c r="L200" s="7" t="s">
        <v>998</v>
      </c>
      <c r="M200" s="7" t="s">
        <v>4828</v>
      </c>
      <c r="N200" s="7" t="s">
        <v>952</v>
      </c>
      <c r="O200" s="7" t="s">
        <v>4816</v>
      </c>
      <c r="P200" s="7" t="s">
        <v>1150</v>
      </c>
      <c r="Q200" s="7" t="s">
        <v>1480</v>
      </c>
      <c r="R200" s="7" t="s">
        <v>1152</v>
      </c>
      <c r="S200" s="8" t="s">
        <v>4777</v>
      </c>
      <c r="T200" s="12"/>
      <c r="U200" s="12"/>
    </row>
    <row r="201" customFormat="false" ht="35.05" hidden="false" customHeight="false" outlineLevel="0" collapsed="false">
      <c r="A201" s="7" t="s">
        <v>4829</v>
      </c>
      <c r="B201" s="14" t="s">
        <v>4830</v>
      </c>
      <c r="C201" s="7" t="s">
        <v>546</v>
      </c>
      <c r="D201" s="7" t="s">
        <v>471</v>
      </c>
      <c r="E201" s="7" t="s">
        <v>546</v>
      </c>
      <c r="F201" s="7" t="s">
        <v>4831</v>
      </c>
      <c r="G201" s="7" t="s">
        <v>3992</v>
      </c>
      <c r="H201" s="7" t="s">
        <v>928</v>
      </c>
      <c r="I201" s="7" t="s">
        <v>1148</v>
      </c>
      <c r="J201" s="8" t="s">
        <v>4832</v>
      </c>
      <c r="K201" s="8" t="s">
        <v>474</v>
      </c>
      <c r="L201" s="7" t="s">
        <v>483</v>
      </c>
      <c r="M201" s="7" t="s">
        <v>4833</v>
      </c>
      <c r="N201" s="7" t="n">
        <v>3</v>
      </c>
      <c r="O201" s="7" t="s">
        <v>547</v>
      </c>
      <c r="P201" s="7" t="s">
        <v>1150</v>
      </c>
      <c r="Q201" s="7" t="s">
        <v>1480</v>
      </c>
      <c r="R201" s="7" t="s">
        <v>1152</v>
      </c>
      <c r="S201" s="8" t="s">
        <v>3984</v>
      </c>
      <c r="T201" s="12"/>
      <c r="U201" s="12"/>
    </row>
    <row r="202" customFormat="false" ht="46.25" hidden="false" customHeight="false" outlineLevel="0" collapsed="false">
      <c r="A202" s="7" t="s">
        <v>4834</v>
      </c>
      <c r="B202" s="14" t="s">
        <v>4830</v>
      </c>
      <c r="C202" s="7" t="s">
        <v>546</v>
      </c>
      <c r="D202" s="7" t="s">
        <v>471</v>
      </c>
      <c r="E202" s="7" t="s">
        <v>546</v>
      </c>
      <c r="F202" s="7" t="s">
        <v>4835</v>
      </c>
      <c r="G202" s="7" t="s">
        <v>3992</v>
      </c>
      <c r="H202" s="7" t="s">
        <v>928</v>
      </c>
      <c r="I202" s="7" t="s">
        <v>1148</v>
      </c>
      <c r="J202" s="8" t="s">
        <v>4836</v>
      </c>
      <c r="K202" s="8" t="s">
        <v>474</v>
      </c>
      <c r="L202" s="7" t="s">
        <v>998</v>
      </c>
      <c r="M202" s="7" t="s">
        <v>4837</v>
      </c>
      <c r="N202" s="7" t="s">
        <v>952</v>
      </c>
      <c r="O202" s="7" t="s">
        <v>4833</v>
      </c>
      <c r="P202" s="7" t="s">
        <v>1150</v>
      </c>
      <c r="Q202" s="7" t="s">
        <v>1480</v>
      </c>
      <c r="R202" s="7" t="s">
        <v>1152</v>
      </c>
      <c r="S202" s="8" t="s">
        <v>4767</v>
      </c>
      <c r="T202" s="12"/>
      <c r="U202" s="12"/>
    </row>
    <row r="203" customFormat="false" ht="46.25" hidden="false" customHeight="false" outlineLevel="0" collapsed="false">
      <c r="A203" s="7" t="s">
        <v>4838</v>
      </c>
      <c r="B203" s="14" t="s">
        <v>4830</v>
      </c>
      <c r="C203" s="7" t="s">
        <v>546</v>
      </c>
      <c r="D203" s="7" t="s">
        <v>471</v>
      </c>
      <c r="E203" s="7" t="s">
        <v>546</v>
      </c>
      <c r="F203" s="7" t="s">
        <v>4839</v>
      </c>
      <c r="G203" s="7" t="s">
        <v>3992</v>
      </c>
      <c r="H203" s="7" t="s">
        <v>943</v>
      </c>
      <c r="I203" s="7" t="s">
        <v>1424</v>
      </c>
      <c r="J203" s="8" t="s">
        <v>4840</v>
      </c>
      <c r="K203" s="8" t="s">
        <v>474</v>
      </c>
      <c r="L203" s="7" t="s">
        <v>998</v>
      </c>
      <c r="M203" s="7" t="s">
        <v>4841</v>
      </c>
      <c r="N203" s="7" t="s">
        <v>952</v>
      </c>
      <c r="O203" s="7" t="s">
        <v>4833</v>
      </c>
      <c r="P203" s="7" t="s">
        <v>1150</v>
      </c>
      <c r="Q203" s="7" t="s">
        <v>1480</v>
      </c>
      <c r="R203" s="13" t="s">
        <v>1790</v>
      </c>
      <c r="S203" s="8" t="s">
        <v>4772</v>
      </c>
      <c r="T203" s="12"/>
      <c r="U203" s="12"/>
    </row>
    <row r="204" customFormat="false" ht="46.25" hidden="false" customHeight="false" outlineLevel="0" collapsed="false">
      <c r="A204" s="7" t="s">
        <v>4842</v>
      </c>
      <c r="B204" s="14" t="s">
        <v>4830</v>
      </c>
      <c r="C204" s="7" t="s">
        <v>546</v>
      </c>
      <c r="D204" s="7" t="s">
        <v>471</v>
      </c>
      <c r="E204" s="7" t="s">
        <v>546</v>
      </c>
      <c r="F204" s="7" t="s">
        <v>4843</v>
      </c>
      <c r="G204" s="7" t="s">
        <v>3992</v>
      </c>
      <c r="H204" s="7" t="s">
        <v>943</v>
      </c>
      <c r="I204" s="7" t="s">
        <v>1424</v>
      </c>
      <c r="J204" s="8" t="s">
        <v>4844</v>
      </c>
      <c r="K204" s="8" t="s">
        <v>474</v>
      </c>
      <c r="L204" s="7" t="s">
        <v>998</v>
      </c>
      <c r="M204" s="7" t="s">
        <v>4845</v>
      </c>
      <c r="N204" s="7" t="s">
        <v>952</v>
      </c>
      <c r="O204" s="7" t="s">
        <v>4833</v>
      </c>
      <c r="P204" s="7" t="s">
        <v>1150</v>
      </c>
      <c r="Q204" s="7" t="s">
        <v>1480</v>
      </c>
      <c r="R204" s="7" t="s">
        <v>1152</v>
      </c>
      <c r="S204" s="8" t="s">
        <v>4777</v>
      </c>
      <c r="T204" s="12"/>
      <c r="U204" s="12"/>
    </row>
    <row r="205" customFormat="false" ht="35.05" hidden="false" customHeight="false" outlineLevel="0" collapsed="false">
      <c r="A205" s="7" t="s">
        <v>4846</v>
      </c>
      <c r="B205" s="14" t="s">
        <v>4847</v>
      </c>
      <c r="C205" s="7" t="s">
        <v>546</v>
      </c>
      <c r="D205" s="7" t="s">
        <v>471</v>
      </c>
      <c r="E205" s="7" t="s">
        <v>546</v>
      </c>
      <c r="F205" s="7" t="s">
        <v>4848</v>
      </c>
      <c r="G205" s="7" t="s">
        <v>3992</v>
      </c>
      <c r="H205" s="7" t="s">
        <v>928</v>
      </c>
      <c r="I205" s="7" t="s">
        <v>1148</v>
      </c>
      <c r="J205" s="8" t="s">
        <v>4849</v>
      </c>
      <c r="K205" s="8" t="s">
        <v>474</v>
      </c>
      <c r="L205" s="7" t="s">
        <v>483</v>
      </c>
      <c r="M205" s="7" t="s">
        <v>4850</v>
      </c>
      <c r="N205" s="7" t="n">
        <v>3</v>
      </c>
      <c r="O205" s="7" t="s">
        <v>547</v>
      </c>
      <c r="P205" s="7" t="s">
        <v>1150</v>
      </c>
      <c r="Q205" s="7" t="s">
        <v>1480</v>
      </c>
      <c r="R205" s="7" t="s">
        <v>1152</v>
      </c>
      <c r="S205" s="8" t="s">
        <v>3984</v>
      </c>
      <c r="T205" s="12"/>
      <c r="U205" s="12"/>
    </row>
    <row r="206" customFormat="false" ht="46.25" hidden="false" customHeight="false" outlineLevel="0" collapsed="false">
      <c r="A206" s="7" t="s">
        <v>4851</v>
      </c>
      <c r="B206" s="14" t="s">
        <v>4847</v>
      </c>
      <c r="C206" s="7" t="s">
        <v>546</v>
      </c>
      <c r="D206" s="7" t="s">
        <v>471</v>
      </c>
      <c r="E206" s="7" t="s">
        <v>546</v>
      </c>
      <c r="F206" s="7" t="s">
        <v>4852</v>
      </c>
      <c r="G206" s="7" t="s">
        <v>3992</v>
      </c>
      <c r="H206" s="7" t="s">
        <v>928</v>
      </c>
      <c r="I206" s="7" t="s">
        <v>1148</v>
      </c>
      <c r="J206" s="8" t="s">
        <v>4853</v>
      </c>
      <c r="K206" s="8" t="s">
        <v>474</v>
      </c>
      <c r="L206" s="7" t="s">
        <v>998</v>
      </c>
      <c r="M206" s="7" t="s">
        <v>4854</v>
      </c>
      <c r="N206" s="7" t="s">
        <v>952</v>
      </c>
      <c r="O206" s="7" t="s">
        <v>4850</v>
      </c>
      <c r="P206" s="7" t="s">
        <v>1150</v>
      </c>
      <c r="Q206" s="7" t="s">
        <v>1480</v>
      </c>
      <c r="R206" s="7" t="s">
        <v>1152</v>
      </c>
      <c r="S206" s="8" t="s">
        <v>4767</v>
      </c>
      <c r="T206" s="12"/>
      <c r="U206" s="12"/>
    </row>
    <row r="207" customFormat="false" ht="46.25" hidden="false" customHeight="false" outlineLevel="0" collapsed="false">
      <c r="A207" s="7" t="s">
        <v>4855</v>
      </c>
      <c r="B207" s="14" t="s">
        <v>4847</v>
      </c>
      <c r="C207" s="7" t="s">
        <v>546</v>
      </c>
      <c r="D207" s="7" t="s">
        <v>471</v>
      </c>
      <c r="E207" s="7" t="s">
        <v>546</v>
      </c>
      <c r="F207" s="7" t="s">
        <v>4856</v>
      </c>
      <c r="G207" s="7" t="s">
        <v>3992</v>
      </c>
      <c r="H207" s="7" t="s">
        <v>943</v>
      </c>
      <c r="I207" s="7" t="s">
        <v>1424</v>
      </c>
      <c r="J207" s="8" t="s">
        <v>4857</v>
      </c>
      <c r="K207" s="8" t="s">
        <v>474</v>
      </c>
      <c r="L207" s="7" t="s">
        <v>998</v>
      </c>
      <c r="M207" s="7" t="s">
        <v>4858</v>
      </c>
      <c r="N207" s="7" t="s">
        <v>952</v>
      </c>
      <c r="O207" s="7" t="s">
        <v>4850</v>
      </c>
      <c r="P207" s="7" t="s">
        <v>1150</v>
      </c>
      <c r="Q207" s="7" t="s">
        <v>1480</v>
      </c>
      <c r="R207" s="13" t="s">
        <v>1790</v>
      </c>
      <c r="S207" s="8" t="s">
        <v>4772</v>
      </c>
      <c r="T207" s="12"/>
      <c r="U207" s="12"/>
    </row>
    <row r="208" customFormat="false" ht="46.25" hidden="false" customHeight="false" outlineLevel="0" collapsed="false">
      <c r="A208" s="7" t="s">
        <v>4859</v>
      </c>
      <c r="B208" s="14" t="s">
        <v>4847</v>
      </c>
      <c r="C208" s="7" t="s">
        <v>546</v>
      </c>
      <c r="D208" s="7" t="s">
        <v>471</v>
      </c>
      <c r="E208" s="7" t="s">
        <v>546</v>
      </c>
      <c r="F208" s="7" t="s">
        <v>4860</v>
      </c>
      <c r="G208" s="7" t="s">
        <v>3992</v>
      </c>
      <c r="H208" s="7" t="s">
        <v>943</v>
      </c>
      <c r="I208" s="7" t="s">
        <v>1424</v>
      </c>
      <c r="J208" s="8" t="s">
        <v>4861</v>
      </c>
      <c r="K208" s="8" t="s">
        <v>474</v>
      </c>
      <c r="L208" s="7" t="s">
        <v>998</v>
      </c>
      <c r="M208" s="7" t="s">
        <v>4862</v>
      </c>
      <c r="N208" s="7" t="s">
        <v>952</v>
      </c>
      <c r="O208" s="7" t="s">
        <v>4850</v>
      </c>
      <c r="P208" s="7" t="s">
        <v>1150</v>
      </c>
      <c r="Q208" s="7" t="s">
        <v>1480</v>
      </c>
      <c r="R208" s="7" t="s">
        <v>1152</v>
      </c>
      <c r="S208" s="8" t="s">
        <v>4777</v>
      </c>
      <c r="T208" s="12"/>
      <c r="U208" s="12"/>
    </row>
    <row r="209" customFormat="false" ht="35.05" hidden="false" customHeight="false" outlineLevel="0" collapsed="false">
      <c r="A209" s="7" t="s">
        <v>4863</v>
      </c>
      <c r="B209" s="14" t="s">
        <v>3986</v>
      </c>
      <c r="C209" s="7" t="s">
        <v>521</v>
      </c>
      <c r="D209" s="7" t="s">
        <v>471</v>
      </c>
      <c r="E209" s="7" t="s">
        <v>864</v>
      </c>
      <c r="F209" s="7" t="s">
        <v>521</v>
      </c>
      <c r="G209" s="7" t="s">
        <v>3987</v>
      </c>
      <c r="H209" s="7" t="s">
        <v>928</v>
      </c>
      <c r="I209" s="7" t="s">
        <v>1148</v>
      </c>
      <c r="J209" s="8" t="s">
        <v>4864</v>
      </c>
      <c r="K209" s="8" t="s">
        <v>474</v>
      </c>
      <c r="L209" s="7" t="s">
        <v>478</v>
      </c>
      <c r="M209" s="7" t="s">
        <v>522</v>
      </c>
      <c r="N209" s="7" t="n">
        <v>2</v>
      </c>
      <c r="O209" s="7" t="s">
        <v>472</v>
      </c>
      <c r="P209" s="7" t="s">
        <v>1150</v>
      </c>
      <c r="Q209" s="7" t="s">
        <v>1183</v>
      </c>
      <c r="R209" s="7" t="s">
        <v>1152</v>
      </c>
      <c r="S209" s="8"/>
      <c r="T209" s="12"/>
      <c r="U209" s="12"/>
    </row>
    <row r="210" customFormat="false" ht="35.05" hidden="false" customHeight="false" outlineLevel="0" collapsed="false">
      <c r="A210" s="7" t="s">
        <v>4865</v>
      </c>
      <c r="B210" s="14" t="s">
        <v>4866</v>
      </c>
      <c r="C210" s="7" t="s">
        <v>521</v>
      </c>
      <c r="D210" s="7" t="s">
        <v>471</v>
      </c>
      <c r="E210" s="7" t="s">
        <v>521</v>
      </c>
      <c r="F210" s="7" t="s">
        <v>4867</v>
      </c>
      <c r="G210" s="7" t="s">
        <v>3992</v>
      </c>
      <c r="H210" s="7" t="s">
        <v>928</v>
      </c>
      <c r="I210" s="7" t="s">
        <v>1148</v>
      </c>
      <c r="J210" s="8" t="s">
        <v>4868</v>
      </c>
      <c r="K210" s="8" t="s">
        <v>474</v>
      </c>
      <c r="L210" s="7" t="s">
        <v>483</v>
      </c>
      <c r="M210" s="7" t="s">
        <v>4869</v>
      </c>
      <c r="N210" s="7" t="n">
        <v>3</v>
      </c>
      <c r="O210" s="7" t="s">
        <v>522</v>
      </c>
      <c r="P210" s="7" t="s">
        <v>1150</v>
      </c>
      <c r="Q210" s="7" t="s">
        <v>1480</v>
      </c>
      <c r="R210" s="7" t="s">
        <v>1152</v>
      </c>
      <c r="S210" s="8" t="s">
        <v>3984</v>
      </c>
      <c r="T210" s="12"/>
      <c r="U210" s="12"/>
    </row>
    <row r="211" customFormat="false" ht="46.25" hidden="false" customHeight="false" outlineLevel="0" collapsed="false">
      <c r="A211" s="7" t="s">
        <v>4870</v>
      </c>
      <c r="B211" s="14" t="s">
        <v>4866</v>
      </c>
      <c r="C211" s="7" t="s">
        <v>521</v>
      </c>
      <c r="D211" s="7" t="s">
        <v>471</v>
      </c>
      <c r="E211" s="7" t="s">
        <v>521</v>
      </c>
      <c r="F211" s="7" t="s">
        <v>4871</v>
      </c>
      <c r="G211" s="7" t="s">
        <v>3992</v>
      </c>
      <c r="H211" s="7" t="s">
        <v>943</v>
      </c>
      <c r="I211" s="7" t="s">
        <v>1424</v>
      </c>
      <c r="J211" s="8" t="s">
        <v>4872</v>
      </c>
      <c r="K211" s="8" t="s">
        <v>474</v>
      </c>
      <c r="L211" s="7" t="s">
        <v>998</v>
      </c>
      <c r="M211" s="7" t="s">
        <v>4873</v>
      </c>
      <c r="N211" s="7" t="s">
        <v>952</v>
      </c>
      <c r="O211" s="7" t="s">
        <v>4869</v>
      </c>
      <c r="P211" s="7" t="s">
        <v>1150</v>
      </c>
      <c r="Q211" s="7" t="s">
        <v>1480</v>
      </c>
      <c r="R211" s="7" t="s">
        <v>1152</v>
      </c>
      <c r="S211" s="8" t="s">
        <v>4874</v>
      </c>
      <c r="T211" s="12"/>
      <c r="U211" s="12"/>
    </row>
    <row r="212" customFormat="false" ht="46.25" hidden="false" customHeight="false" outlineLevel="0" collapsed="false">
      <c r="A212" s="7" t="s">
        <v>4875</v>
      </c>
      <c r="B212" s="14" t="s">
        <v>4866</v>
      </c>
      <c r="C212" s="7" t="s">
        <v>521</v>
      </c>
      <c r="D212" s="7" t="s">
        <v>471</v>
      </c>
      <c r="E212" s="7" t="s">
        <v>521</v>
      </c>
      <c r="F212" s="7" t="s">
        <v>4876</v>
      </c>
      <c r="G212" s="7" t="s">
        <v>3992</v>
      </c>
      <c r="H212" s="7" t="s">
        <v>943</v>
      </c>
      <c r="I212" s="7" t="s">
        <v>1424</v>
      </c>
      <c r="J212" s="8" t="s">
        <v>4877</v>
      </c>
      <c r="K212" s="8" t="s">
        <v>474</v>
      </c>
      <c r="L212" s="7" t="s">
        <v>998</v>
      </c>
      <c r="M212" s="7" t="s">
        <v>4878</v>
      </c>
      <c r="N212" s="7" t="s">
        <v>952</v>
      </c>
      <c r="O212" s="7" t="s">
        <v>4869</v>
      </c>
      <c r="P212" s="7" t="s">
        <v>1150</v>
      </c>
      <c r="Q212" s="7" t="s">
        <v>1480</v>
      </c>
      <c r="R212" s="13" t="s">
        <v>1790</v>
      </c>
      <c r="S212" s="8" t="s">
        <v>4879</v>
      </c>
      <c r="T212" s="12"/>
      <c r="U212" s="12"/>
    </row>
    <row r="213" customFormat="false" ht="35.05" hidden="false" customHeight="false" outlineLevel="0" collapsed="false">
      <c r="A213" s="7" t="s">
        <v>4880</v>
      </c>
      <c r="B213" s="14" t="s">
        <v>4881</v>
      </c>
      <c r="C213" s="7" t="s">
        <v>521</v>
      </c>
      <c r="D213" s="7" t="s">
        <v>471</v>
      </c>
      <c r="E213" s="7" t="s">
        <v>521</v>
      </c>
      <c r="F213" s="7" t="s">
        <v>4882</v>
      </c>
      <c r="G213" s="7" t="s">
        <v>3992</v>
      </c>
      <c r="H213" s="7" t="s">
        <v>928</v>
      </c>
      <c r="I213" s="7" t="s">
        <v>1148</v>
      </c>
      <c r="J213" s="8" t="s">
        <v>4883</v>
      </c>
      <c r="K213" s="8" t="s">
        <v>474</v>
      </c>
      <c r="L213" s="7" t="s">
        <v>483</v>
      </c>
      <c r="M213" s="7" t="s">
        <v>4884</v>
      </c>
      <c r="N213" s="7" t="n">
        <v>3</v>
      </c>
      <c r="O213" s="7" t="s">
        <v>522</v>
      </c>
      <c r="P213" s="7" t="s">
        <v>1150</v>
      </c>
      <c r="Q213" s="7" t="s">
        <v>1480</v>
      </c>
      <c r="R213" s="7" t="s">
        <v>1152</v>
      </c>
      <c r="S213" s="8" t="s">
        <v>3984</v>
      </c>
      <c r="T213" s="12"/>
      <c r="U213" s="12"/>
    </row>
    <row r="214" customFormat="false" ht="46.25" hidden="false" customHeight="false" outlineLevel="0" collapsed="false">
      <c r="A214" s="7" t="s">
        <v>4885</v>
      </c>
      <c r="B214" s="14" t="s">
        <v>4881</v>
      </c>
      <c r="C214" s="7" t="s">
        <v>521</v>
      </c>
      <c r="D214" s="7" t="s">
        <v>471</v>
      </c>
      <c r="E214" s="7" t="s">
        <v>521</v>
      </c>
      <c r="F214" s="7" t="s">
        <v>4886</v>
      </c>
      <c r="G214" s="7" t="s">
        <v>3992</v>
      </c>
      <c r="H214" s="7" t="s">
        <v>943</v>
      </c>
      <c r="I214" s="7" t="s">
        <v>1424</v>
      </c>
      <c r="J214" s="8" t="s">
        <v>4887</v>
      </c>
      <c r="K214" s="8" t="s">
        <v>474</v>
      </c>
      <c r="L214" s="7" t="s">
        <v>998</v>
      </c>
      <c r="M214" s="7" t="s">
        <v>4888</v>
      </c>
      <c r="N214" s="7" t="s">
        <v>952</v>
      </c>
      <c r="O214" s="7" t="s">
        <v>4884</v>
      </c>
      <c r="P214" s="7" t="s">
        <v>1150</v>
      </c>
      <c r="Q214" s="7" t="s">
        <v>1480</v>
      </c>
      <c r="R214" s="7" t="s">
        <v>1152</v>
      </c>
      <c r="S214" s="8" t="s">
        <v>4874</v>
      </c>
      <c r="T214" s="12"/>
      <c r="U214" s="12"/>
    </row>
    <row r="215" customFormat="false" ht="46.25" hidden="false" customHeight="false" outlineLevel="0" collapsed="false">
      <c r="A215" s="7" t="s">
        <v>4889</v>
      </c>
      <c r="B215" s="14" t="s">
        <v>4881</v>
      </c>
      <c r="C215" s="7" t="s">
        <v>521</v>
      </c>
      <c r="D215" s="7" t="s">
        <v>471</v>
      </c>
      <c r="E215" s="7" t="s">
        <v>521</v>
      </c>
      <c r="F215" s="7" t="s">
        <v>4890</v>
      </c>
      <c r="G215" s="7" t="s">
        <v>3992</v>
      </c>
      <c r="H215" s="7" t="s">
        <v>943</v>
      </c>
      <c r="I215" s="7" t="s">
        <v>1424</v>
      </c>
      <c r="J215" s="8" t="s">
        <v>4891</v>
      </c>
      <c r="K215" s="8" t="s">
        <v>474</v>
      </c>
      <c r="L215" s="7" t="s">
        <v>998</v>
      </c>
      <c r="M215" s="7" t="s">
        <v>4892</v>
      </c>
      <c r="N215" s="7" t="s">
        <v>952</v>
      </c>
      <c r="O215" s="7" t="s">
        <v>4884</v>
      </c>
      <c r="P215" s="7" t="s">
        <v>1150</v>
      </c>
      <c r="Q215" s="7" t="s">
        <v>1480</v>
      </c>
      <c r="R215" s="13" t="s">
        <v>1790</v>
      </c>
      <c r="S215" s="8" t="s">
        <v>4879</v>
      </c>
      <c r="T215" s="12"/>
      <c r="U215" s="12"/>
    </row>
    <row r="216" customFormat="false" ht="35.05" hidden="false" customHeight="false" outlineLevel="0" collapsed="false">
      <c r="A216" s="7" t="s">
        <v>4893</v>
      </c>
      <c r="B216" s="14" t="s">
        <v>4894</v>
      </c>
      <c r="C216" s="7" t="s">
        <v>521</v>
      </c>
      <c r="D216" s="7" t="s">
        <v>471</v>
      </c>
      <c r="E216" s="7" t="s">
        <v>521</v>
      </c>
      <c r="F216" s="7" t="s">
        <v>4895</v>
      </c>
      <c r="G216" s="7" t="s">
        <v>3992</v>
      </c>
      <c r="H216" s="7" t="s">
        <v>928</v>
      </c>
      <c r="I216" s="7" t="s">
        <v>1148</v>
      </c>
      <c r="J216" s="8" t="s">
        <v>4896</v>
      </c>
      <c r="K216" s="8" t="s">
        <v>474</v>
      </c>
      <c r="L216" s="7" t="s">
        <v>483</v>
      </c>
      <c r="M216" s="7" t="s">
        <v>4897</v>
      </c>
      <c r="N216" s="7" t="n">
        <v>3</v>
      </c>
      <c r="O216" s="7" t="s">
        <v>522</v>
      </c>
      <c r="P216" s="7" t="s">
        <v>1150</v>
      </c>
      <c r="Q216" s="7" t="s">
        <v>1183</v>
      </c>
      <c r="R216" s="7" t="s">
        <v>1152</v>
      </c>
      <c r="S216" s="8" t="s">
        <v>3984</v>
      </c>
      <c r="T216" s="12"/>
      <c r="U216" s="12"/>
    </row>
    <row r="217" customFormat="false" ht="46.25" hidden="false" customHeight="false" outlineLevel="0" collapsed="false">
      <c r="A217" s="7" t="s">
        <v>4898</v>
      </c>
      <c r="B217" s="14" t="s">
        <v>4894</v>
      </c>
      <c r="C217" s="7" t="s">
        <v>521</v>
      </c>
      <c r="D217" s="7" t="s">
        <v>471</v>
      </c>
      <c r="E217" s="7" t="s">
        <v>521</v>
      </c>
      <c r="F217" s="7" t="s">
        <v>4899</v>
      </c>
      <c r="G217" s="7" t="s">
        <v>3992</v>
      </c>
      <c r="H217" s="7" t="s">
        <v>943</v>
      </c>
      <c r="I217" s="7" t="s">
        <v>1424</v>
      </c>
      <c r="J217" s="8" t="s">
        <v>4900</v>
      </c>
      <c r="K217" s="8" t="s">
        <v>474</v>
      </c>
      <c r="L217" s="7" t="s">
        <v>998</v>
      </c>
      <c r="M217" s="7" t="s">
        <v>4901</v>
      </c>
      <c r="N217" s="7" t="s">
        <v>952</v>
      </c>
      <c r="O217" s="7" t="s">
        <v>4897</v>
      </c>
      <c r="P217" s="7" t="s">
        <v>1150</v>
      </c>
      <c r="Q217" s="7" t="s">
        <v>1480</v>
      </c>
      <c r="R217" s="7" t="s">
        <v>1152</v>
      </c>
      <c r="S217" s="8" t="s">
        <v>4874</v>
      </c>
      <c r="T217" s="12"/>
      <c r="U217" s="12"/>
    </row>
    <row r="218" customFormat="false" ht="46.25" hidden="false" customHeight="false" outlineLevel="0" collapsed="false">
      <c r="A218" s="7" t="s">
        <v>4902</v>
      </c>
      <c r="B218" s="14" t="s">
        <v>4894</v>
      </c>
      <c r="C218" s="7" t="s">
        <v>521</v>
      </c>
      <c r="D218" s="7" t="s">
        <v>471</v>
      </c>
      <c r="E218" s="7" t="s">
        <v>521</v>
      </c>
      <c r="F218" s="7" t="s">
        <v>4903</v>
      </c>
      <c r="G218" s="7" t="s">
        <v>3992</v>
      </c>
      <c r="H218" s="7" t="s">
        <v>943</v>
      </c>
      <c r="I218" s="7" t="s">
        <v>1424</v>
      </c>
      <c r="J218" s="8" t="s">
        <v>4904</v>
      </c>
      <c r="K218" s="8" t="s">
        <v>474</v>
      </c>
      <c r="L218" s="7" t="s">
        <v>998</v>
      </c>
      <c r="M218" s="7" t="s">
        <v>4905</v>
      </c>
      <c r="N218" s="7" t="s">
        <v>952</v>
      </c>
      <c r="O218" s="7" t="s">
        <v>4897</v>
      </c>
      <c r="P218" s="7" t="s">
        <v>1150</v>
      </c>
      <c r="Q218" s="7" t="s">
        <v>1480</v>
      </c>
      <c r="R218" s="13" t="s">
        <v>1790</v>
      </c>
      <c r="S218" s="8" t="s">
        <v>4879</v>
      </c>
      <c r="T218" s="12"/>
      <c r="U218" s="12"/>
    </row>
    <row r="219" customFormat="false" ht="35.05" hidden="false" customHeight="false" outlineLevel="0" collapsed="false">
      <c r="A219" s="7" t="s">
        <v>4906</v>
      </c>
      <c r="B219" s="14" t="s">
        <v>4907</v>
      </c>
      <c r="C219" s="7" t="s">
        <v>521</v>
      </c>
      <c r="D219" s="7" t="s">
        <v>471</v>
      </c>
      <c r="E219" s="7" t="s">
        <v>521</v>
      </c>
      <c r="F219" s="7" t="s">
        <v>4908</v>
      </c>
      <c r="G219" s="7" t="s">
        <v>3992</v>
      </c>
      <c r="H219" s="7" t="s">
        <v>928</v>
      </c>
      <c r="I219" s="7" t="s">
        <v>1148</v>
      </c>
      <c r="J219" s="8" t="s">
        <v>4909</v>
      </c>
      <c r="K219" s="8" t="s">
        <v>474</v>
      </c>
      <c r="L219" s="7" t="s">
        <v>483</v>
      </c>
      <c r="M219" s="7" t="s">
        <v>4910</v>
      </c>
      <c r="N219" s="7" t="n">
        <v>3</v>
      </c>
      <c r="O219" s="7" t="s">
        <v>522</v>
      </c>
      <c r="P219" s="7" t="s">
        <v>1150</v>
      </c>
      <c r="Q219" s="7" t="s">
        <v>1480</v>
      </c>
      <c r="R219" s="7" t="s">
        <v>1152</v>
      </c>
      <c r="S219" s="8" t="s">
        <v>3984</v>
      </c>
      <c r="T219" s="12"/>
      <c r="U219" s="12"/>
    </row>
    <row r="220" customFormat="false" ht="46.25" hidden="false" customHeight="false" outlineLevel="0" collapsed="false">
      <c r="A220" s="7" t="s">
        <v>4911</v>
      </c>
      <c r="B220" s="14" t="s">
        <v>4907</v>
      </c>
      <c r="C220" s="7" t="s">
        <v>521</v>
      </c>
      <c r="D220" s="7" t="s">
        <v>471</v>
      </c>
      <c r="E220" s="7" t="s">
        <v>521</v>
      </c>
      <c r="F220" s="7" t="s">
        <v>4912</v>
      </c>
      <c r="G220" s="7" t="s">
        <v>3992</v>
      </c>
      <c r="H220" s="7" t="s">
        <v>943</v>
      </c>
      <c r="I220" s="7" t="s">
        <v>1424</v>
      </c>
      <c r="J220" s="8" t="s">
        <v>4913</v>
      </c>
      <c r="K220" s="8" t="s">
        <v>474</v>
      </c>
      <c r="L220" s="7" t="s">
        <v>998</v>
      </c>
      <c r="M220" s="7" t="s">
        <v>4914</v>
      </c>
      <c r="N220" s="7" t="s">
        <v>952</v>
      </c>
      <c r="O220" s="7" t="s">
        <v>4910</v>
      </c>
      <c r="P220" s="7" t="s">
        <v>1150</v>
      </c>
      <c r="Q220" s="7" t="s">
        <v>1480</v>
      </c>
      <c r="R220" s="7" t="s">
        <v>1152</v>
      </c>
      <c r="S220" s="8" t="s">
        <v>4874</v>
      </c>
      <c r="T220" s="12"/>
      <c r="U220" s="12"/>
    </row>
    <row r="221" customFormat="false" ht="46.25" hidden="false" customHeight="false" outlineLevel="0" collapsed="false">
      <c r="A221" s="7" t="s">
        <v>4915</v>
      </c>
      <c r="B221" s="14" t="s">
        <v>4907</v>
      </c>
      <c r="C221" s="7" t="s">
        <v>521</v>
      </c>
      <c r="D221" s="7" t="s">
        <v>471</v>
      </c>
      <c r="E221" s="7" t="s">
        <v>521</v>
      </c>
      <c r="F221" s="7" t="s">
        <v>4916</v>
      </c>
      <c r="G221" s="7" t="s">
        <v>3992</v>
      </c>
      <c r="H221" s="7" t="s">
        <v>943</v>
      </c>
      <c r="I221" s="7" t="s">
        <v>1424</v>
      </c>
      <c r="J221" s="8" t="s">
        <v>4917</v>
      </c>
      <c r="K221" s="8" t="s">
        <v>474</v>
      </c>
      <c r="L221" s="7" t="s">
        <v>998</v>
      </c>
      <c r="M221" s="7" t="s">
        <v>4918</v>
      </c>
      <c r="N221" s="7" t="s">
        <v>952</v>
      </c>
      <c r="O221" s="7" t="s">
        <v>4910</v>
      </c>
      <c r="P221" s="7" t="s">
        <v>1150</v>
      </c>
      <c r="Q221" s="7" t="s">
        <v>1480</v>
      </c>
      <c r="R221" s="13" t="s">
        <v>1790</v>
      </c>
      <c r="S221" s="8" t="s">
        <v>4879</v>
      </c>
      <c r="T221" s="12"/>
      <c r="U221" s="12"/>
    </row>
    <row r="222" customFormat="false" ht="35.05" hidden="false" customHeight="false" outlineLevel="0" collapsed="false">
      <c r="A222" s="7" t="s">
        <v>4919</v>
      </c>
      <c r="B222" s="14" t="s">
        <v>4920</v>
      </c>
      <c r="C222" s="7" t="s">
        <v>521</v>
      </c>
      <c r="D222" s="7" t="s">
        <v>471</v>
      </c>
      <c r="E222" s="7" t="s">
        <v>521</v>
      </c>
      <c r="F222" s="7" t="s">
        <v>4921</v>
      </c>
      <c r="G222" s="7" t="s">
        <v>3992</v>
      </c>
      <c r="H222" s="7" t="s">
        <v>928</v>
      </c>
      <c r="I222" s="7" t="s">
        <v>1148</v>
      </c>
      <c r="J222" s="8" t="s">
        <v>4922</v>
      </c>
      <c r="K222" s="8" t="s">
        <v>474</v>
      </c>
      <c r="L222" s="7" t="s">
        <v>483</v>
      </c>
      <c r="M222" s="7" t="s">
        <v>4923</v>
      </c>
      <c r="N222" s="7" t="n">
        <v>3</v>
      </c>
      <c r="O222" s="7" t="s">
        <v>522</v>
      </c>
      <c r="P222" s="7" t="s">
        <v>1150</v>
      </c>
      <c r="Q222" s="7" t="s">
        <v>1480</v>
      </c>
      <c r="R222" s="7" t="s">
        <v>1152</v>
      </c>
      <c r="S222" s="8" t="s">
        <v>3984</v>
      </c>
      <c r="T222" s="12"/>
      <c r="U222" s="12"/>
    </row>
    <row r="223" customFormat="false" ht="46.25" hidden="false" customHeight="false" outlineLevel="0" collapsed="false">
      <c r="A223" s="7" t="s">
        <v>4924</v>
      </c>
      <c r="B223" s="14" t="s">
        <v>4920</v>
      </c>
      <c r="C223" s="7" t="s">
        <v>521</v>
      </c>
      <c r="D223" s="7" t="s">
        <v>471</v>
      </c>
      <c r="E223" s="7" t="s">
        <v>521</v>
      </c>
      <c r="F223" s="7" t="s">
        <v>4925</v>
      </c>
      <c r="G223" s="7" t="s">
        <v>3992</v>
      </c>
      <c r="H223" s="7" t="s">
        <v>943</v>
      </c>
      <c r="I223" s="7" t="s">
        <v>1424</v>
      </c>
      <c r="J223" s="8" t="s">
        <v>4926</v>
      </c>
      <c r="K223" s="8" t="s">
        <v>474</v>
      </c>
      <c r="L223" s="7" t="s">
        <v>998</v>
      </c>
      <c r="M223" s="7" t="s">
        <v>4927</v>
      </c>
      <c r="N223" s="7" t="s">
        <v>952</v>
      </c>
      <c r="O223" s="7" t="s">
        <v>4923</v>
      </c>
      <c r="P223" s="7" t="s">
        <v>1150</v>
      </c>
      <c r="Q223" s="7" t="s">
        <v>1480</v>
      </c>
      <c r="R223" s="7" t="s">
        <v>1152</v>
      </c>
      <c r="S223" s="8" t="s">
        <v>4874</v>
      </c>
      <c r="T223" s="12"/>
      <c r="U223" s="12"/>
    </row>
    <row r="224" customFormat="false" ht="46.25" hidden="false" customHeight="false" outlineLevel="0" collapsed="false">
      <c r="A224" s="7" t="s">
        <v>4928</v>
      </c>
      <c r="B224" s="14" t="s">
        <v>4920</v>
      </c>
      <c r="C224" s="7" t="s">
        <v>521</v>
      </c>
      <c r="D224" s="7" t="s">
        <v>471</v>
      </c>
      <c r="E224" s="7" t="s">
        <v>521</v>
      </c>
      <c r="F224" s="7" t="s">
        <v>4929</v>
      </c>
      <c r="G224" s="7" t="s">
        <v>3992</v>
      </c>
      <c r="H224" s="7" t="s">
        <v>943</v>
      </c>
      <c r="I224" s="7" t="s">
        <v>1424</v>
      </c>
      <c r="J224" s="8" t="s">
        <v>4930</v>
      </c>
      <c r="K224" s="8" t="s">
        <v>474</v>
      </c>
      <c r="L224" s="7" t="s">
        <v>998</v>
      </c>
      <c r="M224" s="7" t="s">
        <v>4931</v>
      </c>
      <c r="N224" s="7" t="s">
        <v>952</v>
      </c>
      <c r="O224" s="7" t="s">
        <v>4923</v>
      </c>
      <c r="P224" s="7" t="s">
        <v>1150</v>
      </c>
      <c r="Q224" s="7" t="s">
        <v>1480</v>
      </c>
      <c r="R224" s="13" t="s">
        <v>1790</v>
      </c>
      <c r="S224" s="8" t="s">
        <v>4879</v>
      </c>
      <c r="T224" s="12"/>
      <c r="U224" s="12"/>
    </row>
    <row r="225" customFormat="false" ht="35.05" hidden="false" customHeight="false" outlineLevel="0" collapsed="false">
      <c r="A225" s="7" t="s">
        <v>4932</v>
      </c>
      <c r="B225" s="14" t="s">
        <v>3986</v>
      </c>
      <c r="C225" s="7" t="s">
        <v>526</v>
      </c>
      <c r="D225" s="7" t="s">
        <v>471</v>
      </c>
      <c r="E225" s="7" t="s">
        <v>864</v>
      </c>
      <c r="F225" s="7" t="s">
        <v>526</v>
      </c>
      <c r="G225" s="7" t="s">
        <v>3987</v>
      </c>
      <c r="H225" s="7" t="s">
        <v>928</v>
      </c>
      <c r="I225" s="7" t="s">
        <v>1148</v>
      </c>
      <c r="J225" s="8" t="s">
        <v>4933</v>
      </c>
      <c r="K225" s="8" t="s">
        <v>474</v>
      </c>
      <c r="L225" s="7" t="s">
        <v>478</v>
      </c>
      <c r="M225" s="7" t="s">
        <v>527</v>
      </c>
      <c r="N225" s="7" t="n">
        <v>2</v>
      </c>
      <c r="O225" s="7" t="s">
        <v>472</v>
      </c>
      <c r="P225" s="7" t="s">
        <v>1150</v>
      </c>
      <c r="Q225" s="7" t="s">
        <v>1480</v>
      </c>
      <c r="R225" s="7" t="s">
        <v>1152</v>
      </c>
      <c r="S225" s="8"/>
      <c r="T225" s="12"/>
      <c r="U225" s="12"/>
    </row>
    <row r="226" customFormat="false" ht="35.05" hidden="false" customHeight="false" outlineLevel="0" collapsed="false">
      <c r="A226" s="7" t="s">
        <v>4934</v>
      </c>
      <c r="B226" s="14" t="s">
        <v>4935</v>
      </c>
      <c r="C226" s="7" t="s">
        <v>526</v>
      </c>
      <c r="D226" s="7" t="s">
        <v>471</v>
      </c>
      <c r="E226" s="7" t="s">
        <v>526</v>
      </c>
      <c r="F226" s="7" t="s">
        <v>4936</v>
      </c>
      <c r="G226" s="7" t="s">
        <v>3992</v>
      </c>
      <c r="H226" s="7" t="s">
        <v>928</v>
      </c>
      <c r="I226" s="7" t="s">
        <v>1148</v>
      </c>
      <c r="J226" s="8" t="s">
        <v>4937</v>
      </c>
      <c r="K226" s="8" t="s">
        <v>474</v>
      </c>
      <c r="L226" s="7" t="s">
        <v>483</v>
      </c>
      <c r="M226" s="7" t="s">
        <v>4938</v>
      </c>
      <c r="N226" s="7" t="n">
        <v>3</v>
      </c>
      <c r="O226" s="7" t="s">
        <v>527</v>
      </c>
      <c r="P226" s="7" t="s">
        <v>1150</v>
      </c>
      <c r="Q226" s="7" t="s">
        <v>1480</v>
      </c>
      <c r="R226" s="7" t="s">
        <v>1152</v>
      </c>
      <c r="S226" s="8" t="s">
        <v>3984</v>
      </c>
      <c r="T226" s="12"/>
      <c r="U226" s="12"/>
    </row>
    <row r="227" customFormat="false" ht="46.25" hidden="false" customHeight="false" outlineLevel="0" collapsed="false">
      <c r="A227" s="7" t="s">
        <v>4939</v>
      </c>
      <c r="B227" s="14" t="s">
        <v>4935</v>
      </c>
      <c r="C227" s="7" t="s">
        <v>526</v>
      </c>
      <c r="D227" s="7" t="s">
        <v>471</v>
      </c>
      <c r="E227" s="7" t="s">
        <v>526</v>
      </c>
      <c r="F227" s="7" t="s">
        <v>4940</v>
      </c>
      <c r="G227" s="7" t="s">
        <v>3992</v>
      </c>
      <c r="H227" s="7" t="s">
        <v>928</v>
      </c>
      <c r="I227" s="7" t="s">
        <v>1148</v>
      </c>
      <c r="J227" s="8" t="s">
        <v>4941</v>
      </c>
      <c r="K227" s="8" t="s">
        <v>474</v>
      </c>
      <c r="L227" s="7" t="s">
        <v>998</v>
      </c>
      <c r="M227" s="7" t="s">
        <v>4942</v>
      </c>
      <c r="N227" s="7" t="s">
        <v>952</v>
      </c>
      <c r="O227" s="7" t="s">
        <v>4938</v>
      </c>
      <c r="P227" s="7" t="s">
        <v>1150</v>
      </c>
      <c r="Q227" s="7" t="s">
        <v>1480</v>
      </c>
      <c r="R227" s="7" t="s">
        <v>1152</v>
      </c>
      <c r="S227" s="8" t="s">
        <v>4943</v>
      </c>
      <c r="T227" s="12"/>
      <c r="U227" s="12"/>
    </row>
    <row r="228" customFormat="false" ht="46.25" hidden="false" customHeight="false" outlineLevel="0" collapsed="false">
      <c r="A228" s="7" t="s">
        <v>4944</v>
      </c>
      <c r="B228" s="14" t="s">
        <v>4935</v>
      </c>
      <c r="C228" s="7" t="s">
        <v>526</v>
      </c>
      <c r="D228" s="7" t="s">
        <v>471</v>
      </c>
      <c r="E228" s="7" t="s">
        <v>526</v>
      </c>
      <c r="F228" s="7" t="s">
        <v>4945</v>
      </c>
      <c r="G228" s="7" t="s">
        <v>3992</v>
      </c>
      <c r="H228" s="7" t="s">
        <v>928</v>
      </c>
      <c r="I228" s="7" t="s">
        <v>1148</v>
      </c>
      <c r="J228" s="8" t="s">
        <v>4946</v>
      </c>
      <c r="K228" s="8" t="s">
        <v>474</v>
      </c>
      <c r="L228" s="7" t="s">
        <v>998</v>
      </c>
      <c r="M228" s="7" t="s">
        <v>4947</v>
      </c>
      <c r="N228" s="7" t="s">
        <v>952</v>
      </c>
      <c r="O228" s="7" t="s">
        <v>4938</v>
      </c>
      <c r="P228" s="7" t="s">
        <v>1150</v>
      </c>
      <c r="Q228" s="7" t="s">
        <v>1480</v>
      </c>
      <c r="R228" s="7" t="s">
        <v>1152</v>
      </c>
      <c r="S228" s="8" t="s">
        <v>4948</v>
      </c>
      <c r="T228" s="12"/>
      <c r="U228" s="12"/>
    </row>
    <row r="229" customFormat="false" ht="35.05" hidden="false" customHeight="false" outlineLevel="0" collapsed="false">
      <c r="A229" s="7" t="s">
        <v>4949</v>
      </c>
      <c r="B229" s="14" t="s">
        <v>4950</v>
      </c>
      <c r="C229" s="7" t="s">
        <v>526</v>
      </c>
      <c r="D229" s="7" t="s">
        <v>471</v>
      </c>
      <c r="E229" s="7" t="s">
        <v>526</v>
      </c>
      <c r="F229" s="7" t="s">
        <v>4951</v>
      </c>
      <c r="G229" s="7" t="s">
        <v>3992</v>
      </c>
      <c r="H229" s="7" t="s">
        <v>928</v>
      </c>
      <c r="I229" s="7" t="s">
        <v>1148</v>
      </c>
      <c r="J229" s="8" t="s">
        <v>4952</v>
      </c>
      <c r="K229" s="8" t="s">
        <v>474</v>
      </c>
      <c r="L229" s="7" t="s">
        <v>483</v>
      </c>
      <c r="M229" s="7" t="s">
        <v>4953</v>
      </c>
      <c r="N229" s="7" t="n">
        <v>3</v>
      </c>
      <c r="O229" s="7" t="s">
        <v>527</v>
      </c>
      <c r="P229" s="7" t="s">
        <v>1150</v>
      </c>
      <c r="Q229" s="7" t="s">
        <v>1480</v>
      </c>
      <c r="R229" s="7" t="s">
        <v>1152</v>
      </c>
      <c r="S229" s="8" t="s">
        <v>3984</v>
      </c>
      <c r="T229" s="12"/>
      <c r="U229" s="12"/>
    </row>
    <row r="230" customFormat="false" ht="46.25" hidden="false" customHeight="false" outlineLevel="0" collapsed="false">
      <c r="A230" s="7" t="s">
        <v>4954</v>
      </c>
      <c r="B230" s="14" t="s">
        <v>4950</v>
      </c>
      <c r="C230" s="7" t="s">
        <v>526</v>
      </c>
      <c r="D230" s="7" t="s">
        <v>471</v>
      </c>
      <c r="E230" s="7" t="s">
        <v>526</v>
      </c>
      <c r="F230" s="7" t="s">
        <v>4955</v>
      </c>
      <c r="G230" s="7" t="s">
        <v>3992</v>
      </c>
      <c r="H230" s="7" t="s">
        <v>928</v>
      </c>
      <c r="I230" s="7" t="s">
        <v>1148</v>
      </c>
      <c r="J230" s="8" t="s">
        <v>4956</v>
      </c>
      <c r="K230" s="8" t="s">
        <v>474</v>
      </c>
      <c r="L230" s="7" t="s">
        <v>998</v>
      </c>
      <c r="M230" s="7" t="s">
        <v>4957</v>
      </c>
      <c r="N230" s="7" t="s">
        <v>952</v>
      </c>
      <c r="O230" s="7" t="s">
        <v>4953</v>
      </c>
      <c r="P230" s="7" t="s">
        <v>1150</v>
      </c>
      <c r="Q230" s="7" t="s">
        <v>1480</v>
      </c>
      <c r="R230" s="7" t="s">
        <v>1152</v>
      </c>
      <c r="S230" s="8" t="s">
        <v>4943</v>
      </c>
      <c r="T230" s="12"/>
      <c r="U230" s="12"/>
    </row>
    <row r="231" customFormat="false" ht="46.25" hidden="false" customHeight="false" outlineLevel="0" collapsed="false">
      <c r="A231" s="7" t="s">
        <v>4958</v>
      </c>
      <c r="B231" s="14" t="s">
        <v>4950</v>
      </c>
      <c r="C231" s="7" t="s">
        <v>526</v>
      </c>
      <c r="D231" s="7" t="s">
        <v>471</v>
      </c>
      <c r="E231" s="7" t="s">
        <v>526</v>
      </c>
      <c r="F231" s="7" t="s">
        <v>4959</v>
      </c>
      <c r="G231" s="7" t="s">
        <v>3992</v>
      </c>
      <c r="H231" s="7" t="s">
        <v>928</v>
      </c>
      <c r="I231" s="7" t="s">
        <v>1148</v>
      </c>
      <c r="J231" s="8" t="s">
        <v>4960</v>
      </c>
      <c r="K231" s="8" t="s">
        <v>474</v>
      </c>
      <c r="L231" s="7" t="s">
        <v>998</v>
      </c>
      <c r="M231" s="7" t="s">
        <v>4961</v>
      </c>
      <c r="N231" s="7" t="s">
        <v>952</v>
      </c>
      <c r="O231" s="7" t="s">
        <v>4953</v>
      </c>
      <c r="P231" s="7" t="s">
        <v>1150</v>
      </c>
      <c r="Q231" s="7" t="s">
        <v>1480</v>
      </c>
      <c r="R231" s="7" t="s">
        <v>1152</v>
      </c>
      <c r="S231" s="8" t="s">
        <v>4948</v>
      </c>
      <c r="T231" s="12"/>
      <c r="U231" s="12"/>
    </row>
    <row r="232" customFormat="false" ht="35.05" hidden="false" customHeight="false" outlineLevel="0" collapsed="false">
      <c r="A232" s="7" t="s">
        <v>4962</v>
      </c>
      <c r="B232" s="14" t="s">
        <v>4963</v>
      </c>
      <c r="C232" s="7" t="s">
        <v>526</v>
      </c>
      <c r="D232" s="7" t="s">
        <v>471</v>
      </c>
      <c r="E232" s="7" t="s">
        <v>526</v>
      </c>
      <c r="F232" s="7" t="s">
        <v>4964</v>
      </c>
      <c r="G232" s="7" t="s">
        <v>3992</v>
      </c>
      <c r="H232" s="7" t="s">
        <v>928</v>
      </c>
      <c r="I232" s="7" t="s">
        <v>1148</v>
      </c>
      <c r="J232" s="8" t="s">
        <v>4965</v>
      </c>
      <c r="K232" s="8" t="s">
        <v>474</v>
      </c>
      <c r="L232" s="7" t="s">
        <v>483</v>
      </c>
      <c r="M232" s="7" t="s">
        <v>4966</v>
      </c>
      <c r="N232" s="7" t="n">
        <v>3</v>
      </c>
      <c r="O232" s="7" t="s">
        <v>527</v>
      </c>
      <c r="P232" s="7" t="s">
        <v>1150</v>
      </c>
      <c r="Q232" s="7" t="s">
        <v>1480</v>
      </c>
      <c r="R232" s="7" t="s">
        <v>1152</v>
      </c>
      <c r="S232" s="8" t="s">
        <v>3984</v>
      </c>
      <c r="T232" s="12"/>
      <c r="U232" s="12"/>
    </row>
    <row r="233" customFormat="false" ht="46.25" hidden="false" customHeight="false" outlineLevel="0" collapsed="false">
      <c r="A233" s="7" t="s">
        <v>4967</v>
      </c>
      <c r="B233" s="14" t="s">
        <v>4963</v>
      </c>
      <c r="C233" s="7" t="s">
        <v>526</v>
      </c>
      <c r="D233" s="7" t="s">
        <v>471</v>
      </c>
      <c r="E233" s="7" t="s">
        <v>526</v>
      </c>
      <c r="F233" s="7" t="s">
        <v>4968</v>
      </c>
      <c r="G233" s="7" t="s">
        <v>3992</v>
      </c>
      <c r="H233" s="7" t="s">
        <v>928</v>
      </c>
      <c r="I233" s="7" t="s">
        <v>1148</v>
      </c>
      <c r="J233" s="8" t="s">
        <v>4969</v>
      </c>
      <c r="K233" s="8" t="s">
        <v>474</v>
      </c>
      <c r="L233" s="7" t="s">
        <v>998</v>
      </c>
      <c r="M233" s="7" t="s">
        <v>4970</v>
      </c>
      <c r="N233" s="7" t="s">
        <v>952</v>
      </c>
      <c r="O233" s="7" t="s">
        <v>4966</v>
      </c>
      <c r="P233" s="7" t="s">
        <v>1150</v>
      </c>
      <c r="Q233" s="7" t="s">
        <v>1480</v>
      </c>
      <c r="R233" s="7" t="s">
        <v>1152</v>
      </c>
      <c r="S233" s="8" t="s">
        <v>4943</v>
      </c>
      <c r="T233" s="12"/>
      <c r="U233" s="12"/>
    </row>
    <row r="234" customFormat="false" ht="46.25" hidden="false" customHeight="false" outlineLevel="0" collapsed="false">
      <c r="A234" s="7" t="s">
        <v>4971</v>
      </c>
      <c r="B234" s="14" t="s">
        <v>4963</v>
      </c>
      <c r="C234" s="7" t="s">
        <v>526</v>
      </c>
      <c r="D234" s="7" t="s">
        <v>471</v>
      </c>
      <c r="E234" s="7" t="s">
        <v>526</v>
      </c>
      <c r="F234" s="7" t="s">
        <v>4972</v>
      </c>
      <c r="G234" s="7" t="s">
        <v>3992</v>
      </c>
      <c r="H234" s="7" t="s">
        <v>928</v>
      </c>
      <c r="I234" s="7" t="s">
        <v>1148</v>
      </c>
      <c r="J234" s="8" t="s">
        <v>4973</v>
      </c>
      <c r="K234" s="8" t="s">
        <v>474</v>
      </c>
      <c r="L234" s="7" t="s">
        <v>998</v>
      </c>
      <c r="M234" s="7" t="s">
        <v>4974</v>
      </c>
      <c r="N234" s="7" t="s">
        <v>952</v>
      </c>
      <c r="O234" s="7" t="s">
        <v>4966</v>
      </c>
      <c r="P234" s="7" t="s">
        <v>1150</v>
      </c>
      <c r="Q234" s="7" t="s">
        <v>1480</v>
      </c>
      <c r="R234" s="7" t="s">
        <v>1152</v>
      </c>
      <c r="S234" s="8" t="s">
        <v>4948</v>
      </c>
      <c r="T234" s="12"/>
      <c r="U234" s="12"/>
    </row>
    <row r="235" customFormat="false" ht="35.05" hidden="false" customHeight="false" outlineLevel="0" collapsed="false">
      <c r="A235" s="7" t="s">
        <v>4975</v>
      </c>
      <c r="B235" s="14" t="s">
        <v>3986</v>
      </c>
      <c r="C235" s="7" t="s">
        <v>531</v>
      </c>
      <c r="D235" s="7" t="s">
        <v>471</v>
      </c>
      <c r="E235" s="7" t="s">
        <v>864</v>
      </c>
      <c r="F235" s="7" t="s">
        <v>531</v>
      </c>
      <c r="G235" s="7" t="s">
        <v>3987</v>
      </c>
      <c r="H235" s="7" t="s">
        <v>928</v>
      </c>
      <c r="I235" s="7" t="s">
        <v>1148</v>
      </c>
      <c r="J235" s="8" t="s">
        <v>4976</v>
      </c>
      <c r="K235" s="8" t="s">
        <v>474</v>
      </c>
      <c r="L235" s="7" t="s">
        <v>478</v>
      </c>
      <c r="M235" s="7" t="s">
        <v>532</v>
      </c>
      <c r="N235" s="7" t="n">
        <v>2</v>
      </c>
      <c r="O235" s="7" t="s">
        <v>472</v>
      </c>
      <c r="P235" s="7" t="s">
        <v>1150</v>
      </c>
      <c r="Q235" s="7" t="s">
        <v>1480</v>
      </c>
      <c r="R235" s="7" t="s">
        <v>1152</v>
      </c>
      <c r="S235" s="8"/>
      <c r="T235" s="12"/>
      <c r="U235" s="12"/>
    </row>
    <row r="236" customFormat="false" ht="35.05" hidden="false" customHeight="false" outlineLevel="0" collapsed="false">
      <c r="A236" s="7" t="s">
        <v>4977</v>
      </c>
      <c r="B236" s="14" t="s">
        <v>4978</v>
      </c>
      <c r="C236" s="7" t="s">
        <v>531</v>
      </c>
      <c r="D236" s="7" t="s">
        <v>471</v>
      </c>
      <c r="E236" s="7" t="s">
        <v>531</v>
      </c>
      <c r="F236" s="7" t="s">
        <v>4979</v>
      </c>
      <c r="G236" s="7" t="s">
        <v>3992</v>
      </c>
      <c r="H236" s="7" t="s">
        <v>928</v>
      </c>
      <c r="I236" s="7" t="s">
        <v>1148</v>
      </c>
      <c r="J236" s="8" t="s">
        <v>4980</v>
      </c>
      <c r="K236" s="8" t="s">
        <v>474</v>
      </c>
      <c r="L236" s="7" t="s">
        <v>483</v>
      </c>
      <c r="M236" s="7" t="s">
        <v>4981</v>
      </c>
      <c r="N236" s="7" t="n">
        <v>3</v>
      </c>
      <c r="O236" s="7" t="s">
        <v>532</v>
      </c>
      <c r="P236" s="7" t="s">
        <v>1150</v>
      </c>
      <c r="Q236" s="7" t="s">
        <v>1480</v>
      </c>
      <c r="R236" s="7" t="s">
        <v>1152</v>
      </c>
      <c r="S236" s="8" t="s">
        <v>3984</v>
      </c>
      <c r="T236" s="12"/>
      <c r="U236" s="12"/>
    </row>
    <row r="237" customFormat="false" ht="46.25" hidden="false" customHeight="false" outlineLevel="0" collapsed="false">
      <c r="A237" s="7" t="s">
        <v>4982</v>
      </c>
      <c r="B237" s="14" t="s">
        <v>4978</v>
      </c>
      <c r="C237" s="7" t="s">
        <v>531</v>
      </c>
      <c r="D237" s="7" t="s">
        <v>471</v>
      </c>
      <c r="E237" s="7" t="s">
        <v>531</v>
      </c>
      <c r="F237" s="7" t="s">
        <v>4983</v>
      </c>
      <c r="G237" s="7" t="s">
        <v>3992</v>
      </c>
      <c r="H237" s="7" t="s">
        <v>943</v>
      </c>
      <c r="I237" s="7" t="s">
        <v>1424</v>
      </c>
      <c r="J237" s="8" t="s">
        <v>4984</v>
      </c>
      <c r="K237" s="8" t="s">
        <v>474</v>
      </c>
      <c r="L237" s="7" t="s">
        <v>998</v>
      </c>
      <c r="M237" s="7" t="s">
        <v>4985</v>
      </c>
      <c r="N237" s="7" t="s">
        <v>952</v>
      </c>
      <c r="O237" s="7" t="s">
        <v>4981</v>
      </c>
      <c r="P237" s="7" t="s">
        <v>1150</v>
      </c>
      <c r="Q237" s="7" t="s">
        <v>1480</v>
      </c>
      <c r="R237" s="7" t="s">
        <v>1152</v>
      </c>
      <c r="S237" s="8" t="s">
        <v>4986</v>
      </c>
      <c r="T237" s="12"/>
      <c r="U237" s="12"/>
    </row>
    <row r="238" customFormat="false" ht="46.25" hidden="false" customHeight="false" outlineLevel="0" collapsed="false">
      <c r="A238" s="7" t="s">
        <v>4987</v>
      </c>
      <c r="B238" s="14" t="s">
        <v>4978</v>
      </c>
      <c r="C238" s="7" t="s">
        <v>531</v>
      </c>
      <c r="D238" s="7" t="s">
        <v>471</v>
      </c>
      <c r="E238" s="7" t="s">
        <v>531</v>
      </c>
      <c r="F238" s="7" t="s">
        <v>4988</v>
      </c>
      <c r="G238" s="7" t="s">
        <v>3992</v>
      </c>
      <c r="H238" s="7" t="s">
        <v>928</v>
      </c>
      <c r="I238" s="7" t="s">
        <v>1148</v>
      </c>
      <c r="J238" s="8" t="s">
        <v>4989</v>
      </c>
      <c r="K238" s="8" t="s">
        <v>474</v>
      </c>
      <c r="L238" s="7" t="s">
        <v>998</v>
      </c>
      <c r="M238" s="7" t="s">
        <v>4990</v>
      </c>
      <c r="N238" s="7" t="s">
        <v>952</v>
      </c>
      <c r="O238" s="7" t="s">
        <v>4981</v>
      </c>
      <c r="P238" s="7" t="s">
        <v>1150</v>
      </c>
      <c r="Q238" s="7" t="s">
        <v>1480</v>
      </c>
      <c r="R238" s="7" t="s">
        <v>1152</v>
      </c>
      <c r="S238" s="8" t="s">
        <v>4991</v>
      </c>
      <c r="T238" s="12"/>
      <c r="U238" s="12"/>
    </row>
    <row r="239" customFormat="false" ht="46.25" hidden="false" customHeight="false" outlineLevel="0" collapsed="false">
      <c r="A239" s="7" t="s">
        <v>4992</v>
      </c>
      <c r="B239" s="14" t="s">
        <v>4978</v>
      </c>
      <c r="C239" s="7" t="s">
        <v>531</v>
      </c>
      <c r="D239" s="7" t="s">
        <v>471</v>
      </c>
      <c r="E239" s="7" t="s">
        <v>531</v>
      </c>
      <c r="F239" s="7" t="s">
        <v>4993</v>
      </c>
      <c r="G239" s="7" t="s">
        <v>3992</v>
      </c>
      <c r="H239" s="7" t="s">
        <v>943</v>
      </c>
      <c r="I239" s="7" t="s">
        <v>1424</v>
      </c>
      <c r="J239" s="8" t="s">
        <v>4994</v>
      </c>
      <c r="K239" s="8" t="s">
        <v>474</v>
      </c>
      <c r="L239" s="7" t="s">
        <v>998</v>
      </c>
      <c r="M239" s="7" t="s">
        <v>4995</v>
      </c>
      <c r="N239" s="7" t="s">
        <v>952</v>
      </c>
      <c r="O239" s="7" t="s">
        <v>4981</v>
      </c>
      <c r="P239" s="7" t="s">
        <v>1150</v>
      </c>
      <c r="Q239" s="7" t="s">
        <v>1480</v>
      </c>
      <c r="R239" s="7" t="s">
        <v>1152</v>
      </c>
      <c r="S239" s="8" t="s">
        <v>4996</v>
      </c>
      <c r="T239" s="12"/>
      <c r="U239" s="12"/>
    </row>
    <row r="240" customFormat="false" ht="35.05" hidden="false" customHeight="false" outlineLevel="0" collapsed="false">
      <c r="A240" s="7" t="s">
        <v>4997</v>
      </c>
      <c r="B240" s="14" t="s">
        <v>4998</v>
      </c>
      <c r="C240" s="7" t="s">
        <v>531</v>
      </c>
      <c r="D240" s="7" t="s">
        <v>471</v>
      </c>
      <c r="E240" s="7" t="s">
        <v>531</v>
      </c>
      <c r="F240" s="7" t="s">
        <v>4999</v>
      </c>
      <c r="G240" s="7" t="s">
        <v>3992</v>
      </c>
      <c r="H240" s="7" t="s">
        <v>928</v>
      </c>
      <c r="I240" s="7" t="s">
        <v>1148</v>
      </c>
      <c r="J240" s="8" t="s">
        <v>5000</v>
      </c>
      <c r="K240" s="8" t="s">
        <v>474</v>
      </c>
      <c r="L240" s="7" t="s">
        <v>483</v>
      </c>
      <c r="M240" s="7" t="s">
        <v>5001</v>
      </c>
      <c r="N240" s="7" t="n">
        <v>3</v>
      </c>
      <c r="O240" s="7" t="s">
        <v>532</v>
      </c>
      <c r="P240" s="7" t="s">
        <v>1150</v>
      </c>
      <c r="Q240" s="7" t="s">
        <v>1480</v>
      </c>
      <c r="R240" s="7" t="s">
        <v>1152</v>
      </c>
      <c r="S240" s="8" t="s">
        <v>3984</v>
      </c>
      <c r="T240" s="12"/>
      <c r="U240" s="12"/>
    </row>
    <row r="241" customFormat="false" ht="46.25" hidden="false" customHeight="false" outlineLevel="0" collapsed="false">
      <c r="A241" s="7" t="s">
        <v>5002</v>
      </c>
      <c r="B241" s="14" t="s">
        <v>4998</v>
      </c>
      <c r="C241" s="7" t="s">
        <v>531</v>
      </c>
      <c r="D241" s="7" t="s">
        <v>471</v>
      </c>
      <c r="E241" s="7" t="s">
        <v>531</v>
      </c>
      <c r="F241" s="7" t="s">
        <v>5003</v>
      </c>
      <c r="G241" s="7" t="s">
        <v>3992</v>
      </c>
      <c r="H241" s="7" t="s">
        <v>943</v>
      </c>
      <c r="I241" s="7" t="s">
        <v>1424</v>
      </c>
      <c r="J241" s="8" t="s">
        <v>5004</v>
      </c>
      <c r="K241" s="8" t="s">
        <v>474</v>
      </c>
      <c r="L241" s="7" t="s">
        <v>998</v>
      </c>
      <c r="M241" s="7" t="s">
        <v>5005</v>
      </c>
      <c r="N241" s="7" t="s">
        <v>952</v>
      </c>
      <c r="O241" s="7" t="s">
        <v>5001</v>
      </c>
      <c r="P241" s="7" t="s">
        <v>1150</v>
      </c>
      <c r="Q241" s="7" t="s">
        <v>1480</v>
      </c>
      <c r="R241" s="7" t="s">
        <v>1152</v>
      </c>
      <c r="S241" s="8" t="s">
        <v>4986</v>
      </c>
      <c r="T241" s="12"/>
      <c r="U241" s="12"/>
    </row>
    <row r="242" customFormat="false" ht="46.25" hidden="false" customHeight="false" outlineLevel="0" collapsed="false">
      <c r="A242" s="7" t="s">
        <v>5006</v>
      </c>
      <c r="B242" s="14" t="s">
        <v>4998</v>
      </c>
      <c r="C242" s="7" t="s">
        <v>531</v>
      </c>
      <c r="D242" s="7" t="s">
        <v>471</v>
      </c>
      <c r="E242" s="7" t="s">
        <v>531</v>
      </c>
      <c r="F242" s="7" t="s">
        <v>5007</v>
      </c>
      <c r="G242" s="7" t="s">
        <v>3992</v>
      </c>
      <c r="H242" s="7" t="s">
        <v>928</v>
      </c>
      <c r="I242" s="7" t="s">
        <v>1148</v>
      </c>
      <c r="J242" s="8" t="s">
        <v>5008</v>
      </c>
      <c r="K242" s="8" t="s">
        <v>474</v>
      </c>
      <c r="L242" s="7" t="s">
        <v>998</v>
      </c>
      <c r="M242" s="7" t="s">
        <v>5009</v>
      </c>
      <c r="N242" s="7" t="s">
        <v>952</v>
      </c>
      <c r="O242" s="7" t="s">
        <v>5001</v>
      </c>
      <c r="P242" s="7" t="s">
        <v>1150</v>
      </c>
      <c r="Q242" s="7" t="s">
        <v>1480</v>
      </c>
      <c r="R242" s="7" t="s">
        <v>1152</v>
      </c>
      <c r="S242" s="8" t="s">
        <v>4991</v>
      </c>
      <c r="T242" s="12"/>
      <c r="U242" s="12"/>
    </row>
    <row r="243" customFormat="false" ht="46.25" hidden="false" customHeight="false" outlineLevel="0" collapsed="false">
      <c r="A243" s="7" t="s">
        <v>5010</v>
      </c>
      <c r="B243" s="14" t="s">
        <v>4998</v>
      </c>
      <c r="C243" s="7" t="s">
        <v>531</v>
      </c>
      <c r="D243" s="7" t="s">
        <v>471</v>
      </c>
      <c r="E243" s="7" t="s">
        <v>531</v>
      </c>
      <c r="F243" s="7" t="s">
        <v>5011</v>
      </c>
      <c r="G243" s="7" t="s">
        <v>3992</v>
      </c>
      <c r="H243" s="7" t="s">
        <v>943</v>
      </c>
      <c r="I243" s="7" t="s">
        <v>1424</v>
      </c>
      <c r="J243" s="8" t="s">
        <v>5012</v>
      </c>
      <c r="K243" s="8" t="s">
        <v>474</v>
      </c>
      <c r="L243" s="7" t="s">
        <v>998</v>
      </c>
      <c r="M243" s="7" t="s">
        <v>5013</v>
      </c>
      <c r="N243" s="7" t="s">
        <v>952</v>
      </c>
      <c r="O243" s="7" t="s">
        <v>5001</v>
      </c>
      <c r="P243" s="7" t="s">
        <v>1150</v>
      </c>
      <c r="Q243" s="7" t="s">
        <v>1480</v>
      </c>
      <c r="R243" s="7" t="s">
        <v>1152</v>
      </c>
      <c r="S243" s="8" t="s">
        <v>4996</v>
      </c>
      <c r="T243" s="12"/>
      <c r="U243" s="12"/>
    </row>
    <row r="244" customFormat="false" ht="35.05" hidden="false" customHeight="false" outlineLevel="0" collapsed="false">
      <c r="A244" s="7" t="s">
        <v>5014</v>
      </c>
      <c r="B244" s="14" t="s">
        <v>5015</v>
      </c>
      <c r="C244" s="7" t="s">
        <v>531</v>
      </c>
      <c r="D244" s="7" t="s">
        <v>471</v>
      </c>
      <c r="E244" s="7" t="s">
        <v>531</v>
      </c>
      <c r="F244" s="7" t="s">
        <v>5016</v>
      </c>
      <c r="G244" s="7" t="s">
        <v>3992</v>
      </c>
      <c r="H244" s="7" t="s">
        <v>928</v>
      </c>
      <c r="I244" s="7" t="s">
        <v>1148</v>
      </c>
      <c r="J244" s="8" t="s">
        <v>5017</v>
      </c>
      <c r="K244" s="8" t="s">
        <v>474</v>
      </c>
      <c r="L244" s="7" t="s">
        <v>483</v>
      </c>
      <c r="M244" s="7" t="s">
        <v>5018</v>
      </c>
      <c r="N244" s="7" t="n">
        <v>3</v>
      </c>
      <c r="O244" s="7" t="s">
        <v>532</v>
      </c>
      <c r="P244" s="7" t="s">
        <v>1150</v>
      </c>
      <c r="Q244" s="7" t="s">
        <v>1480</v>
      </c>
      <c r="R244" s="7" t="s">
        <v>1152</v>
      </c>
      <c r="S244" s="8" t="s">
        <v>3984</v>
      </c>
      <c r="T244" s="12"/>
      <c r="U244" s="12"/>
    </row>
    <row r="245" customFormat="false" ht="46.25" hidden="false" customHeight="false" outlineLevel="0" collapsed="false">
      <c r="A245" s="7" t="s">
        <v>5019</v>
      </c>
      <c r="B245" s="14" t="s">
        <v>5015</v>
      </c>
      <c r="C245" s="7" t="s">
        <v>531</v>
      </c>
      <c r="D245" s="7" t="s">
        <v>471</v>
      </c>
      <c r="E245" s="7" t="s">
        <v>531</v>
      </c>
      <c r="F245" s="7" t="s">
        <v>5020</v>
      </c>
      <c r="G245" s="7" t="s">
        <v>3992</v>
      </c>
      <c r="H245" s="7" t="s">
        <v>943</v>
      </c>
      <c r="I245" s="7" t="s">
        <v>1424</v>
      </c>
      <c r="J245" s="8" t="s">
        <v>5021</v>
      </c>
      <c r="K245" s="8" t="s">
        <v>474</v>
      </c>
      <c r="L245" s="7" t="s">
        <v>998</v>
      </c>
      <c r="M245" s="7" t="s">
        <v>5022</v>
      </c>
      <c r="N245" s="7" t="s">
        <v>952</v>
      </c>
      <c r="O245" s="7" t="s">
        <v>5018</v>
      </c>
      <c r="P245" s="7" t="s">
        <v>1150</v>
      </c>
      <c r="Q245" s="7" t="s">
        <v>1480</v>
      </c>
      <c r="R245" s="7" t="s">
        <v>1152</v>
      </c>
      <c r="S245" s="8" t="s">
        <v>4986</v>
      </c>
      <c r="T245" s="12"/>
      <c r="U245" s="12"/>
    </row>
    <row r="246" customFormat="false" ht="46.25" hidden="false" customHeight="false" outlineLevel="0" collapsed="false">
      <c r="A246" s="7" t="s">
        <v>5023</v>
      </c>
      <c r="B246" s="14" t="s">
        <v>5015</v>
      </c>
      <c r="C246" s="7" t="s">
        <v>531</v>
      </c>
      <c r="D246" s="7" t="s">
        <v>471</v>
      </c>
      <c r="E246" s="7" t="s">
        <v>531</v>
      </c>
      <c r="F246" s="7" t="s">
        <v>5024</v>
      </c>
      <c r="G246" s="7" t="s">
        <v>3992</v>
      </c>
      <c r="H246" s="7" t="s">
        <v>928</v>
      </c>
      <c r="I246" s="7" t="s">
        <v>1148</v>
      </c>
      <c r="J246" s="8" t="s">
        <v>5025</v>
      </c>
      <c r="K246" s="8" t="s">
        <v>474</v>
      </c>
      <c r="L246" s="7" t="s">
        <v>998</v>
      </c>
      <c r="M246" s="7" t="s">
        <v>5026</v>
      </c>
      <c r="N246" s="7" t="s">
        <v>952</v>
      </c>
      <c r="O246" s="7" t="s">
        <v>5018</v>
      </c>
      <c r="P246" s="7" t="s">
        <v>1150</v>
      </c>
      <c r="Q246" s="7" t="s">
        <v>1480</v>
      </c>
      <c r="R246" s="7" t="s">
        <v>1152</v>
      </c>
      <c r="S246" s="8" t="s">
        <v>4991</v>
      </c>
      <c r="T246" s="12"/>
      <c r="U246" s="12"/>
    </row>
    <row r="247" customFormat="false" ht="46.25" hidden="false" customHeight="false" outlineLevel="0" collapsed="false">
      <c r="A247" s="7" t="s">
        <v>5027</v>
      </c>
      <c r="B247" s="14" t="s">
        <v>5015</v>
      </c>
      <c r="C247" s="7" t="s">
        <v>531</v>
      </c>
      <c r="D247" s="7" t="s">
        <v>471</v>
      </c>
      <c r="E247" s="7" t="s">
        <v>531</v>
      </c>
      <c r="F247" s="7" t="s">
        <v>5028</v>
      </c>
      <c r="G247" s="7" t="s">
        <v>3992</v>
      </c>
      <c r="H247" s="7" t="s">
        <v>943</v>
      </c>
      <c r="I247" s="7" t="s">
        <v>1424</v>
      </c>
      <c r="J247" s="8" t="s">
        <v>5029</v>
      </c>
      <c r="K247" s="8" t="s">
        <v>474</v>
      </c>
      <c r="L247" s="7" t="s">
        <v>998</v>
      </c>
      <c r="M247" s="7" t="s">
        <v>5030</v>
      </c>
      <c r="N247" s="7" t="s">
        <v>952</v>
      </c>
      <c r="O247" s="7" t="s">
        <v>5018</v>
      </c>
      <c r="P247" s="7" t="s">
        <v>1150</v>
      </c>
      <c r="Q247" s="7" t="s">
        <v>1480</v>
      </c>
      <c r="R247" s="7" t="s">
        <v>1152</v>
      </c>
      <c r="S247" s="8" t="s">
        <v>4996</v>
      </c>
      <c r="T247" s="12"/>
      <c r="U247" s="12"/>
    </row>
    <row r="248" customFormat="false" ht="35.05" hidden="false" customHeight="false" outlineLevel="0" collapsed="false">
      <c r="A248" s="7" t="s">
        <v>5031</v>
      </c>
      <c r="B248" s="14" t="s">
        <v>3986</v>
      </c>
      <c r="C248" s="7" t="s">
        <v>536</v>
      </c>
      <c r="D248" s="7" t="s">
        <v>471</v>
      </c>
      <c r="E248" s="7" t="s">
        <v>864</v>
      </c>
      <c r="F248" s="7" t="s">
        <v>536</v>
      </c>
      <c r="G248" s="7" t="s">
        <v>3987</v>
      </c>
      <c r="H248" s="7" t="s">
        <v>928</v>
      </c>
      <c r="I248" s="7" t="s">
        <v>1148</v>
      </c>
      <c r="J248" s="8" t="s">
        <v>5032</v>
      </c>
      <c r="K248" s="8" t="s">
        <v>474</v>
      </c>
      <c r="L248" s="7" t="s">
        <v>478</v>
      </c>
      <c r="M248" s="7" t="s">
        <v>537</v>
      </c>
      <c r="N248" s="7" t="n">
        <v>2</v>
      </c>
      <c r="O248" s="7" t="s">
        <v>472</v>
      </c>
      <c r="P248" s="7" t="s">
        <v>1150</v>
      </c>
      <c r="Q248" s="7" t="s">
        <v>1480</v>
      </c>
      <c r="R248" s="7" t="s">
        <v>1152</v>
      </c>
      <c r="S248" s="8"/>
      <c r="T248" s="12"/>
      <c r="U248" s="12"/>
    </row>
    <row r="249" customFormat="false" ht="35.05" hidden="false" customHeight="false" outlineLevel="0" collapsed="false">
      <c r="A249" s="7" t="s">
        <v>5033</v>
      </c>
      <c r="B249" s="14" t="s">
        <v>5034</v>
      </c>
      <c r="C249" s="7" t="s">
        <v>536</v>
      </c>
      <c r="D249" s="7" t="s">
        <v>471</v>
      </c>
      <c r="E249" s="7" t="s">
        <v>536</v>
      </c>
      <c r="F249" s="7" t="s">
        <v>5035</v>
      </c>
      <c r="G249" s="7" t="s">
        <v>3992</v>
      </c>
      <c r="H249" s="7" t="s">
        <v>928</v>
      </c>
      <c r="I249" s="7" t="s">
        <v>1148</v>
      </c>
      <c r="J249" s="8" t="s">
        <v>5036</v>
      </c>
      <c r="K249" s="8" t="s">
        <v>474</v>
      </c>
      <c r="L249" s="7" t="s">
        <v>483</v>
      </c>
      <c r="M249" s="7" t="s">
        <v>5037</v>
      </c>
      <c r="N249" s="7" t="n">
        <v>3</v>
      </c>
      <c r="O249" s="7" t="s">
        <v>537</v>
      </c>
      <c r="P249" s="7" t="s">
        <v>1150</v>
      </c>
      <c r="Q249" s="7" t="s">
        <v>1480</v>
      </c>
      <c r="R249" s="7" t="s">
        <v>1152</v>
      </c>
      <c r="S249" s="8" t="s">
        <v>3984</v>
      </c>
      <c r="T249" s="12"/>
      <c r="U249" s="12"/>
    </row>
    <row r="250" customFormat="false" ht="46.25" hidden="false" customHeight="false" outlineLevel="0" collapsed="false">
      <c r="A250" s="7" t="s">
        <v>5038</v>
      </c>
      <c r="B250" s="14" t="s">
        <v>5034</v>
      </c>
      <c r="C250" s="7" t="s">
        <v>536</v>
      </c>
      <c r="D250" s="7" t="s">
        <v>471</v>
      </c>
      <c r="E250" s="7" t="s">
        <v>536</v>
      </c>
      <c r="F250" s="7" t="s">
        <v>5039</v>
      </c>
      <c r="G250" s="7" t="s">
        <v>3992</v>
      </c>
      <c r="H250" s="7" t="s">
        <v>928</v>
      </c>
      <c r="I250" s="7" t="s">
        <v>1148</v>
      </c>
      <c r="J250" s="8" t="s">
        <v>5040</v>
      </c>
      <c r="K250" s="8" t="s">
        <v>474</v>
      </c>
      <c r="L250" s="7" t="s">
        <v>998</v>
      </c>
      <c r="M250" s="7" t="s">
        <v>5041</v>
      </c>
      <c r="N250" s="7" t="s">
        <v>952</v>
      </c>
      <c r="O250" s="7" t="s">
        <v>5037</v>
      </c>
      <c r="P250" s="7" t="s">
        <v>1150</v>
      </c>
      <c r="Q250" s="7" t="s">
        <v>1480</v>
      </c>
      <c r="R250" s="7" t="s">
        <v>1152</v>
      </c>
      <c r="S250" s="8" t="s">
        <v>5042</v>
      </c>
      <c r="T250" s="12"/>
      <c r="U250" s="12"/>
    </row>
    <row r="251" customFormat="false" ht="35.05" hidden="false" customHeight="false" outlineLevel="0" collapsed="false">
      <c r="A251" s="7" t="s">
        <v>5043</v>
      </c>
      <c r="B251" s="14" t="s">
        <v>5044</v>
      </c>
      <c r="C251" s="7" t="s">
        <v>536</v>
      </c>
      <c r="D251" s="7" t="s">
        <v>471</v>
      </c>
      <c r="E251" s="7" t="s">
        <v>536</v>
      </c>
      <c r="F251" s="7" t="s">
        <v>5045</v>
      </c>
      <c r="G251" s="7" t="s">
        <v>3992</v>
      </c>
      <c r="H251" s="7" t="s">
        <v>928</v>
      </c>
      <c r="I251" s="7" t="s">
        <v>1148</v>
      </c>
      <c r="J251" s="8" t="s">
        <v>5046</v>
      </c>
      <c r="K251" s="8" t="s">
        <v>474</v>
      </c>
      <c r="L251" s="7" t="s">
        <v>483</v>
      </c>
      <c r="M251" s="7" t="s">
        <v>5047</v>
      </c>
      <c r="N251" s="7" t="n">
        <v>3</v>
      </c>
      <c r="O251" s="7" t="s">
        <v>537</v>
      </c>
      <c r="P251" s="7" t="s">
        <v>1150</v>
      </c>
      <c r="Q251" s="7" t="s">
        <v>1480</v>
      </c>
      <c r="R251" s="7" t="s">
        <v>1152</v>
      </c>
      <c r="S251" s="8" t="s">
        <v>3984</v>
      </c>
      <c r="T251" s="12"/>
      <c r="U251" s="12"/>
    </row>
    <row r="252" customFormat="false" ht="46.25" hidden="false" customHeight="false" outlineLevel="0" collapsed="false">
      <c r="A252" s="7" t="s">
        <v>5048</v>
      </c>
      <c r="B252" s="14" t="s">
        <v>5044</v>
      </c>
      <c r="C252" s="7" t="s">
        <v>536</v>
      </c>
      <c r="D252" s="7" t="s">
        <v>471</v>
      </c>
      <c r="E252" s="7" t="s">
        <v>536</v>
      </c>
      <c r="F252" s="7" t="s">
        <v>5049</v>
      </c>
      <c r="G252" s="7" t="s">
        <v>3992</v>
      </c>
      <c r="H252" s="7" t="s">
        <v>928</v>
      </c>
      <c r="I252" s="7" t="s">
        <v>1148</v>
      </c>
      <c r="J252" s="8" t="s">
        <v>5050</v>
      </c>
      <c r="K252" s="8" t="s">
        <v>474</v>
      </c>
      <c r="L252" s="7" t="s">
        <v>998</v>
      </c>
      <c r="M252" s="7" t="s">
        <v>5051</v>
      </c>
      <c r="N252" s="7" t="s">
        <v>952</v>
      </c>
      <c r="O252" s="7" t="s">
        <v>5047</v>
      </c>
      <c r="P252" s="7" t="s">
        <v>1150</v>
      </c>
      <c r="Q252" s="7" t="s">
        <v>1480</v>
      </c>
      <c r="R252" s="7" t="s">
        <v>1152</v>
      </c>
      <c r="S252" s="8" t="s">
        <v>5042</v>
      </c>
      <c r="T252" s="12"/>
      <c r="U252" s="12"/>
    </row>
    <row r="253" customFormat="false" ht="35.05" hidden="false" customHeight="false" outlineLevel="0" collapsed="false">
      <c r="A253" s="7" t="s">
        <v>5052</v>
      </c>
      <c r="B253" s="14" t="s">
        <v>5053</v>
      </c>
      <c r="C253" s="7" t="s">
        <v>536</v>
      </c>
      <c r="D253" s="7" t="s">
        <v>471</v>
      </c>
      <c r="E253" s="7" t="s">
        <v>536</v>
      </c>
      <c r="F253" s="7" t="s">
        <v>5054</v>
      </c>
      <c r="G253" s="7" t="s">
        <v>3992</v>
      </c>
      <c r="H253" s="7" t="s">
        <v>928</v>
      </c>
      <c r="I253" s="7" t="s">
        <v>1148</v>
      </c>
      <c r="J253" s="8" t="s">
        <v>5055</v>
      </c>
      <c r="K253" s="8" t="s">
        <v>474</v>
      </c>
      <c r="L253" s="7" t="s">
        <v>483</v>
      </c>
      <c r="M253" s="7" t="s">
        <v>5056</v>
      </c>
      <c r="N253" s="7" t="n">
        <v>3</v>
      </c>
      <c r="O253" s="7" t="s">
        <v>537</v>
      </c>
      <c r="P253" s="7" t="s">
        <v>1150</v>
      </c>
      <c r="Q253" s="7" t="s">
        <v>1480</v>
      </c>
      <c r="R253" s="7" t="s">
        <v>1152</v>
      </c>
      <c r="S253" s="8" t="s">
        <v>3984</v>
      </c>
      <c r="T253" s="12"/>
      <c r="U253" s="12"/>
    </row>
    <row r="254" customFormat="false" ht="46.25" hidden="false" customHeight="false" outlineLevel="0" collapsed="false">
      <c r="A254" s="7" t="s">
        <v>5057</v>
      </c>
      <c r="B254" s="14" t="s">
        <v>5053</v>
      </c>
      <c r="C254" s="7" t="s">
        <v>536</v>
      </c>
      <c r="D254" s="7" t="s">
        <v>471</v>
      </c>
      <c r="E254" s="7" t="s">
        <v>536</v>
      </c>
      <c r="F254" s="7" t="s">
        <v>5058</v>
      </c>
      <c r="G254" s="7" t="s">
        <v>3992</v>
      </c>
      <c r="H254" s="7" t="s">
        <v>928</v>
      </c>
      <c r="I254" s="7" t="s">
        <v>1148</v>
      </c>
      <c r="J254" s="8" t="s">
        <v>5059</v>
      </c>
      <c r="K254" s="8" t="s">
        <v>474</v>
      </c>
      <c r="L254" s="7" t="s">
        <v>998</v>
      </c>
      <c r="M254" s="7" t="s">
        <v>5060</v>
      </c>
      <c r="N254" s="7" t="s">
        <v>952</v>
      </c>
      <c r="O254" s="7" t="s">
        <v>5056</v>
      </c>
      <c r="P254" s="7" t="s">
        <v>1150</v>
      </c>
      <c r="Q254" s="7" t="s">
        <v>1480</v>
      </c>
      <c r="R254" s="7" t="s">
        <v>1152</v>
      </c>
      <c r="S254" s="8" t="s">
        <v>5042</v>
      </c>
      <c r="T254" s="12"/>
      <c r="U254" s="12"/>
    </row>
    <row r="255" customFormat="false" ht="35.05" hidden="false" customHeight="false" outlineLevel="0" collapsed="false">
      <c r="A255" s="7" t="s">
        <v>5061</v>
      </c>
      <c r="B255" s="14" t="s">
        <v>3986</v>
      </c>
      <c r="C255" s="7" t="s">
        <v>551</v>
      </c>
      <c r="D255" s="7" t="s">
        <v>471</v>
      </c>
      <c r="E255" s="7" t="s">
        <v>879</v>
      </c>
      <c r="F255" s="7" t="s">
        <v>551</v>
      </c>
      <c r="G255" s="7" t="s">
        <v>3987</v>
      </c>
      <c r="H255" s="7" t="s">
        <v>928</v>
      </c>
      <c r="I255" s="7" t="s">
        <v>1148</v>
      </c>
      <c r="J255" s="8" t="s">
        <v>5062</v>
      </c>
      <c r="K255" s="8" t="s">
        <v>474</v>
      </c>
      <c r="L255" s="7" t="s">
        <v>478</v>
      </c>
      <c r="M255" s="7" t="s">
        <v>552</v>
      </c>
      <c r="N255" s="7" t="n">
        <v>2</v>
      </c>
      <c r="O255" s="7" t="s">
        <v>472</v>
      </c>
      <c r="P255" s="7" t="s">
        <v>1150</v>
      </c>
      <c r="Q255" s="7" t="s">
        <v>1183</v>
      </c>
      <c r="R255" s="7" t="s">
        <v>1152</v>
      </c>
      <c r="S255" s="8"/>
      <c r="T255" s="12"/>
      <c r="U255" s="12"/>
    </row>
    <row r="256" customFormat="false" ht="35.05" hidden="false" customHeight="false" outlineLevel="0" collapsed="false">
      <c r="A256" s="7" t="s">
        <v>5063</v>
      </c>
      <c r="B256" s="14" t="s">
        <v>5064</v>
      </c>
      <c r="C256" s="7" t="s">
        <v>551</v>
      </c>
      <c r="D256" s="7" t="s">
        <v>471</v>
      </c>
      <c r="E256" s="7" t="s">
        <v>551</v>
      </c>
      <c r="F256" s="7" t="s">
        <v>5065</v>
      </c>
      <c r="G256" s="7" t="s">
        <v>5066</v>
      </c>
      <c r="H256" s="7" t="s">
        <v>928</v>
      </c>
      <c r="I256" s="7" t="s">
        <v>1148</v>
      </c>
      <c r="J256" s="8" t="s">
        <v>5067</v>
      </c>
      <c r="K256" s="8" t="s">
        <v>474</v>
      </c>
      <c r="L256" s="7" t="s">
        <v>483</v>
      </c>
      <c r="M256" s="7" t="s">
        <v>5068</v>
      </c>
      <c r="N256" s="7" t="n">
        <v>3</v>
      </c>
      <c r="O256" s="7" t="s">
        <v>552</v>
      </c>
      <c r="P256" s="7" t="s">
        <v>1150</v>
      </c>
      <c r="Q256" s="7" t="s">
        <v>1480</v>
      </c>
      <c r="R256" s="7" t="s">
        <v>1152</v>
      </c>
      <c r="S256" s="8" t="s">
        <v>3984</v>
      </c>
      <c r="T256" s="12"/>
      <c r="U256" s="12"/>
    </row>
    <row r="257" customFormat="false" ht="46.25" hidden="false" customHeight="false" outlineLevel="0" collapsed="false">
      <c r="A257" s="7" t="s">
        <v>5069</v>
      </c>
      <c r="B257" s="14" t="s">
        <v>5064</v>
      </c>
      <c r="C257" s="7" t="s">
        <v>551</v>
      </c>
      <c r="D257" s="7" t="s">
        <v>471</v>
      </c>
      <c r="E257" s="7" t="s">
        <v>551</v>
      </c>
      <c r="F257" s="7" t="s">
        <v>5070</v>
      </c>
      <c r="G257" s="7" t="s">
        <v>5066</v>
      </c>
      <c r="H257" s="7" t="s">
        <v>928</v>
      </c>
      <c r="I257" s="7" t="s">
        <v>1148</v>
      </c>
      <c r="J257" s="8" t="s">
        <v>5071</v>
      </c>
      <c r="K257" s="8" t="s">
        <v>474</v>
      </c>
      <c r="L257" s="7" t="s">
        <v>606</v>
      </c>
      <c r="M257" s="7" t="s">
        <v>5072</v>
      </c>
      <c r="N257" s="7" t="n">
        <v>4</v>
      </c>
      <c r="O257" s="7" t="s">
        <v>5068</v>
      </c>
      <c r="P257" s="7" t="s">
        <v>1150</v>
      </c>
      <c r="Q257" s="7" t="s">
        <v>1480</v>
      </c>
      <c r="R257" s="7" t="s">
        <v>1152</v>
      </c>
      <c r="S257" s="8" t="s">
        <v>5073</v>
      </c>
      <c r="T257" s="12"/>
      <c r="U257" s="12"/>
    </row>
    <row r="258" customFormat="false" ht="46.25" hidden="false" customHeight="false" outlineLevel="0" collapsed="false">
      <c r="A258" s="7" t="s">
        <v>5074</v>
      </c>
      <c r="B258" s="14" t="s">
        <v>5064</v>
      </c>
      <c r="C258" s="7" t="s">
        <v>551</v>
      </c>
      <c r="D258" s="7" t="s">
        <v>471</v>
      </c>
      <c r="E258" s="7" t="s">
        <v>551</v>
      </c>
      <c r="F258" s="7" t="s">
        <v>5075</v>
      </c>
      <c r="G258" s="7" t="s">
        <v>5066</v>
      </c>
      <c r="H258" s="7" t="s">
        <v>943</v>
      </c>
      <c r="I258" s="7" t="s">
        <v>1424</v>
      </c>
      <c r="J258" s="8" t="s">
        <v>5076</v>
      </c>
      <c r="K258" s="8" t="s">
        <v>474</v>
      </c>
      <c r="L258" s="7" t="s">
        <v>998</v>
      </c>
      <c r="M258" s="7" t="s">
        <v>5077</v>
      </c>
      <c r="N258" s="7" t="s">
        <v>952</v>
      </c>
      <c r="O258" s="7" t="s">
        <v>5068</v>
      </c>
      <c r="P258" s="7" t="s">
        <v>1150</v>
      </c>
      <c r="Q258" s="7" t="s">
        <v>1480</v>
      </c>
      <c r="R258" s="7" t="s">
        <v>1152</v>
      </c>
      <c r="S258" s="8" t="s">
        <v>5073</v>
      </c>
      <c r="T258" s="12"/>
      <c r="U258" s="12"/>
    </row>
    <row r="259" customFormat="false" ht="46.25" hidden="false" customHeight="false" outlineLevel="0" collapsed="false">
      <c r="A259" s="7" t="s">
        <v>5078</v>
      </c>
      <c r="B259" s="14" t="s">
        <v>5064</v>
      </c>
      <c r="C259" s="7" t="s">
        <v>551</v>
      </c>
      <c r="D259" s="7" t="s">
        <v>471</v>
      </c>
      <c r="E259" s="7" t="s">
        <v>551</v>
      </c>
      <c r="F259" s="7" t="s">
        <v>5079</v>
      </c>
      <c r="G259" s="7" t="s">
        <v>5066</v>
      </c>
      <c r="H259" s="7" t="s">
        <v>943</v>
      </c>
      <c r="I259" s="7" t="s">
        <v>1424</v>
      </c>
      <c r="J259" s="8" t="s">
        <v>5080</v>
      </c>
      <c r="K259" s="8" t="s">
        <v>474</v>
      </c>
      <c r="L259" s="7" t="s">
        <v>998</v>
      </c>
      <c r="M259" s="7" t="s">
        <v>5081</v>
      </c>
      <c r="N259" s="7" t="s">
        <v>952</v>
      </c>
      <c r="O259" s="7" t="s">
        <v>5068</v>
      </c>
      <c r="P259" s="7" t="s">
        <v>1150</v>
      </c>
      <c r="Q259" s="7" t="s">
        <v>1480</v>
      </c>
      <c r="R259" s="7" t="s">
        <v>1152</v>
      </c>
      <c r="S259" s="8" t="s">
        <v>5082</v>
      </c>
      <c r="T259" s="12"/>
      <c r="U259" s="12"/>
    </row>
    <row r="260" customFormat="false" ht="35.05" hidden="false" customHeight="false" outlineLevel="0" collapsed="false">
      <c r="A260" s="7" t="s">
        <v>5083</v>
      </c>
      <c r="B260" s="14" t="s">
        <v>5084</v>
      </c>
      <c r="C260" s="7" t="s">
        <v>551</v>
      </c>
      <c r="D260" s="7" t="s">
        <v>471</v>
      </c>
      <c r="E260" s="7" t="s">
        <v>551</v>
      </c>
      <c r="F260" s="7" t="s">
        <v>5085</v>
      </c>
      <c r="G260" s="7" t="s">
        <v>5066</v>
      </c>
      <c r="H260" s="7" t="s">
        <v>928</v>
      </c>
      <c r="I260" s="7" t="s">
        <v>1148</v>
      </c>
      <c r="J260" s="8" t="s">
        <v>5086</v>
      </c>
      <c r="K260" s="8" t="s">
        <v>474</v>
      </c>
      <c r="L260" s="7" t="s">
        <v>483</v>
      </c>
      <c r="M260" s="7" t="s">
        <v>5087</v>
      </c>
      <c r="N260" s="7" t="n">
        <v>3</v>
      </c>
      <c r="O260" s="7" t="s">
        <v>552</v>
      </c>
      <c r="P260" s="7" t="s">
        <v>1150</v>
      </c>
      <c r="Q260" s="7" t="s">
        <v>1183</v>
      </c>
      <c r="R260" s="7" t="s">
        <v>1152</v>
      </c>
      <c r="S260" s="8" t="s">
        <v>3984</v>
      </c>
      <c r="T260" s="12"/>
      <c r="U260" s="12"/>
    </row>
    <row r="261" customFormat="false" ht="46.25" hidden="false" customHeight="false" outlineLevel="0" collapsed="false">
      <c r="A261" s="7" t="s">
        <v>5088</v>
      </c>
      <c r="B261" s="14" t="s">
        <v>5084</v>
      </c>
      <c r="C261" s="7" t="s">
        <v>551</v>
      </c>
      <c r="D261" s="7" t="s">
        <v>471</v>
      </c>
      <c r="E261" s="7" t="s">
        <v>551</v>
      </c>
      <c r="F261" s="7" t="s">
        <v>5089</v>
      </c>
      <c r="G261" s="7" t="s">
        <v>5066</v>
      </c>
      <c r="H261" s="7" t="s">
        <v>928</v>
      </c>
      <c r="I261" s="7" t="s">
        <v>1148</v>
      </c>
      <c r="J261" s="8" t="s">
        <v>5090</v>
      </c>
      <c r="K261" s="8" t="s">
        <v>474</v>
      </c>
      <c r="L261" s="7" t="s">
        <v>606</v>
      </c>
      <c r="M261" s="7" t="s">
        <v>5091</v>
      </c>
      <c r="N261" s="7" t="n">
        <v>4</v>
      </c>
      <c r="O261" s="7" t="s">
        <v>5087</v>
      </c>
      <c r="P261" s="7" t="s">
        <v>1150</v>
      </c>
      <c r="Q261" s="7" t="s">
        <v>1183</v>
      </c>
      <c r="R261" s="7" t="s">
        <v>1152</v>
      </c>
      <c r="S261" s="8" t="s">
        <v>5073</v>
      </c>
      <c r="T261" s="12"/>
      <c r="U261" s="12"/>
    </row>
    <row r="262" customFormat="false" ht="46.25" hidden="false" customHeight="false" outlineLevel="0" collapsed="false">
      <c r="A262" s="7" t="s">
        <v>5092</v>
      </c>
      <c r="B262" s="14" t="s">
        <v>5084</v>
      </c>
      <c r="C262" s="7" t="s">
        <v>551</v>
      </c>
      <c r="D262" s="7" t="s">
        <v>471</v>
      </c>
      <c r="E262" s="7" t="s">
        <v>551</v>
      </c>
      <c r="F262" s="7" t="s">
        <v>5093</v>
      </c>
      <c r="G262" s="7" t="s">
        <v>5066</v>
      </c>
      <c r="H262" s="7" t="s">
        <v>943</v>
      </c>
      <c r="I262" s="7" t="s">
        <v>1424</v>
      </c>
      <c r="J262" s="8" t="s">
        <v>5094</v>
      </c>
      <c r="K262" s="8" t="s">
        <v>474</v>
      </c>
      <c r="L262" s="7" t="s">
        <v>998</v>
      </c>
      <c r="M262" s="7" t="s">
        <v>5095</v>
      </c>
      <c r="N262" s="7" t="s">
        <v>952</v>
      </c>
      <c r="O262" s="7" t="s">
        <v>5087</v>
      </c>
      <c r="P262" s="7" t="s">
        <v>1150</v>
      </c>
      <c r="Q262" s="7" t="s">
        <v>1480</v>
      </c>
      <c r="R262" s="7" t="s">
        <v>1152</v>
      </c>
      <c r="S262" s="8" t="s">
        <v>5073</v>
      </c>
      <c r="T262" s="12"/>
      <c r="U262" s="12"/>
    </row>
    <row r="263" customFormat="false" ht="46.25" hidden="false" customHeight="false" outlineLevel="0" collapsed="false">
      <c r="A263" s="7" t="s">
        <v>5096</v>
      </c>
      <c r="B263" s="14" t="s">
        <v>5084</v>
      </c>
      <c r="C263" s="7" t="s">
        <v>551</v>
      </c>
      <c r="D263" s="7" t="s">
        <v>471</v>
      </c>
      <c r="E263" s="7" t="s">
        <v>551</v>
      </c>
      <c r="F263" s="7" t="s">
        <v>5097</v>
      </c>
      <c r="G263" s="7" t="s">
        <v>5066</v>
      </c>
      <c r="H263" s="7" t="s">
        <v>943</v>
      </c>
      <c r="I263" s="7" t="s">
        <v>1424</v>
      </c>
      <c r="J263" s="8" t="s">
        <v>5098</v>
      </c>
      <c r="K263" s="8" t="s">
        <v>474</v>
      </c>
      <c r="L263" s="7" t="s">
        <v>998</v>
      </c>
      <c r="M263" s="7" t="s">
        <v>5099</v>
      </c>
      <c r="N263" s="7" t="s">
        <v>952</v>
      </c>
      <c r="O263" s="7" t="s">
        <v>5087</v>
      </c>
      <c r="P263" s="7" t="s">
        <v>1150</v>
      </c>
      <c r="Q263" s="7" t="s">
        <v>1480</v>
      </c>
      <c r="R263" s="7" t="s">
        <v>1152</v>
      </c>
      <c r="S263" s="8" t="s">
        <v>5082</v>
      </c>
      <c r="T263" s="12"/>
      <c r="U263" s="12"/>
    </row>
    <row r="264" customFormat="false" ht="35.05" hidden="false" customHeight="false" outlineLevel="0" collapsed="false">
      <c r="A264" s="7" t="s">
        <v>5100</v>
      </c>
      <c r="B264" s="14" t="s">
        <v>5101</v>
      </c>
      <c r="C264" s="7" t="s">
        <v>551</v>
      </c>
      <c r="D264" s="7" t="s">
        <v>471</v>
      </c>
      <c r="E264" s="7" t="s">
        <v>551</v>
      </c>
      <c r="F264" s="7" t="s">
        <v>5102</v>
      </c>
      <c r="G264" s="7" t="s">
        <v>5066</v>
      </c>
      <c r="H264" s="7" t="s">
        <v>928</v>
      </c>
      <c r="I264" s="7" t="s">
        <v>1148</v>
      </c>
      <c r="J264" s="8" t="s">
        <v>5103</v>
      </c>
      <c r="K264" s="8" t="s">
        <v>474</v>
      </c>
      <c r="L264" s="7" t="s">
        <v>483</v>
      </c>
      <c r="M264" s="7" t="s">
        <v>5104</v>
      </c>
      <c r="N264" s="7" t="n">
        <v>3</v>
      </c>
      <c r="O264" s="7" t="s">
        <v>552</v>
      </c>
      <c r="P264" s="7" t="s">
        <v>1150</v>
      </c>
      <c r="Q264" s="7" t="s">
        <v>1480</v>
      </c>
      <c r="R264" s="7" t="s">
        <v>1152</v>
      </c>
      <c r="S264" s="8" t="s">
        <v>3984</v>
      </c>
      <c r="T264" s="12"/>
      <c r="U264" s="12"/>
    </row>
    <row r="265" customFormat="false" ht="46.25" hidden="false" customHeight="false" outlineLevel="0" collapsed="false">
      <c r="A265" s="7" t="s">
        <v>5105</v>
      </c>
      <c r="B265" s="14" t="s">
        <v>5101</v>
      </c>
      <c r="C265" s="7" t="s">
        <v>551</v>
      </c>
      <c r="D265" s="7" t="s">
        <v>471</v>
      </c>
      <c r="E265" s="7" t="s">
        <v>551</v>
      </c>
      <c r="F265" s="7" t="s">
        <v>5106</v>
      </c>
      <c r="G265" s="7" t="s">
        <v>5066</v>
      </c>
      <c r="H265" s="7" t="s">
        <v>928</v>
      </c>
      <c r="I265" s="7" t="s">
        <v>1148</v>
      </c>
      <c r="J265" s="8" t="s">
        <v>5107</v>
      </c>
      <c r="K265" s="8" t="s">
        <v>474</v>
      </c>
      <c r="L265" s="7" t="s">
        <v>606</v>
      </c>
      <c r="M265" s="7" t="s">
        <v>5108</v>
      </c>
      <c r="N265" s="7" t="n">
        <v>4</v>
      </c>
      <c r="O265" s="7" t="s">
        <v>5104</v>
      </c>
      <c r="P265" s="7" t="s">
        <v>1150</v>
      </c>
      <c r="Q265" s="7" t="s">
        <v>1480</v>
      </c>
      <c r="R265" s="7" t="s">
        <v>1152</v>
      </c>
      <c r="S265" s="8" t="s">
        <v>5073</v>
      </c>
      <c r="T265" s="12"/>
      <c r="U265" s="12"/>
    </row>
    <row r="266" customFormat="false" ht="46.25" hidden="false" customHeight="false" outlineLevel="0" collapsed="false">
      <c r="A266" s="7" t="s">
        <v>5109</v>
      </c>
      <c r="B266" s="14" t="s">
        <v>5101</v>
      </c>
      <c r="C266" s="7" t="s">
        <v>551</v>
      </c>
      <c r="D266" s="7" t="s">
        <v>471</v>
      </c>
      <c r="E266" s="7" t="s">
        <v>551</v>
      </c>
      <c r="F266" s="7" t="s">
        <v>5110</v>
      </c>
      <c r="G266" s="7" t="s">
        <v>5066</v>
      </c>
      <c r="H266" s="7" t="s">
        <v>943</v>
      </c>
      <c r="I266" s="7" t="s">
        <v>1424</v>
      </c>
      <c r="J266" s="8" t="s">
        <v>5111</v>
      </c>
      <c r="K266" s="8" t="s">
        <v>474</v>
      </c>
      <c r="L266" s="7" t="s">
        <v>998</v>
      </c>
      <c r="M266" s="7" t="s">
        <v>5112</v>
      </c>
      <c r="N266" s="7" t="s">
        <v>952</v>
      </c>
      <c r="O266" s="7" t="s">
        <v>5104</v>
      </c>
      <c r="P266" s="7" t="s">
        <v>1150</v>
      </c>
      <c r="Q266" s="7" t="s">
        <v>1480</v>
      </c>
      <c r="R266" s="7" t="s">
        <v>1152</v>
      </c>
      <c r="S266" s="8" t="s">
        <v>5073</v>
      </c>
      <c r="T266" s="12"/>
      <c r="U266" s="12"/>
    </row>
    <row r="267" customFormat="false" ht="46.25" hidden="false" customHeight="false" outlineLevel="0" collapsed="false">
      <c r="A267" s="7" t="s">
        <v>5113</v>
      </c>
      <c r="B267" s="14" t="s">
        <v>5101</v>
      </c>
      <c r="C267" s="7" t="s">
        <v>551</v>
      </c>
      <c r="D267" s="7" t="s">
        <v>471</v>
      </c>
      <c r="E267" s="7" t="s">
        <v>551</v>
      </c>
      <c r="F267" s="7" t="s">
        <v>5114</v>
      </c>
      <c r="G267" s="7" t="s">
        <v>5066</v>
      </c>
      <c r="H267" s="7" t="s">
        <v>943</v>
      </c>
      <c r="I267" s="7" t="s">
        <v>1424</v>
      </c>
      <c r="J267" s="8" t="s">
        <v>5115</v>
      </c>
      <c r="K267" s="8" t="s">
        <v>474</v>
      </c>
      <c r="L267" s="7" t="s">
        <v>998</v>
      </c>
      <c r="M267" s="7" t="s">
        <v>5116</v>
      </c>
      <c r="N267" s="7" t="s">
        <v>952</v>
      </c>
      <c r="O267" s="7" t="s">
        <v>5104</v>
      </c>
      <c r="P267" s="7" t="s">
        <v>1150</v>
      </c>
      <c r="Q267" s="7" t="s">
        <v>1480</v>
      </c>
      <c r="R267" s="7" t="s">
        <v>1152</v>
      </c>
      <c r="S267" s="8" t="s">
        <v>5082</v>
      </c>
      <c r="T267" s="12"/>
      <c r="U267" s="12"/>
    </row>
    <row r="268" customFormat="false" ht="35.05" hidden="false" customHeight="false" outlineLevel="0" collapsed="false">
      <c r="A268" s="7" t="s">
        <v>5117</v>
      </c>
      <c r="B268" s="14" t="s">
        <v>5118</v>
      </c>
      <c r="C268" s="7" t="s">
        <v>551</v>
      </c>
      <c r="D268" s="7" t="s">
        <v>471</v>
      </c>
      <c r="E268" s="7" t="s">
        <v>551</v>
      </c>
      <c r="F268" s="7" t="s">
        <v>5119</v>
      </c>
      <c r="G268" s="7" t="s">
        <v>5066</v>
      </c>
      <c r="H268" s="7" t="s">
        <v>928</v>
      </c>
      <c r="I268" s="7" t="s">
        <v>1148</v>
      </c>
      <c r="J268" s="8" t="s">
        <v>5120</v>
      </c>
      <c r="K268" s="8" t="s">
        <v>474</v>
      </c>
      <c r="L268" s="7" t="s">
        <v>483</v>
      </c>
      <c r="M268" s="7" t="s">
        <v>5121</v>
      </c>
      <c r="N268" s="7" t="n">
        <v>3</v>
      </c>
      <c r="O268" s="7" t="s">
        <v>552</v>
      </c>
      <c r="P268" s="7" t="s">
        <v>1150</v>
      </c>
      <c r="Q268" s="7" t="s">
        <v>1183</v>
      </c>
      <c r="R268" s="7" t="s">
        <v>1152</v>
      </c>
      <c r="S268" s="8" t="s">
        <v>3984</v>
      </c>
      <c r="T268" s="12"/>
      <c r="U268" s="12"/>
    </row>
    <row r="269" customFormat="false" ht="46.25" hidden="false" customHeight="false" outlineLevel="0" collapsed="false">
      <c r="A269" s="7" t="s">
        <v>5122</v>
      </c>
      <c r="B269" s="14" t="s">
        <v>5118</v>
      </c>
      <c r="C269" s="7" t="s">
        <v>551</v>
      </c>
      <c r="D269" s="7" t="s">
        <v>471</v>
      </c>
      <c r="E269" s="7" t="s">
        <v>551</v>
      </c>
      <c r="F269" s="7" t="s">
        <v>5123</v>
      </c>
      <c r="G269" s="7" t="s">
        <v>5066</v>
      </c>
      <c r="H269" s="7" t="s">
        <v>928</v>
      </c>
      <c r="I269" s="7" t="s">
        <v>1148</v>
      </c>
      <c r="J269" s="8" t="s">
        <v>5124</v>
      </c>
      <c r="K269" s="8" t="s">
        <v>474</v>
      </c>
      <c r="L269" s="7" t="s">
        <v>606</v>
      </c>
      <c r="M269" s="7" t="s">
        <v>5125</v>
      </c>
      <c r="N269" s="7" t="n">
        <v>4</v>
      </c>
      <c r="O269" s="7" t="s">
        <v>5121</v>
      </c>
      <c r="P269" s="7" t="s">
        <v>1150</v>
      </c>
      <c r="Q269" s="7" t="s">
        <v>1183</v>
      </c>
      <c r="R269" s="7" t="s">
        <v>1152</v>
      </c>
      <c r="S269" s="8" t="s">
        <v>5073</v>
      </c>
      <c r="T269" s="12"/>
      <c r="U269" s="12"/>
    </row>
    <row r="270" customFormat="false" ht="46.25" hidden="false" customHeight="false" outlineLevel="0" collapsed="false">
      <c r="A270" s="7" t="s">
        <v>5126</v>
      </c>
      <c r="B270" s="14" t="s">
        <v>5118</v>
      </c>
      <c r="C270" s="7" t="s">
        <v>551</v>
      </c>
      <c r="D270" s="7" t="s">
        <v>471</v>
      </c>
      <c r="E270" s="7" t="s">
        <v>551</v>
      </c>
      <c r="F270" s="7" t="s">
        <v>5127</v>
      </c>
      <c r="G270" s="7" t="s">
        <v>5066</v>
      </c>
      <c r="H270" s="7" t="s">
        <v>943</v>
      </c>
      <c r="I270" s="7" t="s">
        <v>1424</v>
      </c>
      <c r="J270" s="8" t="s">
        <v>5128</v>
      </c>
      <c r="K270" s="8" t="s">
        <v>474</v>
      </c>
      <c r="L270" s="7" t="s">
        <v>998</v>
      </c>
      <c r="M270" s="7" t="s">
        <v>5129</v>
      </c>
      <c r="N270" s="7" t="s">
        <v>952</v>
      </c>
      <c r="O270" s="7" t="s">
        <v>5121</v>
      </c>
      <c r="P270" s="7" t="s">
        <v>1150</v>
      </c>
      <c r="Q270" s="7" t="s">
        <v>1480</v>
      </c>
      <c r="R270" s="7" t="s">
        <v>1152</v>
      </c>
      <c r="S270" s="8" t="s">
        <v>5073</v>
      </c>
      <c r="T270" s="12"/>
      <c r="U270" s="12"/>
    </row>
    <row r="271" customFormat="false" ht="46.25" hidden="false" customHeight="false" outlineLevel="0" collapsed="false">
      <c r="A271" s="7" t="s">
        <v>5130</v>
      </c>
      <c r="B271" s="14" t="s">
        <v>5118</v>
      </c>
      <c r="C271" s="7" t="s">
        <v>551</v>
      </c>
      <c r="D271" s="7" t="s">
        <v>471</v>
      </c>
      <c r="E271" s="7" t="s">
        <v>551</v>
      </c>
      <c r="F271" s="7" t="s">
        <v>5131</v>
      </c>
      <c r="G271" s="7" t="s">
        <v>5066</v>
      </c>
      <c r="H271" s="7" t="s">
        <v>943</v>
      </c>
      <c r="I271" s="7" t="s">
        <v>1424</v>
      </c>
      <c r="J271" s="8" t="s">
        <v>5132</v>
      </c>
      <c r="K271" s="8" t="s">
        <v>474</v>
      </c>
      <c r="L271" s="7" t="s">
        <v>998</v>
      </c>
      <c r="M271" s="7" t="s">
        <v>5133</v>
      </c>
      <c r="N271" s="7" t="s">
        <v>952</v>
      </c>
      <c r="O271" s="7" t="s">
        <v>5121</v>
      </c>
      <c r="P271" s="7" t="s">
        <v>1150</v>
      </c>
      <c r="Q271" s="7" t="s">
        <v>1480</v>
      </c>
      <c r="R271" s="7" t="s">
        <v>1152</v>
      </c>
      <c r="S271" s="8" t="s">
        <v>5082</v>
      </c>
      <c r="T271" s="12"/>
      <c r="U271" s="12"/>
    </row>
    <row r="272" customFormat="false" ht="35.05" hidden="false" customHeight="false" outlineLevel="0" collapsed="false">
      <c r="A272" s="7" t="s">
        <v>5134</v>
      </c>
      <c r="B272" s="14" t="s">
        <v>3986</v>
      </c>
      <c r="C272" s="7" t="s">
        <v>556</v>
      </c>
      <c r="D272" s="7" t="s">
        <v>471</v>
      </c>
      <c r="E272" s="7" t="s">
        <v>879</v>
      </c>
      <c r="F272" s="7" t="s">
        <v>556</v>
      </c>
      <c r="G272" s="7" t="s">
        <v>3987</v>
      </c>
      <c r="H272" s="7" t="s">
        <v>928</v>
      </c>
      <c r="I272" s="7" t="s">
        <v>1148</v>
      </c>
      <c r="J272" s="8" t="s">
        <v>5135</v>
      </c>
      <c r="K272" s="8" t="s">
        <v>474</v>
      </c>
      <c r="L272" s="7" t="s">
        <v>478</v>
      </c>
      <c r="M272" s="7" t="s">
        <v>557</v>
      </c>
      <c r="N272" s="7" t="n">
        <v>2</v>
      </c>
      <c r="O272" s="7" t="s">
        <v>472</v>
      </c>
      <c r="P272" s="7" t="s">
        <v>1150</v>
      </c>
      <c r="Q272" s="7" t="s">
        <v>1183</v>
      </c>
      <c r="R272" s="7" t="s">
        <v>1152</v>
      </c>
      <c r="S272" s="8"/>
      <c r="T272" s="12"/>
      <c r="U272" s="12"/>
    </row>
    <row r="273" customFormat="false" ht="35.05" hidden="false" customHeight="false" outlineLevel="0" collapsed="false">
      <c r="A273" s="7" t="s">
        <v>5136</v>
      </c>
      <c r="B273" s="14" t="s">
        <v>5137</v>
      </c>
      <c r="C273" s="7" t="s">
        <v>556</v>
      </c>
      <c r="D273" s="7" t="s">
        <v>471</v>
      </c>
      <c r="E273" s="7" t="s">
        <v>556</v>
      </c>
      <c r="F273" s="7" t="s">
        <v>5138</v>
      </c>
      <c r="G273" s="7" t="s">
        <v>5066</v>
      </c>
      <c r="H273" s="7" t="s">
        <v>928</v>
      </c>
      <c r="I273" s="7" t="s">
        <v>1148</v>
      </c>
      <c r="J273" s="8" t="s">
        <v>5139</v>
      </c>
      <c r="K273" s="8" t="s">
        <v>474</v>
      </c>
      <c r="L273" s="7" t="s">
        <v>483</v>
      </c>
      <c r="M273" s="7" t="s">
        <v>5140</v>
      </c>
      <c r="N273" s="7" t="n">
        <v>3</v>
      </c>
      <c r="O273" s="7" t="s">
        <v>557</v>
      </c>
      <c r="P273" s="7" t="s">
        <v>1150</v>
      </c>
      <c r="Q273" s="7" t="s">
        <v>1183</v>
      </c>
      <c r="R273" s="7" t="s">
        <v>1152</v>
      </c>
      <c r="S273" s="8" t="s">
        <v>3984</v>
      </c>
      <c r="T273" s="12"/>
      <c r="U273" s="12"/>
    </row>
    <row r="274" customFormat="false" ht="46.25" hidden="false" customHeight="false" outlineLevel="0" collapsed="false">
      <c r="A274" s="7" t="s">
        <v>5141</v>
      </c>
      <c r="B274" s="14" t="s">
        <v>5137</v>
      </c>
      <c r="C274" s="7" t="s">
        <v>556</v>
      </c>
      <c r="D274" s="7" t="s">
        <v>471</v>
      </c>
      <c r="E274" s="7" t="s">
        <v>556</v>
      </c>
      <c r="F274" s="7" t="s">
        <v>5142</v>
      </c>
      <c r="G274" s="7" t="s">
        <v>5066</v>
      </c>
      <c r="H274" s="7" t="s">
        <v>943</v>
      </c>
      <c r="I274" s="7" t="s">
        <v>1424</v>
      </c>
      <c r="J274" s="8" t="s">
        <v>5143</v>
      </c>
      <c r="K274" s="8" t="s">
        <v>474</v>
      </c>
      <c r="L274" s="7" t="s">
        <v>998</v>
      </c>
      <c r="M274" s="7" t="s">
        <v>5144</v>
      </c>
      <c r="N274" s="7" t="s">
        <v>952</v>
      </c>
      <c r="O274" s="7" t="s">
        <v>5140</v>
      </c>
      <c r="P274" s="7" t="s">
        <v>1150</v>
      </c>
      <c r="Q274" s="7" t="s">
        <v>1480</v>
      </c>
      <c r="R274" s="7" t="s">
        <v>1152</v>
      </c>
      <c r="S274" s="8" t="s">
        <v>5145</v>
      </c>
      <c r="T274" s="12"/>
      <c r="U274" s="12"/>
    </row>
    <row r="275" customFormat="false" ht="46.25" hidden="false" customHeight="false" outlineLevel="0" collapsed="false">
      <c r="A275" s="7" t="s">
        <v>5146</v>
      </c>
      <c r="B275" s="14" t="s">
        <v>5137</v>
      </c>
      <c r="C275" s="7" t="s">
        <v>556</v>
      </c>
      <c r="D275" s="7" t="s">
        <v>471</v>
      </c>
      <c r="E275" s="7" t="s">
        <v>556</v>
      </c>
      <c r="F275" s="7" t="s">
        <v>5147</v>
      </c>
      <c r="G275" s="7" t="s">
        <v>5066</v>
      </c>
      <c r="H275" s="7" t="s">
        <v>943</v>
      </c>
      <c r="I275" s="7" t="s">
        <v>1424</v>
      </c>
      <c r="J275" s="8" t="s">
        <v>5148</v>
      </c>
      <c r="K275" s="8" t="s">
        <v>474</v>
      </c>
      <c r="L275" s="7" t="s">
        <v>998</v>
      </c>
      <c r="M275" s="7" t="s">
        <v>5149</v>
      </c>
      <c r="N275" s="7" t="s">
        <v>952</v>
      </c>
      <c r="O275" s="7" t="s">
        <v>5140</v>
      </c>
      <c r="P275" s="7" t="s">
        <v>1150</v>
      </c>
      <c r="Q275" s="7" t="s">
        <v>1480</v>
      </c>
      <c r="R275" s="7" t="s">
        <v>1152</v>
      </c>
      <c r="S275" s="8" t="s">
        <v>5150</v>
      </c>
      <c r="T275" s="12"/>
      <c r="U275" s="12"/>
    </row>
    <row r="276" customFormat="false" ht="35.05" hidden="false" customHeight="false" outlineLevel="0" collapsed="false">
      <c r="A276" s="7" t="s">
        <v>5151</v>
      </c>
      <c r="B276" s="14" t="s">
        <v>5152</v>
      </c>
      <c r="C276" s="7" t="s">
        <v>556</v>
      </c>
      <c r="D276" s="7" t="s">
        <v>471</v>
      </c>
      <c r="E276" s="7" t="s">
        <v>556</v>
      </c>
      <c r="F276" s="7" t="s">
        <v>5153</v>
      </c>
      <c r="G276" s="7" t="s">
        <v>5066</v>
      </c>
      <c r="H276" s="7" t="s">
        <v>928</v>
      </c>
      <c r="I276" s="7" t="s">
        <v>1148</v>
      </c>
      <c r="J276" s="8" t="s">
        <v>5154</v>
      </c>
      <c r="K276" s="8" t="s">
        <v>474</v>
      </c>
      <c r="L276" s="7" t="s">
        <v>483</v>
      </c>
      <c r="M276" s="7" t="s">
        <v>5155</v>
      </c>
      <c r="N276" s="7" t="n">
        <v>3</v>
      </c>
      <c r="O276" s="7" t="s">
        <v>557</v>
      </c>
      <c r="P276" s="7" t="s">
        <v>1150</v>
      </c>
      <c r="Q276" s="7" t="s">
        <v>1480</v>
      </c>
      <c r="R276" s="7" t="s">
        <v>1152</v>
      </c>
      <c r="S276" s="8" t="s">
        <v>3984</v>
      </c>
      <c r="T276" s="12"/>
      <c r="U276" s="12"/>
    </row>
    <row r="277" customFormat="false" ht="46.25" hidden="false" customHeight="false" outlineLevel="0" collapsed="false">
      <c r="A277" s="7" t="s">
        <v>5156</v>
      </c>
      <c r="B277" s="14" t="s">
        <v>5152</v>
      </c>
      <c r="C277" s="7" t="s">
        <v>556</v>
      </c>
      <c r="D277" s="7" t="s">
        <v>471</v>
      </c>
      <c r="E277" s="7" t="s">
        <v>556</v>
      </c>
      <c r="F277" s="7" t="s">
        <v>5157</v>
      </c>
      <c r="G277" s="7" t="s">
        <v>5066</v>
      </c>
      <c r="H277" s="7" t="s">
        <v>943</v>
      </c>
      <c r="I277" s="7" t="s">
        <v>1424</v>
      </c>
      <c r="J277" s="8" t="s">
        <v>5158</v>
      </c>
      <c r="K277" s="8" t="s">
        <v>474</v>
      </c>
      <c r="L277" s="7" t="s">
        <v>998</v>
      </c>
      <c r="M277" s="7" t="s">
        <v>5159</v>
      </c>
      <c r="N277" s="7" t="s">
        <v>952</v>
      </c>
      <c r="O277" s="7" t="s">
        <v>5155</v>
      </c>
      <c r="P277" s="7" t="s">
        <v>1150</v>
      </c>
      <c r="Q277" s="7" t="s">
        <v>1480</v>
      </c>
      <c r="R277" s="7" t="s">
        <v>1152</v>
      </c>
      <c r="S277" s="8" t="s">
        <v>5145</v>
      </c>
      <c r="T277" s="12"/>
      <c r="U277" s="12"/>
    </row>
    <row r="278" customFormat="false" ht="46.25" hidden="false" customHeight="false" outlineLevel="0" collapsed="false">
      <c r="A278" s="7" t="s">
        <v>5160</v>
      </c>
      <c r="B278" s="14" t="s">
        <v>5152</v>
      </c>
      <c r="C278" s="7" t="s">
        <v>556</v>
      </c>
      <c r="D278" s="7" t="s">
        <v>471</v>
      </c>
      <c r="E278" s="7" t="s">
        <v>556</v>
      </c>
      <c r="F278" s="7" t="s">
        <v>5161</v>
      </c>
      <c r="G278" s="7" t="s">
        <v>5066</v>
      </c>
      <c r="H278" s="7" t="s">
        <v>943</v>
      </c>
      <c r="I278" s="7" t="s">
        <v>1424</v>
      </c>
      <c r="J278" s="8" t="s">
        <v>5162</v>
      </c>
      <c r="K278" s="8" t="s">
        <v>474</v>
      </c>
      <c r="L278" s="7" t="s">
        <v>998</v>
      </c>
      <c r="M278" s="7" t="s">
        <v>5163</v>
      </c>
      <c r="N278" s="7" t="s">
        <v>952</v>
      </c>
      <c r="O278" s="7" t="s">
        <v>5155</v>
      </c>
      <c r="P278" s="7" t="s">
        <v>1150</v>
      </c>
      <c r="Q278" s="7" t="s">
        <v>1480</v>
      </c>
      <c r="R278" s="7" t="s">
        <v>1152</v>
      </c>
      <c r="S278" s="8" t="s">
        <v>5150</v>
      </c>
      <c r="T278" s="12"/>
      <c r="U278" s="12"/>
    </row>
    <row r="279" customFormat="false" ht="35.05" hidden="false" customHeight="false" outlineLevel="0" collapsed="false">
      <c r="A279" s="7" t="s">
        <v>5164</v>
      </c>
      <c r="B279" s="14" t="s">
        <v>5165</v>
      </c>
      <c r="C279" s="7" t="s">
        <v>556</v>
      </c>
      <c r="D279" s="7" t="s">
        <v>471</v>
      </c>
      <c r="E279" s="7" t="s">
        <v>556</v>
      </c>
      <c r="F279" s="7" t="s">
        <v>5166</v>
      </c>
      <c r="G279" s="7" t="s">
        <v>5066</v>
      </c>
      <c r="H279" s="7" t="s">
        <v>928</v>
      </c>
      <c r="I279" s="7" t="s">
        <v>1148</v>
      </c>
      <c r="J279" s="8" t="s">
        <v>5167</v>
      </c>
      <c r="K279" s="8" t="s">
        <v>474</v>
      </c>
      <c r="L279" s="7" t="s">
        <v>483</v>
      </c>
      <c r="M279" s="7" t="s">
        <v>5168</v>
      </c>
      <c r="N279" s="7" t="n">
        <v>3</v>
      </c>
      <c r="O279" s="7" t="s">
        <v>557</v>
      </c>
      <c r="P279" s="7" t="s">
        <v>1150</v>
      </c>
      <c r="Q279" s="7" t="s">
        <v>1480</v>
      </c>
      <c r="R279" s="7" t="s">
        <v>1152</v>
      </c>
      <c r="S279" s="8" t="s">
        <v>3984</v>
      </c>
      <c r="T279" s="12"/>
      <c r="U279" s="12"/>
    </row>
    <row r="280" customFormat="false" ht="46.25" hidden="false" customHeight="false" outlineLevel="0" collapsed="false">
      <c r="A280" s="7" t="s">
        <v>5169</v>
      </c>
      <c r="B280" s="14" t="s">
        <v>5165</v>
      </c>
      <c r="C280" s="7" t="s">
        <v>556</v>
      </c>
      <c r="D280" s="7" t="s">
        <v>471</v>
      </c>
      <c r="E280" s="7" t="s">
        <v>556</v>
      </c>
      <c r="F280" s="7" t="s">
        <v>5170</v>
      </c>
      <c r="G280" s="7" t="s">
        <v>5066</v>
      </c>
      <c r="H280" s="7" t="s">
        <v>943</v>
      </c>
      <c r="I280" s="7" t="s">
        <v>1424</v>
      </c>
      <c r="J280" s="8" t="s">
        <v>5171</v>
      </c>
      <c r="K280" s="8" t="s">
        <v>474</v>
      </c>
      <c r="L280" s="7" t="s">
        <v>998</v>
      </c>
      <c r="M280" s="7" t="s">
        <v>5172</v>
      </c>
      <c r="N280" s="7" t="s">
        <v>952</v>
      </c>
      <c r="O280" s="7" t="s">
        <v>5168</v>
      </c>
      <c r="P280" s="7" t="s">
        <v>1150</v>
      </c>
      <c r="Q280" s="7" t="s">
        <v>1480</v>
      </c>
      <c r="R280" s="7" t="s">
        <v>1152</v>
      </c>
      <c r="S280" s="8" t="s">
        <v>5145</v>
      </c>
      <c r="T280" s="12"/>
      <c r="U280" s="12"/>
    </row>
    <row r="281" customFormat="false" ht="46.25" hidden="false" customHeight="false" outlineLevel="0" collapsed="false">
      <c r="A281" s="7" t="s">
        <v>5173</v>
      </c>
      <c r="B281" s="14" t="s">
        <v>5165</v>
      </c>
      <c r="C281" s="7" t="s">
        <v>556</v>
      </c>
      <c r="D281" s="7" t="s">
        <v>471</v>
      </c>
      <c r="E281" s="7" t="s">
        <v>556</v>
      </c>
      <c r="F281" s="7" t="s">
        <v>5174</v>
      </c>
      <c r="G281" s="7" t="s">
        <v>5066</v>
      </c>
      <c r="H281" s="7" t="s">
        <v>943</v>
      </c>
      <c r="I281" s="7" t="s">
        <v>1424</v>
      </c>
      <c r="J281" s="8" t="s">
        <v>5175</v>
      </c>
      <c r="K281" s="8" t="s">
        <v>474</v>
      </c>
      <c r="L281" s="7" t="s">
        <v>998</v>
      </c>
      <c r="M281" s="7" t="s">
        <v>5176</v>
      </c>
      <c r="N281" s="7" t="s">
        <v>952</v>
      </c>
      <c r="O281" s="7" t="s">
        <v>5168</v>
      </c>
      <c r="P281" s="7" t="s">
        <v>1150</v>
      </c>
      <c r="Q281" s="7" t="s">
        <v>1480</v>
      </c>
      <c r="R281" s="7" t="s">
        <v>1152</v>
      </c>
      <c r="S281" s="8" t="s">
        <v>5150</v>
      </c>
      <c r="T281" s="12"/>
      <c r="U281" s="12"/>
    </row>
    <row r="282" customFormat="false" ht="35.05" hidden="false" customHeight="false" outlineLevel="0" collapsed="false">
      <c r="A282" s="7" t="s">
        <v>5177</v>
      </c>
      <c r="B282" s="14" t="s">
        <v>5178</v>
      </c>
      <c r="C282" s="7" t="s">
        <v>556</v>
      </c>
      <c r="D282" s="7" t="s">
        <v>471</v>
      </c>
      <c r="E282" s="7" t="s">
        <v>556</v>
      </c>
      <c r="F282" s="7" t="s">
        <v>5179</v>
      </c>
      <c r="G282" s="7" t="s">
        <v>5066</v>
      </c>
      <c r="H282" s="7" t="s">
        <v>928</v>
      </c>
      <c r="I282" s="7" t="s">
        <v>1148</v>
      </c>
      <c r="J282" s="8" t="s">
        <v>5180</v>
      </c>
      <c r="K282" s="8" t="s">
        <v>474</v>
      </c>
      <c r="L282" s="7" t="s">
        <v>483</v>
      </c>
      <c r="M282" s="7" t="s">
        <v>5181</v>
      </c>
      <c r="N282" s="7" t="n">
        <v>3</v>
      </c>
      <c r="O282" s="7" t="s">
        <v>557</v>
      </c>
      <c r="P282" s="7" t="s">
        <v>1150</v>
      </c>
      <c r="Q282" s="7" t="s">
        <v>1480</v>
      </c>
      <c r="R282" s="7" t="s">
        <v>1152</v>
      </c>
      <c r="S282" s="8" t="s">
        <v>3984</v>
      </c>
      <c r="T282" s="12"/>
      <c r="U282" s="12"/>
    </row>
    <row r="283" customFormat="false" ht="46.25" hidden="false" customHeight="false" outlineLevel="0" collapsed="false">
      <c r="A283" s="7" t="s">
        <v>5182</v>
      </c>
      <c r="B283" s="14" t="s">
        <v>5178</v>
      </c>
      <c r="C283" s="7" t="s">
        <v>556</v>
      </c>
      <c r="D283" s="7" t="s">
        <v>471</v>
      </c>
      <c r="E283" s="7" t="s">
        <v>556</v>
      </c>
      <c r="F283" s="7" t="s">
        <v>5183</v>
      </c>
      <c r="G283" s="7" t="s">
        <v>5066</v>
      </c>
      <c r="H283" s="7" t="s">
        <v>943</v>
      </c>
      <c r="I283" s="7" t="s">
        <v>1424</v>
      </c>
      <c r="J283" s="8" t="s">
        <v>5184</v>
      </c>
      <c r="K283" s="8" t="s">
        <v>474</v>
      </c>
      <c r="L283" s="7" t="s">
        <v>998</v>
      </c>
      <c r="M283" s="7" t="s">
        <v>5185</v>
      </c>
      <c r="N283" s="7" t="s">
        <v>952</v>
      </c>
      <c r="O283" s="7" t="s">
        <v>5181</v>
      </c>
      <c r="P283" s="7" t="s">
        <v>1150</v>
      </c>
      <c r="Q283" s="7" t="s">
        <v>1480</v>
      </c>
      <c r="R283" s="7" t="s">
        <v>1152</v>
      </c>
      <c r="S283" s="8" t="s">
        <v>5145</v>
      </c>
      <c r="T283" s="12"/>
      <c r="U283" s="12"/>
    </row>
    <row r="284" customFormat="false" ht="46.25" hidden="false" customHeight="false" outlineLevel="0" collapsed="false">
      <c r="A284" s="7" t="s">
        <v>5186</v>
      </c>
      <c r="B284" s="14" t="s">
        <v>5178</v>
      </c>
      <c r="C284" s="7" t="s">
        <v>556</v>
      </c>
      <c r="D284" s="7" t="s">
        <v>471</v>
      </c>
      <c r="E284" s="7" t="s">
        <v>556</v>
      </c>
      <c r="F284" s="7" t="s">
        <v>5187</v>
      </c>
      <c r="G284" s="7" t="s">
        <v>5066</v>
      </c>
      <c r="H284" s="7" t="s">
        <v>943</v>
      </c>
      <c r="I284" s="7" t="s">
        <v>1424</v>
      </c>
      <c r="J284" s="8" t="s">
        <v>5188</v>
      </c>
      <c r="K284" s="8" t="s">
        <v>474</v>
      </c>
      <c r="L284" s="7" t="s">
        <v>998</v>
      </c>
      <c r="M284" s="7" t="s">
        <v>5189</v>
      </c>
      <c r="N284" s="7" t="s">
        <v>952</v>
      </c>
      <c r="O284" s="7" t="s">
        <v>5181</v>
      </c>
      <c r="P284" s="7" t="s">
        <v>1150</v>
      </c>
      <c r="Q284" s="7" t="s">
        <v>1480</v>
      </c>
      <c r="R284" s="7" t="s">
        <v>1152</v>
      </c>
      <c r="S284" s="8" t="s">
        <v>5150</v>
      </c>
      <c r="T284" s="12"/>
      <c r="U284" s="12"/>
    </row>
    <row r="285" customFormat="false" ht="35.05" hidden="false" customHeight="false" outlineLevel="0" collapsed="false">
      <c r="A285" s="7" t="s">
        <v>5190</v>
      </c>
      <c r="B285" s="14" t="s">
        <v>5191</v>
      </c>
      <c r="C285" s="7" t="s">
        <v>556</v>
      </c>
      <c r="D285" s="7" t="s">
        <v>471</v>
      </c>
      <c r="E285" s="7" t="s">
        <v>556</v>
      </c>
      <c r="F285" s="7" t="s">
        <v>5192</v>
      </c>
      <c r="G285" s="7" t="s">
        <v>5066</v>
      </c>
      <c r="H285" s="7" t="s">
        <v>928</v>
      </c>
      <c r="I285" s="7" t="s">
        <v>1148</v>
      </c>
      <c r="J285" s="8" t="s">
        <v>5193</v>
      </c>
      <c r="K285" s="8" t="s">
        <v>474</v>
      </c>
      <c r="L285" s="7" t="s">
        <v>483</v>
      </c>
      <c r="M285" s="7" t="s">
        <v>5194</v>
      </c>
      <c r="N285" s="7" t="n">
        <v>3</v>
      </c>
      <c r="O285" s="7" t="s">
        <v>557</v>
      </c>
      <c r="P285" s="7" t="s">
        <v>1150</v>
      </c>
      <c r="Q285" s="7" t="s">
        <v>1480</v>
      </c>
      <c r="R285" s="7" t="s">
        <v>1152</v>
      </c>
      <c r="S285" s="8" t="s">
        <v>3984</v>
      </c>
      <c r="T285" s="12"/>
      <c r="U285" s="12"/>
    </row>
    <row r="286" customFormat="false" ht="46.25" hidden="false" customHeight="false" outlineLevel="0" collapsed="false">
      <c r="A286" s="7" t="s">
        <v>5195</v>
      </c>
      <c r="B286" s="14" t="s">
        <v>5191</v>
      </c>
      <c r="C286" s="7" t="s">
        <v>556</v>
      </c>
      <c r="D286" s="7" t="s">
        <v>471</v>
      </c>
      <c r="E286" s="7" t="s">
        <v>556</v>
      </c>
      <c r="F286" s="7" t="s">
        <v>5196</v>
      </c>
      <c r="G286" s="7" t="s">
        <v>5066</v>
      </c>
      <c r="H286" s="7" t="s">
        <v>943</v>
      </c>
      <c r="I286" s="7" t="s">
        <v>1424</v>
      </c>
      <c r="J286" s="8" t="s">
        <v>5197</v>
      </c>
      <c r="K286" s="8" t="s">
        <v>474</v>
      </c>
      <c r="L286" s="7" t="s">
        <v>998</v>
      </c>
      <c r="M286" s="7" t="s">
        <v>5198</v>
      </c>
      <c r="N286" s="7" t="s">
        <v>952</v>
      </c>
      <c r="O286" s="7" t="s">
        <v>5194</v>
      </c>
      <c r="P286" s="7" t="s">
        <v>1150</v>
      </c>
      <c r="Q286" s="7" t="s">
        <v>1480</v>
      </c>
      <c r="R286" s="7" t="s">
        <v>1152</v>
      </c>
      <c r="S286" s="8" t="s">
        <v>5145</v>
      </c>
      <c r="T286" s="12"/>
      <c r="U286" s="12"/>
    </row>
    <row r="287" customFormat="false" ht="46.25" hidden="false" customHeight="false" outlineLevel="0" collapsed="false">
      <c r="A287" s="7" t="s">
        <v>5199</v>
      </c>
      <c r="B287" s="14" t="s">
        <v>5191</v>
      </c>
      <c r="C287" s="7" t="s">
        <v>556</v>
      </c>
      <c r="D287" s="7" t="s">
        <v>471</v>
      </c>
      <c r="E287" s="7" t="s">
        <v>556</v>
      </c>
      <c r="F287" s="7" t="s">
        <v>5200</v>
      </c>
      <c r="G287" s="7" t="s">
        <v>5066</v>
      </c>
      <c r="H287" s="7" t="s">
        <v>943</v>
      </c>
      <c r="I287" s="7" t="s">
        <v>1424</v>
      </c>
      <c r="J287" s="8" t="s">
        <v>5201</v>
      </c>
      <c r="K287" s="8" t="s">
        <v>474</v>
      </c>
      <c r="L287" s="7" t="s">
        <v>998</v>
      </c>
      <c r="M287" s="7" t="s">
        <v>5202</v>
      </c>
      <c r="N287" s="7" t="s">
        <v>952</v>
      </c>
      <c r="O287" s="7" t="s">
        <v>5194</v>
      </c>
      <c r="P287" s="7" t="s">
        <v>1150</v>
      </c>
      <c r="Q287" s="7" t="s">
        <v>1480</v>
      </c>
      <c r="R287" s="7" t="s">
        <v>1152</v>
      </c>
      <c r="S287" s="8" t="s">
        <v>5150</v>
      </c>
      <c r="T287" s="12"/>
      <c r="U287" s="12"/>
    </row>
    <row r="288" customFormat="false" ht="35.05" hidden="false" customHeight="false" outlineLevel="0" collapsed="false">
      <c r="A288" s="7" t="s">
        <v>5203</v>
      </c>
      <c r="B288" s="14" t="s">
        <v>5204</v>
      </c>
      <c r="C288" s="7" t="s">
        <v>556</v>
      </c>
      <c r="D288" s="7" t="s">
        <v>471</v>
      </c>
      <c r="E288" s="7" t="s">
        <v>556</v>
      </c>
      <c r="F288" s="7" t="s">
        <v>5205</v>
      </c>
      <c r="G288" s="7" t="s">
        <v>5066</v>
      </c>
      <c r="H288" s="7" t="s">
        <v>928</v>
      </c>
      <c r="I288" s="7" t="s">
        <v>1148</v>
      </c>
      <c r="J288" s="8" t="s">
        <v>5206</v>
      </c>
      <c r="K288" s="8" t="s">
        <v>474</v>
      </c>
      <c r="L288" s="7" t="s">
        <v>483</v>
      </c>
      <c r="M288" s="7" t="s">
        <v>5207</v>
      </c>
      <c r="N288" s="7" t="n">
        <v>3</v>
      </c>
      <c r="O288" s="7" t="s">
        <v>557</v>
      </c>
      <c r="P288" s="7" t="s">
        <v>1150</v>
      </c>
      <c r="Q288" s="7" t="s">
        <v>1480</v>
      </c>
      <c r="R288" s="7" t="s">
        <v>1152</v>
      </c>
      <c r="S288" s="8" t="s">
        <v>3984</v>
      </c>
      <c r="T288" s="12"/>
      <c r="U288" s="12"/>
    </row>
    <row r="289" customFormat="false" ht="46.25" hidden="false" customHeight="false" outlineLevel="0" collapsed="false">
      <c r="A289" s="7" t="s">
        <v>5208</v>
      </c>
      <c r="B289" s="14" t="s">
        <v>5204</v>
      </c>
      <c r="C289" s="7" t="s">
        <v>556</v>
      </c>
      <c r="D289" s="7" t="s">
        <v>471</v>
      </c>
      <c r="E289" s="7" t="s">
        <v>556</v>
      </c>
      <c r="F289" s="7" t="s">
        <v>5209</v>
      </c>
      <c r="G289" s="7" t="s">
        <v>5066</v>
      </c>
      <c r="H289" s="7" t="s">
        <v>943</v>
      </c>
      <c r="I289" s="7" t="s">
        <v>1424</v>
      </c>
      <c r="J289" s="8" t="s">
        <v>5210</v>
      </c>
      <c r="K289" s="8" t="s">
        <v>474</v>
      </c>
      <c r="L289" s="7" t="s">
        <v>998</v>
      </c>
      <c r="M289" s="7" t="s">
        <v>5211</v>
      </c>
      <c r="N289" s="7" t="s">
        <v>952</v>
      </c>
      <c r="O289" s="7" t="s">
        <v>5207</v>
      </c>
      <c r="P289" s="7" t="s">
        <v>1150</v>
      </c>
      <c r="Q289" s="7" t="s">
        <v>1480</v>
      </c>
      <c r="R289" s="7" t="s">
        <v>1152</v>
      </c>
      <c r="S289" s="8" t="s">
        <v>5145</v>
      </c>
      <c r="T289" s="12"/>
      <c r="U289" s="12"/>
    </row>
    <row r="290" customFormat="false" ht="46.25" hidden="false" customHeight="false" outlineLevel="0" collapsed="false">
      <c r="A290" s="7" t="s">
        <v>5212</v>
      </c>
      <c r="B290" s="14" t="s">
        <v>5204</v>
      </c>
      <c r="C290" s="7" t="s">
        <v>556</v>
      </c>
      <c r="D290" s="7" t="s">
        <v>471</v>
      </c>
      <c r="E290" s="7" t="s">
        <v>556</v>
      </c>
      <c r="F290" s="7" t="s">
        <v>5213</v>
      </c>
      <c r="G290" s="7" t="s">
        <v>5066</v>
      </c>
      <c r="H290" s="7" t="s">
        <v>943</v>
      </c>
      <c r="I290" s="7" t="s">
        <v>1424</v>
      </c>
      <c r="J290" s="8" t="s">
        <v>5214</v>
      </c>
      <c r="K290" s="8" t="s">
        <v>474</v>
      </c>
      <c r="L290" s="7" t="s">
        <v>998</v>
      </c>
      <c r="M290" s="7" t="s">
        <v>5215</v>
      </c>
      <c r="N290" s="7" t="s">
        <v>952</v>
      </c>
      <c r="O290" s="7" t="s">
        <v>5207</v>
      </c>
      <c r="P290" s="7" t="s">
        <v>1150</v>
      </c>
      <c r="Q290" s="7" t="s">
        <v>1480</v>
      </c>
      <c r="R290" s="7" t="s">
        <v>1152</v>
      </c>
      <c r="S290" s="8" t="s">
        <v>5150</v>
      </c>
      <c r="T290" s="12"/>
      <c r="U290" s="12"/>
    </row>
    <row r="291" customFormat="false" ht="35.05" hidden="false" customHeight="false" outlineLevel="0" collapsed="false">
      <c r="A291" s="7" t="s">
        <v>5216</v>
      </c>
      <c r="B291" s="14" t="s">
        <v>5217</v>
      </c>
      <c r="C291" s="7" t="s">
        <v>556</v>
      </c>
      <c r="D291" s="7" t="s">
        <v>471</v>
      </c>
      <c r="E291" s="7" t="s">
        <v>556</v>
      </c>
      <c r="F291" s="7" t="s">
        <v>5218</v>
      </c>
      <c r="G291" s="7" t="s">
        <v>5066</v>
      </c>
      <c r="H291" s="7" t="s">
        <v>928</v>
      </c>
      <c r="I291" s="7" t="s">
        <v>1148</v>
      </c>
      <c r="J291" s="8" t="s">
        <v>5219</v>
      </c>
      <c r="K291" s="8" t="s">
        <v>474</v>
      </c>
      <c r="L291" s="7" t="s">
        <v>483</v>
      </c>
      <c r="M291" s="7" t="s">
        <v>5220</v>
      </c>
      <c r="N291" s="7" t="n">
        <v>3</v>
      </c>
      <c r="O291" s="7" t="s">
        <v>557</v>
      </c>
      <c r="P291" s="7" t="s">
        <v>1150</v>
      </c>
      <c r="Q291" s="7" t="s">
        <v>1480</v>
      </c>
      <c r="R291" s="7" t="s">
        <v>1152</v>
      </c>
      <c r="S291" s="8" t="s">
        <v>3984</v>
      </c>
      <c r="T291" s="12"/>
      <c r="U291" s="12"/>
    </row>
    <row r="292" customFormat="false" ht="46.25" hidden="false" customHeight="false" outlineLevel="0" collapsed="false">
      <c r="A292" s="7" t="s">
        <v>5221</v>
      </c>
      <c r="B292" s="14" t="s">
        <v>5217</v>
      </c>
      <c r="C292" s="7" t="s">
        <v>556</v>
      </c>
      <c r="D292" s="7" t="s">
        <v>471</v>
      </c>
      <c r="E292" s="7" t="s">
        <v>556</v>
      </c>
      <c r="F292" s="7" t="s">
        <v>5222</v>
      </c>
      <c r="G292" s="7" t="s">
        <v>5066</v>
      </c>
      <c r="H292" s="7" t="s">
        <v>943</v>
      </c>
      <c r="I292" s="7" t="s">
        <v>1424</v>
      </c>
      <c r="J292" s="8" t="s">
        <v>5223</v>
      </c>
      <c r="K292" s="8" t="s">
        <v>474</v>
      </c>
      <c r="L292" s="7" t="s">
        <v>998</v>
      </c>
      <c r="M292" s="7" t="s">
        <v>5224</v>
      </c>
      <c r="N292" s="7" t="s">
        <v>952</v>
      </c>
      <c r="O292" s="7" t="s">
        <v>5220</v>
      </c>
      <c r="P292" s="7" t="s">
        <v>1150</v>
      </c>
      <c r="Q292" s="7" t="s">
        <v>1480</v>
      </c>
      <c r="R292" s="7" t="s">
        <v>1152</v>
      </c>
      <c r="S292" s="8" t="s">
        <v>5145</v>
      </c>
      <c r="T292" s="12"/>
      <c r="U292" s="12"/>
    </row>
    <row r="293" customFormat="false" ht="46.25" hidden="false" customHeight="false" outlineLevel="0" collapsed="false">
      <c r="A293" s="7" t="s">
        <v>5225</v>
      </c>
      <c r="B293" s="14" t="s">
        <v>5217</v>
      </c>
      <c r="C293" s="7" t="s">
        <v>556</v>
      </c>
      <c r="D293" s="7" t="s">
        <v>471</v>
      </c>
      <c r="E293" s="7" t="s">
        <v>556</v>
      </c>
      <c r="F293" s="7" t="s">
        <v>5226</v>
      </c>
      <c r="G293" s="7" t="s">
        <v>5066</v>
      </c>
      <c r="H293" s="7" t="s">
        <v>943</v>
      </c>
      <c r="I293" s="7" t="s">
        <v>1424</v>
      </c>
      <c r="J293" s="8" t="s">
        <v>5227</v>
      </c>
      <c r="K293" s="8" t="s">
        <v>474</v>
      </c>
      <c r="L293" s="7" t="s">
        <v>998</v>
      </c>
      <c r="M293" s="7" t="s">
        <v>5228</v>
      </c>
      <c r="N293" s="7" t="s">
        <v>952</v>
      </c>
      <c r="O293" s="7" t="s">
        <v>5220</v>
      </c>
      <c r="P293" s="7" t="s">
        <v>1150</v>
      </c>
      <c r="Q293" s="7" t="s">
        <v>1480</v>
      </c>
      <c r="R293" s="7" t="s">
        <v>1152</v>
      </c>
      <c r="S293" s="8" t="s">
        <v>5150</v>
      </c>
      <c r="T293" s="12"/>
      <c r="U293" s="12"/>
    </row>
    <row r="294" customFormat="false" ht="35.05" hidden="false" customHeight="false" outlineLevel="0" collapsed="false">
      <c r="A294" s="7" t="s">
        <v>5229</v>
      </c>
      <c r="B294" s="14" t="s">
        <v>5230</v>
      </c>
      <c r="C294" s="7" t="s">
        <v>556</v>
      </c>
      <c r="D294" s="7" t="s">
        <v>471</v>
      </c>
      <c r="E294" s="7" t="s">
        <v>556</v>
      </c>
      <c r="F294" s="7" t="s">
        <v>5231</v>
      </c>
      <c r="G294" s="7" t="s">
        <v>5066</v>
      </c>
      <c r="H294" s="7" t="s">
        <v>928</v>
      </c>
      <c r="I294" s="7" t="s">
        <v>1148</v>
      </c>
      <c r="J294" s="8" t="s">
        <v>5232</v>
      </c>
      <c r="K294" s="8" t="s">
        <v>474</v>
      </c>
      <c r="L294" s="7" t="s">
        <v>483</v>
      </c>
      <c r="M294" s="7" t="s">
        <v>5233</v>
      </c>
      <c r="N294" s="7" t="n">
        <v>3</v>
      </c>
      <c r="O294" s="7" t="s">
        <v>557</v>
      </c>
      <c r="P294" s="7" t="s">
        <v>1150</v>
      </c>
      <c r="Q294" s="7" t="s">
        <v>1480</v>
      </c>
      <c r="R294" s="7" t="s">
        <v>1152</v>
      </c>
      <c r="S294" s="8" t="s">
        <v>3984</v>
      </c>
      <c r="T294" s="12"/>
      <c r="U294" s="12"/>
    </row>
    <row r="295" customFormat="false" ht="46.25" hidden="false" customHeight="false" outlineLevel="0" collapsed="false">
      <c r="A295" s="7" t="s">
        <v>5234</v>
      </c>
      <c r="B295" s="14" t="s">
        <v>5230</v>
      </c>
      <c r="C295" s="7" t="s">
        <v>556</v>
      </c>
      <c r="D295" s="7" t="s">
        <v>471</v>
      </c>
      <c r="E295" s="7" t="s">
        <v>556</v>
      </c>
      <c r="F295" s="7" t="s">
        <v>5235</v>
      </c>
      <c r="G295" s="7" t="s">
        <v>5066</v>
      </c>
      <c r="H295" s="7" t="s">
        <v>943</v>
      </c>
      <c r="I295" s="7" t="s">
        <v>1424</v>
      </c>
      <c r="J295" s="8" t="s">
        <v>5236</v>
      </c>
      <c r="K295" s="8" t="s">
        <v>474</v>
      </c>
      <c r="L295" s="7" t="s">
        <v>998</v>
      </c>
      <c r="M295" s="7" t="s">
        <v>5237</v>
      </c>
      <c r="N295" s="7" t="s">
        <v>952</v>
      </c>
      <c r="O295" s="7" t="s">
        <v>5233</v>
      </c>
      <c r="P295" s="7" t="s">
        <v>1150</v>
      </c>
      <c r="Q295" s="7" t="s">
        <v>1480</v>
      </c>
      <c r="R295" s="7" t="s">
        <v>1152</v>
      </c>
      <c r="S295" s="8" t="s">
        <v>5145</v>
      </c>
      <c r="T295" s="12"/>
      <c r="U295" s="12"/>
    </row>
    <row r="296" customFormat="false" ht="46.25" hidden="false" customHeight="false" outlineLevel="0" collapsed="false">
      <c r="A296" s="7" t="s">
        <v>5238</v>
      </c>
      <c r="B296" s="14" t="s">
        <v>5230</v>
      </c>
      <c r="C296" s="7" t="s">
        <v>556</v>
      </c>
      <c r="D296" s="7" t="s">
        <v>471</v>
      </c>
      <c r="E296" s="7" t="s">
        <v>556</v>
      </c>
      <c r="F296" s="7" t="s">
        <v>5239</v>
      </c>
      <c r="G296" s="7" t="s">
        <v>5066</v>
      </c>
      <c r="H296" s="7" t="s">
        <v>943</v>
      </c>
      <c r="I296" s="7" t="s">
        <v>1424</v>
      </c>
      <c r="J296" s="8" t="s">
        <v>5240</v>
      </c>
      <c r="K296" s="8" t="s">
        <v>474</v>
      </c>
      <c r="L296" s="7" t="s">
        <v>998</v>
      </c>
      <c r="M296" s="7" t="s">
        <v>5241</v>
      </c>
      <c r="N296" s="7" t="s">
        <v>952</v>
      </c>
      <c r="O296" s="7" t="s">
        <v>5233</v>
      </c>
      <c r="P296" s="7" t="s">
        <v>1150</v>
      </c>
      <c r="Q296" s="7" t="s">
        <v>1480</v>
      </c>
      <c r="R296" s="7" t="s">
        <v>1152</v>
      </c>
      <c r="S296" s="8" t="s">
        <v>5150</v>
      </c>
      <c r="T296" s="12"/>
      <c r="U296" s="12"/>
    </row>
    <row r="297" customFormat="false" ht="35.05" hidden="false" customHeight="false" outlineLevel="0" collapsed="false">
      <c r="A297" s="7" t="s">
        <v>5242</v>
      </c>
      <c r="B297" s="14" t="s">
        <v>3986</v>
      </c>
      <c r="C297" s="7" t="s">
        <v>561</v>
      </c>
      <c r="D297" s="7" t="s">
        <v>471</v>
      </c>
      <c r="E297" s="7" t="s">
        <v>879</v>
      </c>
      <c r="F297" s="7" t="s">
        <v>561</v>
      </c>
      <c r="G297" s="7" t="s">
        <v>3987</v>
      </c>
      <c r="H297" s="7" t="s">
        <v>928</v>
      </c>
      <c r="I297" s="7" t="s">
        <v>1148</v>
      </c>
      <c r="J297" s="8" t="s">
        <v>5243</v>
      </c>
      <c r="K297" s="8" t="s">
        <v>474</v>
      </c>
      <c r="L297" s="7" t="s">
        <v>478</v>
      </c>
      <c r="M297" s="7" t="s">
        <v>562</v>
      </c>
      <c r="N297" s="7" t="n">
        <v>2</v>
      </c>
      <c r="O297" s="7" t="s">
        <v>472</v>
      </c>
      <c r="P297" s="7" t="s">
        <v>1150</v>
      </c>
      <c r="Q297" s="7" t="s">
        <v>1183</v>
      </c>
      <c r="R297" s="7" t="s">
        <v>1152</v>
      </c>
      <c r="S297" s="8"/>
      <c r="T297" s="12"/>
      <c r="U297" s="12"/>
    </row>
    <row r="298" customFormat="false" ht="35.05" hidden="false" customHeight="false" outlineLevel="0" collapsed="false">
      <c r="A298" s="7" t="s">
        <v>5244</v>
      </c>
      <c r="B298" s="14" t="s">
        <v>5245</v>
      </c>
      <c r="C298" s="7" t="s">
        <v>561</v>
      </c>
      <c r="D298" s="7" t="s">
        <v>471</v>
      </c>
      <c r="E298" s="7" t="s">
        <v>561</v>
      </c>
      <c r="F298" s="7" t="s">
        <v>5246</v>
      </c>
      <c r="G298" s="7" t="s">
        <v>5066</v>
      </c>
      <c r="H298" s="7" t="s">
        <v>928</v>
      </c>
      <c r="I298" s="7" t="s">
        <v>1148</v>
      </c>
      <c r="J298" s="8" t="s">
        <v>5247</v>
      </c>
      <c r="K298" s="8" t="s">
        <v>474</v>
      </c>
      <c r="L298" s="7" t="s">
        <v>483</v>
      </c>
      <c r="M298" s="7" t="s">
        <v>5248</v>
      </c>
      <c r="N298" s="7" t="n">
        <v>3</v>
      </c>
      <c r="O298" s="7" t="s">
        <v>562</v>
      </c>
      <c r="P298" s="7" t="s">
        <v>1150</v>
      </c>
      <c r="Q298" s="7" t="s">
        <v>1183</v>
      </c>
      <c r="R298" s="7" t="s">
        <v>1152</v>
      </c>
      <c r="S298" s="8" t="s">
        <v>3984</v>
      </c>
      <c r="T298" s="12"/>
      <c r="U298" s="12"/>
    </row>
    <row r="299" customFormat="false" ht="46.25" hidden="false" customHeight="false" outlineLevel="0" collapsed="false">
      <c r="A299" s="7" t="s">
        <v>5249</v>
      </c>
      <c r="B299" s="14" t="s">
        <v>5245</v>
      </c>
      <c r="C299" s="7" t="s">
        <v>561</v>
      </c>
      <c r="D299" s="7" t="s">
        <v>471</v>
      </c>
      <c r="E299" s="7" t="s">
        <v>561</v>
      </c>
      <c r="F299" s="7" t="s">
        <v>5250</v>
      </c>
      <c r="G299" s="7" t="s">
        <v>5066</v>
      </c>
      <c r="H299" s="7" t="s">
        <v>943</v>
      </c>
      <c r="I299" s="7" t="s">
        <v>1424</v>
      </c>
      <c r="J299" s="8" t="s">
        <v>5251</v>
      </c>
      <c r="K299" s="8" t="s">
        <v>474</v>
      </c>
      <c r="L299" s="7" t="s">
        <v>998</v>
      </c>
      <c r="M299" s="7" t="s">
        <v>5252</v>
      </c>
      <c r="N299" s="7" t="s">
        <v>952</v>
      </c>
      <c r="O299" s="7" t="s">
        <v>5248</v>
      </c>
      <c r="P299" s="7" t="s">
        <v>1150</v>
      </c>
      <c r="Q299" s="7" t="s">
        <v>1480</v>
      </c>
      <c r="R299" s="7" t="s">
        <v>1152</v>
      </c>
      <c r="S299" s="8" t="s">
        <v>5253</v>
      </c>
      <c r="T299" s="12"/>
      <c r="U299" s="12"/>
    </row>
    <row r="300" customFormat="false" ht="46.25" hidden="false" customHeight="false" outlineLevel="0" collapsed="false">
      <c r="A300" s="7" t="s">
        <v>5254</v>
      </c>
      <c r="B300" s="14" t="s">
        <v>5245</v>
      </c>
      <c r="C300" s="7" t="s">
        <v>561</v>
      </c>
      <c r="D300" s="7" t="s">
        <v>471</v>
      </c>
      <c r="E300" s="7" t="s">
        <v>561</v>
      </c>
      <c r="F300" s="7" t="s">
        <v>5255</v>
      </c>
      <c r="G300" s="7" t="s">
        <v>5066</v>
      </c>
      <c r="H300" s="7" t="s">
        <v>943</v>
      </c>
      <c r="I300" s="7" t="s">
        <v>1424</v>
      </c>
      <c r="J300" s="8" t="s">
        <v>5256</v>
      </c>
      <c r="K300" s="8" t="s">
        <v>474</v>
      </c>
      <c r="L300" s="7" t="s">
        <v>998</v>
      </c>
      <c r="M300" s="7" t="s">
        <v>5257</v>
      </c>
      <c r="N300" s="7" t="s">
        <v>952</v>
      </c>
      <c r="O300" s="7" t="s">
        <v>5248</v>
      </c>
      <c r="P300" s="7" t="s">
        <v>1150</v>
      </c>
      <c r="Q300" s="7" t="s">
        <v>1480</v>
      </c>
      <c r="R300" s="7" t="s">
        <v>1152</v>
      </c>
      <c r="S300" s="8" t="s">
        <v>3999</v>
      </c>
      <c r="T300" s="12"/>
      <c r="U300" s="12"/>
    </row>
    <row r="301" customFormat="false" ht="35.05" hidden="false" customHeight="false" outlineLevel="0" collapsed="false">
      <c r="A301" s="7" t="s">
        <v>5258</v>
      </c>
      <c r="B301" s="14" t="s">
        <v>5259</v>
      </c>
      <c r="C301" s="7" t="s">
        <v>561</v>
      </c>
      <c r="D301" s="7" t="s">
        <v>471</v>
      </c>
      <c r="E301" s="7" t="s">
        <v>561</v>
      </c>
      <c r="F301" s="7" t="s">
        <v>5260</v>
      </c>
      <c r="G301" s="7" t="s">
        <v>5066</v>
      </c>
      <c r="H301" s="7" t="s">
        <v>928</v>
      </c>
      <c r="I301" s="7" t="s">
        <v>1148</v>
      </c>
      <c r="J301" s="8" t="s">
        <v>5261</v>
      </c>
      <c r="K301" s="8" t="s">
        <v>474</v>
      </c>
      <c r="L301" s="7" t="s">
        <v>483</v>
      </c>
      <c r="M301" s="7" t="s">
        <v>5262</v>
      </c>
      <c r="N301" s="7" t="n">
        <v>3</v>
      </c>
      <c r="O301" s="7" t="s">
        <v>562</v>
      </c>
      <c r="P301" s="7" t="s">
        <v>1150</v>
      </c>
      <c r="Q301" s="7" t="s">
        <v>1480</v>
      </c>
      <c r="R301" s="7" t="s">
        <v>1152</v>
      </c>
      <c r="S301" s="8" t="s">
        <v>3984</v>
      </c>
      <c r="T301" s="12"/>
      <c r="U301" s="12"/>
    </row>
    <row r="302" customFormat="false" ht="46.25" hidden="false" customHeight="false" outlineLevel="0" collapsed="false">
      <c r="A302" s="7" t="s">
        <v>5263</v>
      </c>
      <c r="B302" s="14" t="s">
        <v>5259</v>
      </c>
      <c r="C302" s="7" t="s">
        <v>561</v>
      </c>
      <c r="D302" s="7" t="s">
        <v>471</v>
      </c>
      <c r="E302" s="7" t="s">
        <v>561</v>
      </c>
      <c r="F302" s="7" t="s">
        <v>5264</v>
      </c>
      <c r="G302" s="7" t="s">
        <v>5066</v>
      </c>
      <c r="H302" s="7" t="s">
        <v>943</v>
      </c>
      <c r="I302" s="7" t="s">
        <v>1424</v>
      </c>
      <c r="J302" s="8" t="s">
        <v>5265</v>
      </c>
      <c r="K302" s="8" t="s">
        <v>474</v>
      </c>
      <c r="L302" s="7" t="s">
        <v>998</v>
      </c>
      <c r="M302" s="7" t="s">
        <v>5266</v>
      </c>
      <c r="N302" s="7" t="s">
        <v>952</v>
      </c>
      <c r="O302" s="7" t="s">
        <v>5262</v>
      </c>
      <c r="P302" s="7" t="s">
        <v>1150</v>
      </c>
      <c r="Q302" s="7" t="s">
        <v>1480</v>
      </c>
      <c r="R302" s="7" t="s">
        <v>1152</v>
      </c>
      <c r="S302" s="8" t="s">
        <v>5253</v>
      </c>
      <c r="T302" s="12"/>
      <c r="U302" s="12"/>
    </row>
    <row r="303" customFormat="false" ht="46.25" hidden="false" customHeight="false" outlineLevel="0" collapsed="false">
      <c r="A303" s="7" t="s">
        <v>5267</v>
      </c>
      <c r="B303" s="14" t="s">
        <v>5259</v>
      </c>
      <c r="C303" s="7" t="s">
        <v>561</v>
      </c>
      <c r="D303" s="7" t="s">
        <v>471</v>
      </c>
      <c r="E303" s="7" t="s">
        <v>561</v>
      </c>
      <c r="F303" s="7" t="s">
        <v>5268</v>
      </c>
      <c r="G303" s="7" t="s">
        <v>5066</v>
      </c>
      <c r="H303" s="7" t="s">
        <v>943</v>
      </c>
      <c r="I303" s="7" t="s">
        <v>1424</v>
      </c>
      <c r="J303" s="8" t="s">
        <v>5269</v>
      </c>
      <c r="K303" s="8" t="s">
        <v>474</v>
      </c>
      <c r="L303" s="7" t="s">
        <v>998</v>
      </c>
      <c r="M303" s="7" t="s">
        <v>5270</v>
      </c>
      <c r="N303" s="7" t="s">
        <v>952</v>
      </c>
      <c r="O303" s="7" t="s">
        <v>5262</v>
      </c>
      <c r="P303" s="7" t="s">
        <v>1150</v>
      </c>
      <c r="Q303" s="7" t="s">
        <v>1480</v>
      </c>
      <c r="R303" s="7" t="s">
        <v>1152</v>
      </c>
      <c r="S303" s="8" t="s">
        <v>3999</v>
      </c>
      <c r="T303" s="12"/>
      <c r="U303" s="12"/>
    </row>
    <row r="304" customFormat="false" ht="35.05" hidden="false" customHeight="false" outlineLevel="0" collapsed="false">
      <c r="A304" s="7" t="s">
        <v>5271</v>
      </c>
      <c r="B304" s="14" t="s">
        <v>5272</v>
      </c>
      <c r="C304" s="7" t="s">
        <v>561</v>
      </c>
      <c r="D304" s="7" t="s">
        <v>471</v>
      </c>
      <c r="E304" s="7" t="s">
        <v>561</v>
      </c>
      <c r="F304" s="7" t="s">
        <v>5273</v>
      </c>
      <c r="G304" s="7" t="s">
        <v>5066</v>
      </c>
      <c r="H304" s="7" t="s">
        <v>928</v>
      </c>
      <c r="I304" s="7" t="s">
        <v>1148</v>
      </c>
      <c r="J304" s="8" t="s">
        <v>5274</v>
      </c>
      <c r="K304" s="8" t="s">
        <v>474</v>
      </c>
      <c r="L304" s="7" t="s">
        <v>483</v>
      </c>
      <c r="M304" s="7" t="s">
        <v>5275</v>
      </c>
      <c r="N304" s="7" t="n">
        <v>3</v>
      </c>
      <c r="O304" s="7" t="s">
        <v>562</v>
      </c>
      <c r="P304" s="7" t="s">
        <v>1150</v>
      </c>
      <c r="Q304" s="7" t="s">
        <v>1480</v>
      </c>
      <c r="R304" s="7" t="s">
        <v>1152</v>
      </c>
      <c r="S304" s="8" t="s">
        <v>3984</v>
      </c>
      <c r="T304" s="12"/>
      <c r="U304" s="12"/>
    </row>
    <row r="305" customFormat="false" ht="46.25" hidden="false" customHeight="false" outlineLevel="0" collapsed="false">
      <c r="A305" s="7" t="s">
        <v>5276</v>
      </c>
      <c r="B305" s="14" t="s">
        <v>5272</v>
      </c>
      <c r="C305" s="7" t="s">
        <v>561</v>
      </c>
      <c r="D305" s="7" t="s">
        <v>471</v>
      </c>
      <c r="E305" s="7" t="s">
        <v>561</v>
      </c>
      <c r="F305" s="7" t="s">
        <v>5277</v>
      </c>
      <c r="G305" s="7" t="s">
        <v>5066</v>
      </c>
      <c r="H305" s="7" t="s">
        <v>943</v>
      </c>
      <c r="I305" s="7" t="s">
        <v>1424</v>
      </c>
      <c r="J305" s="8" t="s">
        <v>5278</v>
      </c>
      <c r="K305" s="8" t="s">
        <v>474</v>
      </c>
      <c r="L305" s="7" t="s">
        <v>998</v>
      </c>
      <c r="M305" s="7" t="s">
        <v>5279</v>
      </c>
      <c r="N305" s="7" t="s">
        <v>952</v>
      </c>
      <c r="O305" s="7" t="s">
        <v>5275</v>
      </c>
      <c r="P305" s="7" t="s">
        <v>1150</v>
      </c>
      <c r="Q305" s="7" t="s">
        <v>1480</v>
      </c>
      <c r="R305" s="7" t="s">
        <v>1152</v>
      </c>
      <c r="S305" s="8" t="s">
        <v>5253</v>
      </c>
      <c r="T305" s="12"/>
      <c r="U305" s="12"/>
    </row>
    <row r="306" customFormat="false" ht="46.25" hidden="false" customHeight="false" outlineLevel="0" collapsed="false">
      <c r="A306" s="7" t="s">
        <v>5280</v>
      </c>
      <c r="B306" s="14" t="s">
        <v>5272</v>
      </c>
      <c r="C306" s="7" t="s">
        <v>561</v>
      </c>
      <c r="D306" s="7" t="s">
        <v>471</v>
      </c>
      <c r="E306" s="7" t="s">
        <v>561</v>
      </c>
      <c r="F306" s="7" t="s">
        <v>5281</v>
      </c>
      <c r="G306" s="7" t="s">
        <v>5066</v>
      </c>
      <c r="H306" s="7" t="s">
        <v>943</v>
      </c>
      <c r="I306" s="7" t="s">
        <v>1424</v>
      </c>
      <c r="J306" s="8" t="s">
        <v>5282</v>
      </c>
      <c r="K306" s="8" t="s">
        <v>474</v>
      </c>
      <c r="L306" s="7" t="s">
        <v>998</v>
      </c>
      <c r="M306" s="7" t="s">
        <v>5283</v>
      </c>
      <c r="N306" s="7" t="s">
        <v>952</v>
      </c>
      <c r="O306" s="7" t="s">
        <v>5275</v>
      </c>
      <c r="P306" s="7" t="s">
        <v>1150</v>
      </c>
      <c r="Q306" s="7" t="s">
        <v>1480</v>
      </c>
      <c r="R306" s="7" t="s">
        <v>1152</v>
      </c>
      <c r="S306" s="8" t="s">
        <v>3999</v>
      </c>
      <c r="T306" s="12"/>
      <c r="U306" s="12"/>
    </row>
    <row r="307" customFormat="false" ht="35.05" hidden="false" customHeight="false" outlineLevel="0" collapsed="false">
      <c r="A307" s="7" t="s">
        <v>5284</v>
      </c>
      <c r="B307" s="14" t="s">
        <v>3986</v>
      </c>
      <c r="C307" s="7" t="s">
        <v>566</v>
      </c>
      <c r="D307" s="7" t="s">
        <v>471</v>
      </c>
      <c r="E307" s="7" t="s">
        <v>879</v>
      </c>
      <c r="F307" s="7" t="s">
        <v>566</v>
      </c>
      <c r="G307" s="7" t="s">
        <v>3987</v>
      </c>
      <c r="H307" s="7" t="s">
        <v>928</v>
      </c>
      <c r="I307" s="7" t="s">
        <v>1148</v>
      </c>
      <c r="J307" s="8" t="s">
        <v>5285</v>
      </c>
      <c r="K307" s="8" t="s">
        <v>474</v>
      </c>
      <c r="L307" s="7" t="s">
        <v>478</v>
      </c>
      <c r="M307" s="7" t="s">
        <v>567</v>
      </c>
      <c r="N307" s="7" t="n">
        <v>2</v>
      </c>
      <c r="O307" s="7" t="s">
        <v>472</v>
      </c>
      <c r="P307" s="7" t="s">
        <v>1150</v>
      </c>
      <c r="Q307" s="7" t="s">
        <v>1480</v>
      </c>
      <c r="R307" s="7" t="s">
        <v>1152</v>
      </c>
      <c r="S307" s="8"/>
      <c r="T307" s="12"/>
      <c r="U307" s="12"/>
    </row>
    <row r="308" customFormat="false" ht="35.05" hidden="false" customHeight="false" outlineLevel="0" collapsed="false">
      <c r="A308" s="7" t="s">
        <v>5286</v>
      </c>
      <c r="B308" s="14" t="s">
        <v>5287</v>
      </c>
      <c r="C308" s="7" t="s">
        <v>566</v>
      </c>
      <c r="D308" s="7" t="s">
        <v>471</v>
      </c>
      <c r="E308" s="7" t="s">
        <v>566</v>
      </c>
      <c r="F308" s="7" t="s">
        <v>5288</v>
      </c>
      <c r="G308" s="7" t="s">
        <v>5066</v>
      </c>
      <c r="H308" s="7" t="s">
        <v>928</v>
      </c>
      <c r="I308" s="7" t="s">
        <v>1148</v>
      </c>
      <c r="J308" s="8" t="s">
        <v>5289</v>
      </c>
      <c r="K308" s="8" t="s">
        <v>474</v>
      </c>
      <c r="L308" s="7" t="s">
        <v>483</v>
      </c>
      <c r="M308" s="7" t="s">
        <v>5290</v>
      </c>
      <c r="N308" s="7" t="n">
        <v>3</v>
      </c>
      <c r="O308" s="7" t="s">
        <v>567</v>
      </c>
      <c r="P308" s="7" t="s">
        <v>1150</v>
      </c>
      <c r="Q308" s="7" t="s">
        <v>1480</v>
      </c>
      <c r="R308" s="7" t="s">
        <v>1152</v>
      </c>
      <c r="S308" s="8" t="s">
        <v>3984</v>
      </c>
      <c r="T308" s="12"/>
      <c r="U308" s="12"/>
    </row>
    <row r="309" customFormat="false" ht="46.25" hidden="false" customHeight="false" outlineLevel="0" collapsed="false">
      <c r="A309" s="7" t="s">
        <v>5291</v>
      </c>
      <c r="B309" s="14" t="s">
        <v>5287</v>
      </c>
      <c r="C309" s="7" t="s">
        <v>566</v>
      </c>
      <c r="D309" s="7" t="s">
        <v>471</v>
      </c>
      <c r="E309" s="7" t="s">
        <v>566</v>
      </c>
      <c r="F309" s="7" t="s">
        <v>5292</v>
      </c>
      <c r="G309" s="7" t="s">
        <v>5066</v>
      </c>
      <c r="H309" s="7" t="s">
        <v>943</v>
      </c>
      <c r="I309" s="7" t="s">
        <v>1424</v>
      </c>
      <c r="J309" s="8" t="s">
        <v>5293</v>
      </c>
      <c r="K309" s="8" t="s">
        <v>474</v>
      </c>
      <c r="L309" s="7" t="s">
        <v>998</v>
      </c>
      <c r="M309" s="7" t="s">
        <v>5294</v>
      </c>
      <c r="N309" s="7" t="s">
        <v>952</v>
      </c>
      <c r="O309" s="7" t="s">
        <v>5290</v>
      </c>
      <c r="P309" s="7" t="s">
        <v>1150</v>
      </c>
      <c r="Q309" s="7" t="s">
        <v>1480</v>
      </c>
      <c r="R309" s="7" t="s">
        <v>1152</v>
      </c>
      <c r="S309" s="8" t="s">
        <v>5295</v>
      </c>
      <c r="T309" s="12"/>
      <c r="U309" s="12"/>
    </row>
    <row r="310" customFormat="false" ht="46.25" hidden="false" customHeight="false" outlineLevel="0" collapsed="false">
      <c r="A310" s="7" t="s">
        <v>5296</v>
      </c>
      <c r="B310" s="14" t="s">
        <v>5287</v>
      </c>
      <c r="C310" s="7" t="s">
        <v>566</v>
      </c>
      <c r="D310" s="7" t="s">
        <v>471</v>
      </c>
      <c r="E310" s="7" t="s">
        <v>566</v>
      </c>
      <c r="F310" s="7" t="s">
        <v>5297</v>
      </c>
      <c r="G310" s="7" t="s">
        <v>5066</v>
      </c>
      <c r="H310" s="7" t="s">
        <v>943</v>
      </c>
      <c r="I310" s="7" t="s">
        <v>1424</v>
      </c>
      <c r="J310" s="8" t="s">
        <v>5298</v>
      </c>
      <c r="K310" s="8" t="s">
        <v>474</v>
      </c>
      <c r="L310" s="7" t="s">
        <v>998</v>
      </c>
      <c r="M310" s="7" t="s">
        <v>5299</v>
      </c>
      <c r="N310" s="7" t="s">
        <v>952</v>
      </c>
      <c r="O310" s="7" t="s">
        <v>5290</v>
      </c>
      <c r="P310" s="7" t="s">
        <v>1150</v>
      </c>
      <c r="Q310" s="7" t="s">
        <v>1480</v>
      </c>
      <c r="R310" s="7" t="s">
        <v>1152</v>
      </c>
      <c r="S310" s="8" t="s">
        <v>5300</v>
      </c>
      <c r="T310" s="12"/>
      <c r="U310" s="12"/>
    </row>
    <row r="311" customFormat="false" ht="35.05" hidden="false" customHeight="false" outlineLevel="0" collapsed="false">
      <c r="A311" s="7" t="s">
        <v>5301</v>
      </c>
      <c r="B311" s="14" t="s">
        <v>5302</v>
      </c>
      <c r="C311" s="7" t="s">
        <v>566</v>
      </c>
      <c r="D311" s="7" t="s">
        <v>471</v>
      </c>
      <c r="E311" s="7" t="s">
        <v>566</v>
      </c>
      <c r="F311" s="7" t="s">
        <v>5303</v>
      </c>
      <c r="G311" s="7" t="s">
        <v>5066</v>
      </c>
      <c r="H311" s="7" t="s">
        <v>928</v>
      </c>
      <c r="I311" s="7" t="s">
        <v>1148</v>
      </c>
      <c r="J311" s="8" t="s">
        <v>5304</v>
      </c>
      <c r="K311" s="8" t="s">
        <v>474</v>
      </c>
      <c r="L311" s="7" t="s">
        <v>483</v>
      </c>
      <c r="M311" s="7" t="s">
        <v>5305</v>
      </c>
      <c r="N311" s="7" t="n">
        <v>3</v>
      </c>
      <c r="O311" s="7" t="s">
        <v>567</v>
      </c>
      <c r="P311" s="7" t="s">
        <v>1150</v>
      </c>
      <c r="Q311" s="7" t="s">
        <v>1480</v>
      </c>
      <c r="R311" s="7" t="s">
        <v>1152</v>
      </c>
      <c r="S311" s="8" t="s">
        <v>3984</v>
      </c>
      <c r="T311" s="12"/>
      <c r="U311" s="12"/>
    </row>
    <row r="312" customFormat="false" ht="46.25" hidden="false" customHeight="false" outlineLevel="0" collapsed="false">
      <c r="A312" s="7" t="s">
        <v>5306</v>
      </c>
      <c r="B312" s="14" t="s">
        <v>5302</v>
      </c>
      <c r="C312" s="7" t="s">
        <v>566</v>
      </c>
      <c r="D312" s="7" t="s">
        <v>471</v>
      </c>
      <c r="E312" s="7" t="s">
        <v>566</v>
      </c>
      <c r="F312" s="7" t="s">
        <v>5307</v>
      </c>
      <c r="G312" s="7" t="s">
        <v>5066</v>
      </c>
      <c r="H312" s="7" t="s">
        <v>943</v>
      </c>
      <c r="I312" s="7" t="s">
        <v>1424</v>
      </c>
      <c r="J312" s="8" t="s">
        <v>5308</v>
      </c>
      <c r="K312" s="8" t="s">
        <v>474</v>
      </c>
      <c r="L312" s="7" t="s">
        <v>998</v>
      </c>
      <c r="M312" s="7" t="s">
        <v>5309</v>
      </c>
      <c r="N312" s="7" t="s">
        <v>952</v>
      </c>
      <c r="O312" s="7" t="s">
        <v>5305</v>
      </c>
      <c r="P312" s="7" t="s">
        <v>1150</v>
      </c>
      <c r="Q312" s="7" t="s">
        <v>1480</v>
      </c>
      <c r="R312" s="7" t="s">
        <v>1152</v>
      </c>
      <c r="S312" s="8" t="s">
        <v>5295</v>
      </c>
      <c r="T312" s="12"/>
      <c r="U312" s="12"/>
    </row>
    <row r="313" customFormat="false" ht="46.25" hidden="false" customHeight="false" outlineLevel="0" collapsed="false">
      <c r="A313" s="7" t="s">
        <v>5310</v>
      </c>
      <c r="B313" s="14" t="s">
        <v>5302</v>
      </c>
      <c r="C313" s="7" t="s">
        <v>566</v>
      </c>
      <c r="D313" s="7" t="s">
        <v>471</v>
      </c>
      <c r="E313" s="7" t="s">
        <v>566</v>
      </c>
      <c r="F313" s="7" t="s">
        <v>5311</v>
      </c>
      <c r="G313" s="7" t="s">
        <v>5066</v>
      </c>
      <c r="H313" s="7" t="s">
        <v>943</v>
      </c>
      <c r="I313" s="7" t="s">
        <v>1424</v>
      </c>
      <c r="J313" s="8" t="s">
        <v>5312</v>
      </c>
      <c r="K313" s="8" t="s">
        <v>474</v>
      </c>
      <c r="L313" s="7" t="s">
        <v>998</v>
      </c>
      <c r="M313" s="7" t="s">
        <v>5313</v>
      </c>
      <c r="N313" s="7" t="s">
        <v>952</v>
      </c>
      <c r="O313" s="7" t="s">
        <v>5305</v>
      </c>
      <c r="P313" s="7" t="s">
        <v>1150</v>
      </c>
      <c r="Q313" s="7" t="s">
        <v>1480</v>
      </c>
      <c r="R313" s="7" t="s">
        <v>1152</v>
      </c>
      <c r="S313" s="8" t="s">
        <v>5300</v>
      </c>
      <c r="T313" s="12"/>
      <c r="U313" s="12"/>
    </row>
    <row r="314" customFormat="false" ht="35.05" hidden="false" customHeight="false" outlineLevel="0" collapsed="false">
      <c r="A314" s="7" t="s">
        <v>5314</v>
      </c>
      <c r="B314" s="14" t="s">
        <v>5315</v>
      </c>
      <c r="C314" s="7" t="s">
        <v>566</v>
      </c>
      <c r="D314" s="7" t="s">
        <v>471</v>
      </c>
      <c r="E314" s="7" t="s">
        <v>566</v>
      </c>
      <c r="F314" s="7" t="s">
        <v>5316</v>
      </c>
      <c r="G314" s="7" t="s">
        <v>5066</v>
      </c>
      <c r="H314" s="7" t="s">
        <v>928</v>
      </c>
      <c r="I314" s="7" t="s">
        <v>1148</v>
      </c>
      <c r="J314" s="8" t="s">
        <v>5317</v>
      </c>
      <c r="K314" s="8" t="s">
        <v>474</v>
      </c>
      <c r="L314" s="7" t="s">
        <v>483</v>
      </c>
      <c r="M314" s="7" t="s">
        <v>5318</v>
      </c>
      <c r="N314" s="7" t="n">
        <v>3</v>
      </c>
      <c r="O314" s="7" t="s">
        <v>567</v>
      </c>
      <c r="P314" s="7" t="s">
        <v>1150</v>
      </c>
      <c r="Q314" s="7" t="s">
        <v>1480</v>
      </c>
      <c r="R314" s="7" t="s">
        <v>1152</v>
      </c>
      <c r="S314" s="8" t="s">
        <v>3984</v>
      </c>
      <c r="T314" s="12"/>
      <c r="U314" s="12"/>
    </row>
    <row r="315" customFormat="false" ht="46.25" hidden="false" customHeight="false" outlineLevel="0" collapsed="false">
      <c r="A315" s="7" t="s">
        <v>5319</v>
      </c>
      <c r="B315" s="14" t="s">
        <v>5315</v>
      </c>
      <c r="C315" s="7" t="s">
        <v>566</v>
      </c>
      <c r="D315" s="7" t="s">
        <v>471</v>
      </c>
      <c r="E315" s="7" t="s">
        <v>566</v>
      </c>
      <c r="F315" s="7" t="s">
        <v>5320</v>
      </c>
      <c r="G315" s="7" t="s">
        <v>5066</v>
      </c>
      <c r="H315" s="7" t="s">
        <v>943</v>
      </c>
      <c r="I315" s="7" t="s">
        <v>1424</v>
      </c>
      <c r="J315" s="8" t="s">
        <v>5321</v>
      </c>
      <c r="K315" s="8" t="s">
        <v>474</v>
      </c>
      <c r="L315" s="7" t="s">
        <v>998</v>
      </c>
      <c r="M315" s="7" t="s">
        <v>5322</v>
      </c>
      <c r="N315" s="7" t="s">
        <v>952</v>
      </c>
      <c r="O315" s="7" t="s">
        <v>5318</v>
      </c>
      <c r="P315" s="7" t="s">
        <v>1150</v>
      </c>
      <c r="Q315" s="7" t="s">
        <v>1480</v>
      </c>
      <c r="R315" s="7" t="s">
        <v>1152</v>
      </c>
      <c r="S315" s="8" t="s">
        <v>5295</v>
      </c>
      <c r="T315" s="12"/>
      <c r="U315" s="12"/>
    </row>
    <row r="316" customFormat="false" ht="46.25" hidden="false" customHeight="false" outlineLevel="0" collapsed="false">
      <c r="A316" s="7" t="s">
        <v>5323</v>
      </c>
      <c r="B316" s="14" t="s">
        <v>5315</v>
      </c>
      <c r="C316" s="7" t="s">
        <v>566</v>
      </c>
      <c r="D316" s="7" t="s">
        <v>471</v>
      </c>
      <c r="E316" s="7" t="s">
        <v>566</v>
      </c>
      <c r="F316" s="7" t="s">
        <v>5324</v>
      </c>
      <c r="G316" s="7" t="s">
        <v>5066</v>
      </c>
      <c r="H316" s="7" t="s">
        <v>943</v>
      </c>
      <c r="I316" s="7" t="s">
        <v>1424</v>
      </c>
      <c r="J316" s="8" t="s">
        <v>5325</v>
      </c>
      <c r="K316" s="8" t="s">
        <v>474</v>
      </c>
      <c r="L316" s="7" t="s">
        <v>998</v>
      </c>
      <c r="M316" s="7" t="s">
        <v>5326</v>
      </c>
      <c r="N316" s="7" t="s">
        <v>952</v>
      </c>
      <c r="O316" s="7" t="s">
        <v>5318</v>
      </c>
      <c r="P316" s="7" t="s">
        <v>1150</v>
      </c>
      <c r="Q316" s="7" t="s">
        <v>1480</v>
      </c>
      <c r="R316" s="7" t="s">
        <v>1152</v>
      </c>
      <c r="S316" s="8" t="s">
        <v>5300</v>
      </c>
      <c r="T316" s="12"/>
      <c r="U316" s="12"/>
    </row>
    <row r="317" customFormat="false" ht="35.05" hidden="false" customHeight="false" outlineLevel="0" collapsed="false">
      <c r="A317" s="7" t="s">
        <v>5327</v>
      </c>
      <c r="B317" s="14" t="s">
        <v>3986</v>
      </c>
      <c r="C317" s="7" t="s">
        <v>571</v>
      </c>
      <c r="D317" s="7" t="s">
        <v>471</v>
      </c>
      <c r="E317" s="7" t="s">
        <v>879</v>
      </c>
      <c r="F317" s="7" t="s">
        <v>571</v>
      </c>
      <c r="G317" s="7" t="s">
        <v>3987</v>
      </c>
      <c r="H317" s="7" t="s">
        <v>928</v>
      </c>
      <c r="I317" s="7" t="s">
        <v>1148</v>
      </c>
      <c r="J317" s="8" t="s">
        <v>5328</v>
      </c>
      <c r="K317" s="8" t="s">
        <v>474</v>
      </c>
      <c r="L317" s="7" t="s">
        <v>478</v>
      </c>
      <c r="M317" s="7" t="s">
        <v>572</v>
      </c>
      <c r="N317" s="7" t="n">
        <v>2</v>
      </c>
      <c r="O317" s="7" t="s">
        <v>472</v>
      </c>
      <c r="P317" s="7" t="s">
        <v>1150</v>
      </c>
      <c r="Q317" s="7" t="s">
        <v>1480</v>
      </c>
      <c r="R317" s="7" t="s">
        <v>1152</v>
      </c>
      <c r="S317" s="8"/>
      <c r="T317" s="12"/>
      <c r="U317" s="12"/>
    </row>
    <row r="318" customFormat="false" ht="35.05" hidden="false" customHeight="false" outlineLevel="0" collapsed="false">
      <c r="A318" s="7" t="s">
        <v>5329</v>
      </c>
      <c r="B318" s="14" t="s">
        <v>5287</v>
      </c>
      <c r="C318" s="7" t="s">
        <v>571</v>
      </c>
      <c r="D318" s="7" t="s">
        <v>471</v>
      </c>
      <c r="E318" s="7" t="s">
        <v>571</v>
      </c>
      <c r="F318" s="7" t="s">
        <v>5330</v>
      </c>
      <c r="G318" s="7" t="s">
        <v>5066</v>
      </c>
      <c r="H318" s="7" t="s">
        <v>928</v>
      </c>
      <c r="I318" s="7" t="s">
        <v>1148</v>
      </c>
      <c r="J318" s="8" t="s">
        <v>5289</v>
      </c>
      <c r="K318" s="8" t="s">
        <v>474</v>
      </c>
      <c r="L318" s="7" t="s">
        <v>483</v>
      </c>
      <c r="M318" s="7" t="s">
        <v>5331</v>
      </c>
      <c r="N318" s="7" t="n">
        <v>3</v>
      </c>
      <c r="O318" s="7" t="s">
        <v>572</v>
      </c>
      <c r="P318" s="7" t="s">
        <v>1150</v>
      </c>
      <c r="Q318" s="7" t="s">
        <v>1480</v>
      </c>
      <c r="R318" s="7" t="s">
        <v>1152</v>
      </c>
      <c r="S318" s="8" t="s">
        <v>3984</v>
      </c>
      <c r="T318" s="12"/>
      <c r="U318" s="12"/>
    </row>
    <row r="319" customFormat="false" ht="46.25" hidden="false" customHeight="false" outlineLevel="0" collapsed="false">
      <c r="A319" s="7" t="s">
        <v>5332</v>
      </c>
      <c r="B319" s="14" t="s">
        <v>5287</v>
      </c>
      <c r="C319" s="7" t="s">
        <v>571</v>
      </c>
      <c r="D319" s="7" t="s">
        <v>471</v>
      </c>
      <c r="E319" s="7" t="s">
        <v>571</v>
      </c>
      <c r="F319" s="7" t="s">
        <v>5333</v>
      </c>
      <c r="G319" s="7" t="s">
        <v>5066</v>
      </c>
      <c r="H319" s="7" t="s">
        <v>928</v>
      </c>
      <c r="I319" s="7" t="s">
        <v>1148</v>
      </c>
      <c r="J319" s="8" t="s">
        <v>5334</v>
      </c>
      <c r="K319" s="8" t="s">
        <v>474</v>
      </c>
      <c r="L319" s="7" t="s">
        <v>998</v>
      </c>
      <c r="M319" s="7" t="s">
        <v>5335</v>
      </c>
      <c r="N319" s="7" t="s">
        <v>952</v>
      </c>
      <c r="O319" s="7" t="s">
        <v>5331</v>
      </c>
      <c r="P319" s="7" t="s">
        <v>1150</v>
      </c>
      <c r="Q319" s="7" t="s">
        <v>1480</v>
      </c>
      <c r="R319" s="7" t="s">
        <v>1152</v>
      </c>
      <c r="S319" s="8" t="s">
        <v>5336</v>
      </c>
      <c r="T319" s="12"/>
      <c r="U319" s="12"/>
    </row>
    <row r="320" customFormat="false" ht="46.25" hidden="false" customHeight="false" outlineLevel="0" collapsed="false">
      <c r="A320" s="7" t="s">
        <v>5337</v>
      </c>
      <c r="B320" s="14" t="s">
        <v>5287</v>
      </c>
      <c r="C320" s="7" t="s">
        <v>571</v>
      </c>
      <c r="D320" s="7" t="s">
        <v>471</v>
      </c>
      <c r="E320" s="7" t="s">
        <v>571</v>
      </c>
      <c r="F320" s="7" t="s">
        <v>5338</v>
      </c>
      <c r="G320" s="7" t="s">
        <v>5066</v>
      </c>
      <c r="H320" s="7" t="s">
        <v>943</v>
      </c>
      <c r="I320" s="7" t="s">
        <v>1424</v>
      </c>
      <c r="J320" s="8" t="s">
        <v>5339</v>
      </c>
      <c r="K320" s="8" t="s">
        <v>474</v>
      </c>
      <c r="L320" s="7" t="s">
        <v>998</v>
      </c>
      <c r="M320" s="7" t="s">
        <v>5340</v>
      </c>
      <c r="N320" s="7" t="s">
        <v>952</v>
      </c>
      <c r="O320" s="7" t="s">
        <v>5331</v>
      </c>
      <c r="P320" s="7" t="s">
        <v>1150</v>
      </c>
      <c r="Q320" s="7" t="s">
        <v>1480</v>
      </c>
      <c r="R320" s="13" t="s">
        <v>1790</v>
      </c>
      <c r="S320" s="8" t="s">
        <v>4772</v>
      </c>
      <c r="T320" s="12"/>
      <c r="U320" s="12"/>
    </row>
    <row r="321" customFormat="false" ht="35.05" hidden="false" customHeight="false" outlineLevel="0" collapsed="false">
      <c r="A321" s="7" t="s">
        <v>5341</v>
      </c>
      <c r="B321" s="14" t="s">
        <v>5342</v>
      </c>
      <c r="C321" s="7" t="s">
        <v>571</v>
      </c>
      <c r="D321" s="7" t="s">
        <v>471</v>
      </c>
      <c r="E321" s="7" t="s">
        <v>571</v>
      </c>
      <c r="F321" s="7" t="s">
        <v>5343</v>
      </c>
      <c r="G321" s="7" t="s">
        <v>5066</v>
      </c>
      <c r="H321" s="7" t="s">
        <v>928</v>
      </c>
      <c r="I321" s="7" t="s">
        <v>1148</v>
      </c>
      <c r="J321" s="8" t="s">
        <v>5344</v>
      </c>
      <c r="K321" s="8" t="s">
        <v>474</v>
      </c>
      <c r="L321" s="7" t="s">
        <v>483</v>
      </c>
      <c r="M321" s="7" t="s">
        <v>5345</v>
      </c>
      <c r="N321" s="7" t="n">
        <v>3</v>
      </c>
      <c r="O321" s="7" t="s">
        <v>572</v>
      </c>
      <c r="P321" s="7" t="s">
        <v>1150</v>
      </c>
      <c r="Q321" s="7" t="s">
        <v>1480</v>
      </c>
      <c r="R321" s="7" t="s">
        <v>1152</v>
      </c>
      <c r="S321" s="8" t="s">
        <v>3984</v>
      </c>
      <c r="T321" s="12"/>
      <c r="U321" s="12"/>
    </row>
    <row r="322" customFormat="false" ht="46.25" hidden="false" customHeight="false" outlineLevel="0" collapsed="false">
      <c r="A322" s="7" t="s">
        <v>5346</v>
      </c>
      <c r="B322" s="14" t="s">
        <v>5342</v>
      </c>
      <c r="C322" s="7" t="s">
        <v>571</v>
      </c>
      <c r="D322" s="7" t="s">
        <v>471</v>
      </c>
      <c r="E322" s="7" t="s">
        <v>571</v>
      </c>
      <c r="F322" s="7" t="s">
        <v>5347</v>
      </c>
      <c r="G322" s="7" t="s">
        <v>5066</v>
      </c>
      <c r="H322" s="7" t="s">
        <v>928</v>
      </c>
      <c r="I322" s="7" t="s">
        <v>1148</v>
      </c>
      <c r="J322" s="8" t="s">
        <v>5348</v>
      </c>
      <c r="K322" s="8" t="s">
        <v>474</v>
      </c>
      <c r="L322" s="7" t="s">
        <v>998</v>
      </c>
      <c r="M322" s="7" t="s">
        <v>5349</v>
      </c>
      <c r="N322" s="7" t="s">
        <v>952</v>
      </c>
      <c r="O322" s="7" t="s">
        <v>5345</v>
      </c>
      <c r="P322" s="7" t="s">
        <v>1150</v>
      </c>
      <c r="Q322" s="7" t="s">
        <v>1480</v>
      </c>
      <c r="R322" s="7" t="s">
        <v>1152</v>
      </c>
      <c r="S322" s="8" t="s">
        <v>5336</v>
      </c>
      <c r="T322" s="12"/>
      <c r="U322" s="12"/>
    </row>
    <row r="323" customFormat="false" ht="46.25" hidden="false" customHeight="false" outlineLevel="0" collapsed="false">
      <c r="A323" s="7" t="s">
        <v>5350</v>
      </c>
      <c r="B323" s="14" t="s">
        <v>5342</v>
      </c>
      <c r="C323" s="7" t="s">
        <v>571</v>
      </c>
      <c r="D323" s="7" t="s">
        <v>471</v>
      </c>
      <c r="E323" s="7" t="s">
        <v>571</v>
      </c>
      <c r="F323" s="7" t="s">
        <v>5351</v>
      </c>
      <c r="G323" s="7" t="s">
        <v>5066</v>
      </c>
      <c r="H323" s="7" t="s">
        <v>943</v>
      </c>
      <c r="I323" s="7" t="s">
        <v>1424</v>
      </c>
      <c r="J323" s="8" t="s">
        <v>5352</v>
      </c>
      <c r="K323" s="8" t="s">
        <v>474</v>
      </c>
      <c r="L323" s="7" t="s">
        <v>998</v>
      </c>
      <c r="M323" s="7" t="s">
        <v>5353</v>
      </c>
      <c r="N323" s="7" t="s">
        <v>952</v>
      </c>
      <c r="O323" s="7" t="s">
        <v>5345</v>
      </c>
      <c r="P323" s="7" t="s">
        <v>1150</v>
      </c>
      <c r="Q323" s="7" t="s">
        <v>1480</v>
      </c>
      <c r="R323" s="13" t="s">
        <v>1790</v>
      </c>
      <c r="S323" s="8" t="s">
        <v>4772</v>
      </c>
      <c r="T323" s="12"/>
      <c r="U323" s="12"/>
    </row>
    <row r="324" customFormat="false" ht="35.05" hidden="false" customHeight="false" outlineLevel="0" collapsed="false">
      <c r="A324" s="7" t="s">
        <v>5354</v>
      </c>
      <c r="B324" s="14" t="s">
        <v>5355</v>
      </c>
      <c r="C324" s="7" t="s">
        <v>571</v>
      </c>
      <c r="D324" s="7" t="s">
        <v>471</v>
      </c>
      <c r="E324" s="7" t="s">
        <v>571</v>
      </c>
      <c r="F324" s="7" t="s">
        <v>5356</v>
      </c>
      <c r="G324" s="7" t="s">
        <v>5066</v>
      </c>
      <c r="H324" s="7" t="s">
        <v>928</v>
      </c>
      <c r="I324" s="7" t="s">
        <v>1148</v>
      </c>
      <c r="J324" s="8" t="s">
        <v>5357</v>
      </c>
      <c r="K324" s="8" t="s">
        <v>474</v>
      </c>
      <c r="L324" s="7" t="s">
        <v>483</v>
      </c>
      <c r="M324" s="7" t="s">
        <v>5358</v>
      </c>
      <c r="N324" s="7" t="n">
        <v>3</v>
      </c>
      <c r="O324" s="7" t="s">
        <v>572</v>
      </c>
      <c r="P324" s="7" t="s">
        <v>1150</v>
      </c>
      <c r="Q324" s="7" t="s">
        <v>1480</v>
      </c>
      <c r="R324" s="7" t="s">
        <v>1152</v>
      </c>
      <c r="S324" s="8" t="s">
        <v>3984</v>
      </c>
      <c r="T324" s="12"/>
      <c r="U324" s="12"/>
    </row>
    <row r="325" customFormat="false" ht="46.25" hidden="false" customHeight="false" outlineLevel="0" collapsed="false">
      <c r="A325" s="7" t="s">
        <v>5359</v>
      </c>
      <c r="B325" s="14" t="s">
        <v>5355</v>
      </c>
      <c r="C325" s="7" t="s">
        <v>571</v>
      </c>
      <c r="D325" s="7" t="s">
        <v>471</v>
      </c>
      <c r="E325" s="7" t="s">
        <v>571</v>
      </c>
      <c r="F325" s="7" t="s">
        <v>5360</v>
      </c>
      <c r="G325" s="7" t="s">
        <v>5066</v>
      </c>
      <c r="H325" s="7" t="s">
        <v>928</v>
      </c>
      <c r="I325" s="7" t="s">
        <v>1148</v>
      </c>
      <c r="J325" s="8" t="s">
        <v>5361</v>
      </c>
      <c r="K325" s="8" t="s">
        <v>474</v>
      </c>
      <c r="L325" s="7" t="s">
        <v>998</v>
      </c>
      <c r="M325" s="7" t="s">
        <v>5362</v>
      </c>
      <c r="N325" s="7" t="s">
        <v>952</v>
      </c>
      <c r="O325" s="7" t="s">
        <v>5358</v>
      </c>
      <c r="P325" s="7" t="s">
        <v>1150</v>
      </c>
      <c r="Q325" s="7" t="s">
        <v>1480</v>
      </c>
      <c r="R325" s="7" t="s">
        <v>1152</v>
      </c>
      <c r="S325" s="8" t="s">
        <v>5336</v>
      </c>
      <c r="T325" s="12"/>
      <c r="U325" s="12"/>
    </row>
    <row r="326" customFormat="false" ht="46.25" hidden="false" customHeight="false" outlineLevel="0" collapsed="false">
      <c r="A326" s="7" t="s">
        <v>5363</v>
      </c>
      <c r="B326" s="14" t="s">
        <v>5355</v>
      </c>
      <c r="C326" s="7" t="s">
        <v>571</v>
      </c>
      <c r="D326" s="7" t="s">
        <v>471</v>
      </c>
      <c r="E326" s="7" t="s">
        <v>571</v>
      </c>
      <c r="F326" s="7" t="s">
        <v>5364</v>
      </c>
      <c r="G326" s="7" t="s">
        <v>5066</v>
      </c>
      <c r="H326" s="7" t="s">
        <v>943</v>
      </c>
      <c r="I326" s="7" t="s">
        <v>1424</v>
      </c>
      <c r="J326" s="8" t="s">
        <v>5365</v>
      </c>
      <c r="K326" s="8" t="s">
        <v>474</v>
      </c>
      <c r="L326" s="7" t="s">
        <v>998</v>
      </c>
      <c r="M326" s="7" t="s">
        <v>5366</v>
      </c>
      <c r="N326" s="7" t="s">
        <v>952</v>
      </c>
      <c r="O326" s="7" t="s">
        <v>5358</v>
      </c>
      <c r="P326" s="7" t="s">
        <v>1150</v>
      </c>
      <c r="Q326" s="7" t="s">
        <v>1480</v>
      </c>
      <c r="R326" s="13" t="s">
        <v>1790</v>
      </c>
      <c r="S326" s="8" t="s">
        <v>4772</v>
      </c>
      <c r="T326" s="12"/>
      <c r="U326" s="12"/>
    </row>
    <row r="327" customFormat="false" ht="35.05" hidden="false" customHeight="false" outlineLevel="0" collapsed="false">
      <c r="A327" s="7" t="s">
        <v>5367</v>
      </c>
      <c r="B327" s="14" t="s">
        <v>5368</v>
      </c>
      <c r="C327" s="7" t="s">
        <v>571</v>
      </c>
      <c r="D327" s="7" t="s">
        <v>471</v>
      </c>
      <c r="E327" s="7" t="s">
        <v>571</v>
      </c>
      <c r="F327" s="7" t="s">
        <v>5369</v>
      </c>
      <c r="G327" s="7" t="s">
        <v>5066</v>
      </c>
      <c r="H327" s="7" t="s">
        <v>928</v>
      </c>
      <c r="I327" s="7" t="s">
        <v>1148</v>
      </c>
      <c r="J327" s="8" t="s">
        <v>5370</v>
      </c>
      <c r="K327" s="8" t="s">
        <v>474</v>
      </c>
      <c r="L327" s="7" t="s">
        <v>483</v>
      </c>
      <c r="M327" s="7" t="s">
        <v>5371</v>
      </c>
      <c r="N327" s="7" t="n">
        <v>3</v>
      </c>
      <c r="O327" s="7" t="s">
        <v>572</v>
      </c>
      <c r="P327" s="7" t="s">
        <v>1150</v>
      </c>
      <c r="Q327" s="7" t="s">
        <v>1480</v>
      </c>
      <c r="R327" s="7" t="s">
        <v>1152</v>
      </c>
      <c r="S327" s="8" t="s">
        <v>3984</v>
      </c>
      <c r="T327" s="12"/>
      <c r="U327" s="12"/>
    </row>
    <row r="328" customFormat="false" ht="46.25" hidden="false" customHeight="false" outlineLevel="0" collapsed="false">
      <c r="A328" s="7" t="s">
        <v>5372</v>
      </c>
      <c r="B328" s="14" t="s">
        <v>5368</v>
      </c>
      <c r="C328" s="7" t="s">
        <v>571</v>
      </c>
      <c r="D328" s="7" t="s">
        <v>471</v>
      </c>
      <c r="E328" s="7" t="s">
        <v>571</v>
      </c>
      <c r="F328" s="7" t="s">
        <v>5373</v>
      </c>
      <c r="G328" s="7" t="s">
        <v>5066</v>
      </c>
      <c r="H328" s="7" t="s">
        <v>928</v>
      </c>
      <c r="I328" s="7" t="s">
        <v>1148</v>
      </c>
      <c r="J328" s="8" t="s">
        <v>5374</v>
      </c>
      <c r="K328" s="8" t="s">
        <v>474</v>
      </c>
      <c r="L328" s="7" t="s">
        <v>998</v>
      </c>
      <c r="M328" s="7" t="s">
        <v>5375</v>
      </c>
      <c r="N328" s="7" t="s">
        <v>952</v>
      </c>
      <c r="O328" s="7" t="s">
        <v>5371</v>
      </c>
      <c r="P328" s="7" t="s">
        <v>1150</v>
      </c>
      <c r="Q328" s="7" t="s">
        <v>1480</v>
      </c>
      <c r="R328" s="7" t="s">
        <v>1152</v>
      </c>
      <c r="S328" s="8" t="s">
        <v>5336</v>
      </c>
      <c r="T328" s="12"/>
      <c r="U328" s="12"/>
    </row>
    <row r="329" customFormat="false" ht="46.25" hidden="false" customHeight="false" outlineLevel="0" collapsed="false">
      <c r="A329" s="7" t="s">
        <v>5376</v>
      </c>
      <c r="B329" s="14" t="s">
        <v>5368</v>
      </c>
      <c r="C329" s="7" t="s">
        <v>571</v>
      </c>
      <c r="D329" s="7" t="s">
        <v>471</v>
      </c>
      <c r="E329" s="7" t="s">
        <v>571</v>
      </c>
      <c r="F329" s="7" t="s">
        <v>5377</v>
      </c>
      <c r="G329" s="7" t="s">
        <v>5066</v>
      </c>
      <c r="H329" s="7" t="s">
        <v>943</v>
      </c>
      <c r="I329" s="7" t="s">
        <v>1424</v>
      </c>
      <c r="J329" s="8" t="s">
        <v>5378</v>
      </c>
      <c r="K329" s="8" t="s">
        <v>474</v>
      </c>
      <c r="L329" s="7" t="s">
        <v>998</v>
      </c>
      <c r="M329" s="7" t="s">
        <v>5379</v>
      </c>
      <c r="N329" s="7" t="s">
        <v>952</v>
      </c>
      <c r="O329" s="7" t="s">
        <v>5371</v>
      </c>
      <c r="P329" s="7" t="s">
        <v>1150</v>
      </c>
      <c r="Q329" s="7" t="s">
        <v>1480</v>
      </c>
      <c r="R329" s="13" t="s">
        <v>1790</v>
      </c>
      <c r="S329" s="8" t="s">
        <v>4772</v>
      </c>
      <c r="T329" s="12"/>
      <c r="U329" s="12"/>
    </row>
    <row r="330" customFormat="false" ht="35.05" hidden="false" customHeight="false" outlineLevel="0" collapsed="false">
      <c r="A330" s="7" t="s">
        <v>5380</v>
      </c>
      <c r="B330" s="14" t="s">
        <v>5381</v>
      </c>
      <c r="C330" s="7" t="s">
        <v>571</v>
      </c>
      <c r="D330" s="7" t="s">
        <v>471</v>
      </c>
      <c r="E330" s="7" t="s">
        <v>571</v>
      </c>
      <c r="F330" s="7" t="s">
        <v>5382</v>
      </c>
      <c r="G330" s="7" t="s">
        <v>5066</v>
      </c>
      <c r="H330" s="7" t="s">
        <v>928</v>
      </c>
      <c r="I330" s="7" t="s">
        <v>1148</v>
      </c>
      <c r="J330" s="8" t="s">
        <v>5383</v>
      </c>
      <c r="K330" s="8" t="s">
        <v>474</v>
      </c>
      <c r="L330" s="7" t="s">
        <v>483</v>
      </c>
      <c r="M330" s="7" t="s">
        <v>5384</v>
      </c>
      <c r="N330" s="7" t="n">
        <v>3</v>
      </c>
      <c r="O330" s="7" t="s">
        <v>572</v>
      </c>
      <c r="P330" s="7" t="s">
        <v>1150</v>
      </c>
      <c r="Q330" s="7" t="s">
        <v>1480</v>
      </c>
      <c r="R330" s="7" t="s">
        <v>1152</v>
      </c>
      <c r="S330" s="8" t="s">
        <v>3984</v>
      </c>
      <c r="T330" s="12"/>
      <c r="U330" s="12"/>
    </row>
    <row r="331" customFormat="false" ht="46.25" hidden="false" customHeight="false" outlineLevel="0" collapsed="false">
      <c r="A331" s="7" t="s">
        <v>5385</v>
      </c>
      <c r="B331" s="14" t="s">
        <v>5381</v>
      </c>
      <c r="C331" s="7" t="s">
        <v>571</v>
      </c>
      <c r="D331" s="7" t="s">
        <v>471</v>
      </c>
      <c r="E331" s="7" t="s">
        <v>571</v>
      </c>
      <c r="F331" s="7" t="s">
        <v>5386</v>
      </c>
      <c r="G331" s="7" t="s">
        <v>5066</v>
      </c>
      <c r="H331" s="7" t="s">
        <v>928</v>
      </c>
      <c r="I331" s="7" t="s">
        <v>1148</v>
      </c>
      <c r="J331" s="8" t="s">
        <v>5387</v>
      </c>
      <c r="K331" s="8" t="s">
        <v>474</v>
      </c>
      <c r="L331" s="7" t="s">
        <v>998</v>
      </c>
      <c r="M331" s="7" t="s">
        <v>5388</v>
      </c>
      <c r="N331" s="7" t="s">
        <v>952</v>
      </c>
      <c r="O331" s="7" t="s">
        <v>5384</v>
      </c>
      <c r="P331" s="7" t="s">
        <v>1150</v>
      </c>
      <c r="Q331" s="7" t="s">
        <v>1480</v>
      </c>
      <c r="R331" s="7" t="s">
        <v>1152</v>
      </c>
      <c r="S331" s="8" t="s">
        <v>5336</v>
      </c>
      <c r="T331" s="12"/>
      <c r="U331" s="12"/>
    </row>
    <row r="332" customFormat="false" ht="46.25" hidden="false" customHeight="false" outlineLevel="0" collapsed="false">
      <c r="A332" s="7" t="s">
        <v>5389</v>
      </c>
      <c r="B332" s="14" t="s">
        <v>5381</v>
      </c>
      <c r="C332" s="7" t="s">
        <v>571</v>
      </c>
      <c r="D332" s="7" t="s">
        <v>471</v>
      </c>
      <c r="E332" s="7" t="s">
        <v>571</v>
      </c>
      <c r="F332" s="7" t="s">
        <v>5390</v>
      </c>
      <c r="G332" s="7" t="s">
        <v>5066</v>
      </c>
      <c r="H332" s="7" t="s">
        <v>943</v>
      </c>
      <c r="I332" s="7" t="s">
        <v>1424</v>
      </c>
      <c r="J332" s="8" t="s">
        <v>5391</v>
      </c>
      <c r="K332" s="8" t="s">
        <v>474</v>
      </c>
      <c r="L332" s="7" t="s">
        <v>998</v>
      </c>
      <c r="M332" s="7" t="s">
        <v>5392</v>
      </c>
      <c r="N332" s="7" t="s">
        <v>952</v>
      </c>
      <c r="O332" s="7" t="s">
        <v>5384</v>
      </c>
      <c r="P332" s="7" t="s">
        <v>1150</v>
      </c>
      <c r="Q332" s="7" t="s">
        <v>1480</v>
      </c>
      <c r="R332" s="13" t="s">
        <v>1790</v>
      </c>
      <c r="S332" s="8" t="s">
        <v>4772</v>
      </c>
      <c r="T332" s="12"/>
      <c r="U332" s="12"/>
    </row>
    <row r="333" customFormat="false" ht="35.05" hidden="false" customHeight="false" outlineLevel="0" collapsed="false">
      <c r="A333" s="7" t="s">
        <v>5393</v>
      </c>
      <c r="B333" s="14" t="s">
        <v>3986</v>
      </c>
      <c r="C333" s="7" t="s">
        <v>576</v>
      </c>
      <c r="D333" s="7" t="s">
        <v>471</v>
      </c>
      <c r="E333" s="7" t="s">
        <v>879</v>
      </c>
      <c r="F333" s="7" t="s">
        <v>576</v>
      </c>
      <c r="G333" s="7" t="s">
        <v>3987</v>
      </c>
      <c r="H333" s="7" t="s">
        <v>928</v>
      </c>
      <c r="I333" s="7" t="s">
        <v>1148</v>
      </c>
      <c r="J333" s="8" t="s">
        <v>5394</v>
      </c>
      <c r="K333" s="8" t="s">
        <v>474</v>
      </c>
      <c r="L333" s="7" t="s">
        <v>478</v>
      </c>
      <c r="M333" s="7" t="s">
        <v>577</v>
      </c>
      <c r="N333" s="7" t="n">
        <v>2</v>
      </c>
      <c r="O333" s="7" t="s">
        <v>472</v>
      </c>
      <c r="P333" s="7" t="s">
        <v>1150</v>
      </c>
      <c r="Q333" s="7" t="s">
        <v>1480</v>
      </c>
      <c r="R333" s="7" t="s">
        <v>1152</v>
      </c>
      <c r="S333" s="8"/>
      <c r="T333" s="12"/>
      <c r="U333" s="12"/>
    </row>
    <row r="334" customFormat="false" ht="35.05" hidden="false" customHeight="false" outlineLevel="0" collapsed="false">
      <c r="A334" s="7" t="s">
        <v>5395</v>
      </c>
      <c r="B334" s="14" t="s">
        <v>5396</v>
      </c>
      <c r="C334" s="7" t="s">
        <v>576</v>
      </c>
      <c r="D334" s="7" t="s">
        <v>471</v>
      </c>
      <c r="E334" s="7" t="s">
        <v>576</v>
      </c>
      <c r="F334" s="7" t="s">
        <v>5397</v>
      </c>
      <c r="G334" s="7" t="s">
        <v>5066</v>
      </c>
      <c r="H334" s="7" t="s">
        <v>928</v>
      </c>
      <c r="I334" s="7" t="s">
        <v>1148</v>
      </c>
      <c r="J334" s="8" t="s">
        <v>5398</v>
      </c>
      <c r="K334" s="8" t="s">
        <v>474</v>
      </c>
      <c r="L334" s="7" t="s">
        <v>483</v>
      </c>
      <c r="M334" s="7" t="s">
        <v>5399</v>
      </c>
      <c r="N334" s="7" t="n">
        <v>3</v>
      </c>
      <c r="O334" s="7" t="s">
        <v>577</v>
      </c>
      <c r="P334" s="7" t="s">
        <v>1150</v>
      </c>
      <c r="Q334" s="7" t="s">
        <v>1480</v>
      </c>
      <c r="R334" s="7" t="s">
        <v>1152</v>
      </c>
      <c r="S334" s="8" t="s">
        <v>3984</v>
      </c>
      <c r="T334" s="12"/>
      <c r="U334" s="12"/>
    </row>
    <row r="335" customFormat="false" ht="46.25" hidden="false" customHeight="false" outlineLevel="0" collapsed="false">
      <c r="A335" s="7" t="s">
        <v>5400</v>
      </c>
      <c r="B335" s="14" t="s">
        <v>5396</v>
      </c>
      <c r="C335" s="7" t="s">
        <v>576</v>
      </c>
      <c r="D335" s="7" t="s">
        <v>471</v>
      </c>
      <c r="E335" s="7" t="s">
        <v>576</v>
      </c>
      <c r="F335" s="7" t="s">
        <v>5401</v>
      </c>
      <c r="G335" s="7" t="s">
        <v>5066</v>
      </c>
      <c r="H335" s="7" t="s">
        <v>928</v>
      </c>
      <c r="I335" s="7" t="s">
        <v>1148</v>
      </c>
      <c r="J335" s="8" t="s">
        <v>5402</v>
      </c>
      <c r="K335" s="8" t="s">
        <v>474</v>
      </c>
      <c r="L335" s="7" t="s">
        <v>998</v>
      </c>
      <c r="M335" s="7" t="s">
        <v>5403</v>
      </c>
      <c r="N335" s="7" t="s">
        <v>952</v>
      </c>
      <c r="O335" s="7" t="s">
        <v>5399</v>
      </c>
      <c r="P335" s="7" t="s">
        <v>1150</v>
      </c>
      <c r="Q335" s="7" t="s">
        <v>1480</v>
      </c>
      <c r="R335" s="7" t="s">
        <v>1152</v>
      </c>
      <c r="S335" s="8" t="s">
        <v>5404</v>
      </c>
      <c r="T335" s="12"/>
      <c r="U335" s="12"/>
    </row>
    <row r="336" customFormat="false" ht="46.25" hidden="false" customHeight="false" outlineLevel="0" collapsed="false">
      <c r="A336" s="7" t="s">
        <v>5405</v>
      </c>
      <c r="B336" s="14" t="s">
        <v>5396</v>
      </c>
      <c r="C336" s="7" t="s">
        <v>576</v>
      </c>
      <c r="D336" s="7" t="s">
        <v>471</v>
      </c>
      <c r="E336" s="7" t="s">
        <v>576</v>
      </c>
      <c r="F336" s="7" t="s">
        <v>5406</v>
      </c>
      <c r="G336" s="7" t="s">
        <v>5066</v>
      </c>
      <c r="H336" s="7" t="s">
        <v>943</v>
      </c>
      <c r="I336" s="7" t="s">
        <v>1424</v>
      </c>
      <c r="J336" s="8" t="s">
        <v>5407</v>
      </c>
      <c r="K336" s="8" t="s">
        <v>474</v>
      </c>
      <c r="L336" s="7" t="s">
        <v>998</v>
      </c>
      <c r="M336" s="7" t="s">
        <v>5408</v>
      </c>
      <c r="N336" s="7" t="s">
        <v>952</v>
      </c>
      <c r="O336" s="7" t="s">
        <v>5399</v>
      </c>
      <c r="P336" s="7" t="s">
        <v>1150</v>
      </c>
      <c r="Q336" s="7" t="s">
        <v>1480</v>
      </c>
      <c r="R336" s="7" t="s">
        <v>1152</v>
      </c>
      <c r="S336" s="8" t="s">
        <v>5409</v>
      </c>
      <c r="T336" s="12"/>
      <c r="U336" s="12"/>
    </row>
    <row r="337" customFormat="false" ht="35.05" hidden="false" customHeight="false" outlineLevel="0" collapsed="false">
      <c r="A337" s="7" t="s">
        <v>5410</v>
      </c>
      <c r="B337" s="14" t="s">
        <v>5411</v>
      </c>
      <c r="C337" s="7" t="s">
        <v>576</v>
      </c>
      <c r="D337" s="7" t="s">
        <v>471</v>
      </c>
      <c r="E337" s="7" t="s">
        <v>576</v>
      </c>
      <c r="F337" s="7" t="s">
        <v>5412</v>
      </c>
      <c r="G337" s="7" t="s">
        <v>5066</v>
      </c>
      <c r="H337" s="7" t="s">
        <v>928</v>
      </c>
      <c r="I337" s="7" t="s">
        <v>1148</v>
      </c>
      <c r="J337" s="8" t="s">
        <v>5413</v>
      </c>
      <c r="K337" s="8" t="s">
        <v>474</v>
      </c>
      <c r="L337" s="7" t="s">
        <v>483</v>
      </c>
      <c r="M337" s="7" t="s">
        <v>5414</v>
      </c>
      <c r="N337" s="7" t="n">
        <v>3</v>
      </c>
      <c r="O337" s="7" t="s">
        <v>577</v>
      </c>
      <c r="P337" s="7" t="s">
        <v>1150</v>
      </c>
      <c r="Q337" s="7" t="s">
        <v>1480</v>
      </c>
      <c r="R337" s="7" t="s">
        <v>1152</v>
      </c>
      <c r="S337" s="8" t="s">
        <v>3984</v>
      </c>
      <c r="T337" s="12"/>
      <c r="U337" s="12"/>
    </row>
    <row r="338" customFormat="false" ht="46.25" hidden="false" customHeight="false" outlineLevel="0" collapsed="false">
      <c r="A338" s="7" t="s">
        <v>5415</v>
      </c>
      <c r="B338" s="14" t="s">
        <v>5411</v>
      </c>
      <c r="C338" s="7" t="s">
        <v>576</v>
      </c>
      <c r="D338" s="7" t="s">
        <v>471</v>
      </c>
      <c r="E338" s="7" t="s">
        <v>576</v>
      </c>
      <c r="F338" s="7" t="s">
        <v>5416</v>
      </c>
      <c r="G338" s="7" t="s">
        <v>5066</v>
      </c>
      <c r="H338" s="7" t="s">
        <v>928</v>
      </c>
      <c r="I338" s="7" t="s">
        <v>1148</v>
      </c>
      <c r="J338" s="8" t="s">
        <v>5417</v>
      </c>
      <c r="K338" s="8" t="s">
        <v>474</v>
      </c>
      <c r="L338" s="7" t="s">
        <v>998</v>
      </c>
      <c r="M338" s="7" t="s">
        <v>5418</v>
      </c>
      <c r="N338" s="7" t="s">
        <v>952</v>
      </c>
      <c r="O338" s="7" t="s">
        <v>5414</v>
      </c>
      <c r="P338" s="7" t="s">
        <v>1150</v>
      </c>
      <c r="Q338" s="7" t="s">
        <v>1480</v>
      </c>
      <c r="R338" s="7" t="s">
        <v>1152</v>
      </c>
      <c r="S338" s="8" t="s">
        <v>5404</v>
      </c>
      <c r="T338" s="12"/>
      <c r="U338" s="12"/>
    </row>
    <row r="339" customFormat="false" ht="46.25" hidden="false" customHeight="false" outlineLevel="0" collapsed="false">
      <c r="A339" s="7" t="s">
        <v>5419</v>
      </c>
      <c r="B339" s="14" t="s">
        <v>5411</v>
      </c>
      <c r="C339" s="7" t="s">
        <v>576</v>
      </c>
      <c r="D339" s="7" t="s">
        <v>471</v>
      </c>
      <c r="E339" s="7" t="s">
        <v>576</v>
      </c>
      <c r="F339" s="7" t="s">
        <v>5420</v>
      </c>
      <c r="G339" s="7" t="s">
        <v>5066</v>
      </c>
      <c r="H339" s="7" t="s">
        <v>943</v>
      </c>
      <c r="I339" s="7" t="s">
        <v>1424</v>
      </c>
      <c r="J339" s="8" t="s">
        <v>5421</v>
      </c>
      <c r="K339" s="8" t="s">
        <v>474</v>
      </c>
      <c r="L339" s="7" t="s">
        <v>998</v>
      </c>
      <c r="M339" s="7" t="s">
        <v>5422</v>
      </c>
      <c r="N339" s="7" t="s">
        <v>952</v>
      </c>
      <c r="O339" s="7" t="s">
        <v>5414</v>
      </c>
      <c r="P339" s="7" t="s">
        <v>1150</v>
      </c>
      <c r="Q339" s="7" t="s">
        <v>1480</v>
      </c>
      <c r="R339" s="7" t="s">
        <v>1152</v>
      </c>
      <c r="S339" s="8" t="s">
        <v>5409</v>
      </c>
      <c r="T339" s="12"/>
      <c r="U339" s="12"/>
    </row>
    <row r="340" customFormat="false" ht="35.05" hidden="false" customHeight="false" outlineLevel="0" collapsed="false">
      <c r="A340" s="7" t="s">
        <v>5423</v>
      </c>
      <c r="B340" s="14" t="s">
        <v>5424</v>
      </c>
      <c r="C340" s="7" t="s">
        <v>576</v>
      </c>
      <c r="D340" s="7" t="s">
        <v>471</v>
      </c>
      <c r="E340" s="7" t="s">
        <v>576</v>
      </c>
      <c r="F340" s="7" t="s">
        <v>5425</v>
      </c>
      <c r="G340" s="7" t="s">
        <v>5066</v>
      </c>
      <c r="H340" s="7" t="s">
        <v>928</v>
      </c>
      <c r="I340" s="7" t="s">
        <v>1148</v>
      </c>
      <c r="J340" s="8" t="s">
        <v>5426</v>
      </c>
      <c r="K340" s="8" t="s">
        <v>474</v>
      </c>
      <c r="L340" s="7" t="s">
        <v>483</v>
      </c>
      <c r="M340" s="7" t="s">
        <v>5427</v>
      </c>
      <c r="N340" s="7" t="n">
        <v>3</v>
      </c>
      <c r="O340" s="7" t="s">
        <v>577</v>
      </c>
      <c r="P340" s="7" t="s">
        <v>1150</v>
      </c>
      <c r="Q340" s="7" t="s">
        <v>1480</v>
      </c>
      <c r="R340" s="7" t="s">
        <v>1152</v>
      </c>
      <c r="S340" s="8" t="s">
        <v>3984</v>
      </c>
      <c r="T340" s="12"/>
      <c r="U340" s="12"/>
    </row>
    <row r="341" customFormat="false" ht="46.25" hidden="false" customHeight="false" outlineLevel="0" collapsed="false">
      <c r="A341" s="7" t="s">
        <v>5428</v>
      </c>
      <c r="B341" s="14" t="s">
        <v>5424</v>
      </c>
      <c r="C341" s="7" t="s">
        <v>576</v>
      </c>
      <c r="D341" s="7" t="s">
        <v>471</v>
      </c>
      <c r="E341" s="7" t="s">
        <v>576</v>
      </c>
      <c r="F341" s="7" t="s">
        <v>5429</v>
      </c>
      <c r="G341" s="7" t="s">
        <v>5066</v>
      </c>
      <c r="H341" s="7" t="s">
        <v>928</v>
      </c>
      <c r="I341" s="7" t="s">
        <v>1148</v>
      </c>
      <c r="J341" s="8" t="s">
        <v>5430</v>
      </c>
      <c r="K341" s="8" t="s">
        <v>474</v>
      </c>
      <c r="L341" s="7" t="s">
        <v>998</v>
      </c>
      <c r="M341" s="7" t="s">
        <v>5431</v>
      </c>
      <c r="N341" s="7" t="s">
        <v>952</v>
      </c>
      <c r="O341" s="7" t="s">
        <v>5427</v>
      </c>
      <c r="P341" s="7" t="s">
        <v>1150</v>
      </c>
      <c r="Q341" s="7" t="s">
        <v>1480</v>
      </c>
      <c r="R341" s="7" t="s">
        <v>1152</v>
      </c>
      <c r="S341" s="8" t="s">
        <v>5404</v>
      </c>
      <c r="T341" s="12"/>
      <c r="U341" s="12"/>
    </row>
    <row r="342" customFormat="false" ht="46.25" hidden="false" customHeight="false" outlineLevel="0" collapsed="false">
      <c r="A342" s="7" t="s">
        <v>5432</v>
      </c>
      <c r="B342" s="14" t="s">
        <v>5424</v>
      </c>
      <c r="C342" s="7" t="s">
        <v>576</v>
      </c>
      <c r="D342" s="7" t="s">
        <v>471</v>
      </c>
      <c r="E342" s="7" t="s">
        <v>576</v>
      </c>
      <c r="F342" s="7" t="s">
        <v>5433</v>
      </c>
      <c r="G342" s="7" t="s">
        <v>5066</v>
      </c>
      <c r="H342" s="7" t="s">
        <v>943</v>
      </c>
      <c r="I342" s="7" t="s">
        <v>1424</v>
      </c>
      <c r="J342" s="8" t="s">
        <v>5434</v>
      </c>
      <c r="K342" s="8" t="s">
        <v>474</v>
      </c>
      <c r="L342" s="7" t="s">
        <v>998</v>
      </c>
      <c r="M342" s="7" t="s">
        <v>5435</v>
      </c>
      <c r="N342" s="7" t="s">
        <v>952</v>
      </c>
      <c r="O342" s="7" t="s">
        <v>5427</v>
      </c>
      <c r="P342" s="7" t="s">
        <v>1150</v>
      </c>
      <c r="Q342" s="7" t="s">
        <v>1480</v>
      </c>
      <c r="R342" s="7" t="s">
        <v>1152</v>
      </c>
      <c r="S342" s="8" t="s">
        <v>5409</v>
      </c>
      <c r="T342" s="12"/>
      <c r="U342" s="12"/>
    </row>
    <row r="343" customFormat="false" ht="35.05" hidden="false" customHeight="false" outlineLevel="0" collapsed="false">
      <c r="A343" s="7" t="s">
        <v>5436</v>
      </c>
      <c r="B343" s="14" t="s">
        <v>5437</v>
      </c>
      <c r="C343" s="7" t="s">
        <v>576</v>
      </c>
      <c r="D343" s="7" t="s">
        <v>471</v>
      </c>
      <c r="E343" s="7" t="s">
        <v>576</v>
      </c>
      <c r="F343" s="7" t="s">
        <v>5438</v>
      </c>
      <c r="G343" s="7" t="s">
        <v>5066</v>
      </c>
      <c r="H343" s="7" t="s">
        <v>928</v>
      </c>
      <c r="I343" s="7" t="s">
        <v>1148</v>
      </c>
      <c r="J343" s="8" t="s">
        <v>5439</v>
      </c>
      <c r="K343" s="8" t="s">
        <v>474</v>
      </c>
      <c r="L343" s="7" t="s">
        <v>483</v>
      </c>
      <c r="M343" s="7" t="s">
        <v>5440</v>
      </c>
      <c r="N343" s="7" t="n">
        <v>3</v>
      </c>
      <c r="O343" s="7" t="s">
        <v>577</v>
      </c>
      <c r="P343" s="7" t="s">
        <v>1150</v>
      </c>
      <c r="Q343" s="7" t="s">
        <v>1480</v>
      </c>
      <c r="R343" s="7" t="s">
        <v>1152</v>
      </c>
      <c r="S343" s="8" t="s">
        <v>3984</v>
      </c>
      <c r="T343" s="12"/>
      <c r="U343" s="12"/>
    </row>
    <row r="344" customFormat="false" ht="46.25" hidden="false" customHeight="false" outlineLevel="0" collapsed="false">
      <c r="A344" s="7" t="s">
        <v>5441</v>
      </c>
      <c r="B344" s="14" t="s">
        <v>5437</v>
      </c>
      <c r="C344" s="7" t="s">
        <v>576</v>
      </c>
      <c r="D344" s="7" t="s">
        <v>471</v>
      </c>
      <c r="E344" s="7" t="s">
        <v>576</v>
      </c>
      <c r="F344" s="7" t="s">
        <v>5442</v>
      </c>
      <c r="G344" s="7" t="s">
        <v>5066</v>
      </c>
      <c r="H344" s="7" t="s">
        <v>928</v>
      </c>
      <c r="I344" s="7" t="s">
        <v>1148</v>
      </c>
      <c r="J344" s="8" t="s">
        <v>5443</v>
      </c>
      <c r="K344" s="8" t="s">
        <v>474</v>
      </c>
      <c r="L344" s="7" t="s">
        <v>998</v>
      </c>
      <c r="M344" s="7" t="s">
        <v>5444</v>
      </c>
      <c r="N344" s="7" t="s">
        <v>952</v>
      </c>
      <c r="O344" s="7" t="s">
        <v>5440</v>
      </c>
      <c r="P344" s="7" t="s">
        <v>1150</v>
      </c>
      <c r="Q344" s="7" t="s">
        <v>1480</v>
      </c>
      <c r="R344" s="7" t="s">
        <v>1152</v>
      </c>
      <c r="S344" s="8" t="s">
        <v>5404</v>
      </c>
      <c r="T344" s="12"/>
      <c r="U344" s="12"/>
    </row>
    <row r="345" customFormat="false" ht="46.25" hidden="false" customHeight="false" outlineLevel="0" collapsed="false">
      <c r="A345" s="7" t="s">
        <v>5445</v>
      </c>
      <c r="B345" s="14" t="s">
        <v>5437</v>
      </c>
      <c r="C345" s="7" t="s">
        <v>576</v>
      </c>
      <c r="D345" s="7" t="s">
        <v>471</v>
      </c>
      <c r="E345" s="7" t="s">
        <v>576</v>
      </c>
      <c r="F345" s="7" t="s">
        <v>5446</v>
      </c>
      <c r="G345" s="7" t="s">
        <v>5066</v>
      </c>
      <c r="H345" s="7" t="s">
        <v>943</v>
      </c>
      <c r="I345" s="7" t="s">
        <v>1424</v>
      </c>
      <c r="J345" s="8" t="s">
        <v>5447</v>
      </c>
      <c r="K345" s="8" t="s">
        <v>474</v>
      </c>
      <c r="L345" s="7" t="s">
        <v>998</v>
      </c>
      <c r="M345" s="7" t="s">
        <v>5448</v>
      </c>
      <c r="N345" s="7" t="s">
        <v>952</v>
      </c>
      <c r="O345" s="7" t="s">
        <v>5440</v>
      </c>
      <c r="P345" s="7" t="s">
        <v>1150</v>
      </c>
      <c r="Q345" s="7" t="s">
        <v>1480</v>
      </c>
      <c r="R345" s="7" t="s">
        <v>1152</v>
      </c>
      <c r="S345" s="8" t="s">
        <v>5409</v>
      </c>
      <c r="T345" s="12"/>
      <c r="U345" s="12"/>
    </row>
    <row r="346" customFormat="false" ht="35.05" hidden="false" customHeight="false" outlineLevel="0" collapsed="false">
      <c r="A346" s="7" t="s">
        <v>5449</v>
      </c>
      <c r="B346" s="14" t="s">
        <v>5450</v>
      </c>
      <c r="C346" s="7" t="s">
        <v>576</v>
      </c>
      <c r="D346" s="7" t="s">
        <v>471</v>
      </c>
      <c r="E346" s="7" t="s">
        <v>576</v>
      </c>
      <c r="F346" s="7" t="s">
        <v>5451</v>
      </c>
      <c r="G346" s="7" t="s">
        <v>5066</v>
      </c>
      <c r="H346" s="7" t="s">
        <v>928</v>
      </c>
      <c r="I346" s="7" t="s">
        <v>1148</v>
      </c>
      <c r="J346" s="8" t="s">
        <v>5452</v>
      </c>
      <c r="K346" s="8" t="s">
        <v>474</v>
      </c>
      <c r="L346" s="7" t="s">
        <v>483</v>
      </c>
      <c r="M346" s="7" t="s">
        <v>5453</v>
      </c>
      <c r="N346" s="7" t="n">
        <v>3</v>
      </c>
      <c r="O346" s="7" t="s">
        <v>577</v>
      </c>
      <c r="P346" s="7" t="s">
        <v>1150</v>
      </c>
      <c r="Q346" s="7" t="s">
        <v>1480</v>
      </c>
      <c r="R346" s="7" t="s">
        <v>1152</v>
      </c>
      <c r="S346" s="8" t="s">
        <v>3984</v>
      </c>
      <c r="T346" s="12"/>
      <c r="U346" s="12"/>
    </row>
    <row r="347" customFormat="false" ht="46.25" hidden="false" customHeight="false" outlineLevel="0" collapsed="false">
      <c r="A347" s="7" t="s">
        <v>5454</v>
      </c>
      <c r="B347" s="14" t="s">
        <v>5450</v>
      </c>
      <c r="C347" s="7" t="s">
        <v>576</v>
      </c>
      <c r="D347" s="7" t="s">
        <v>471</v>
      </c>
      <c r="E347" s="7" t="s">
        <v>576</v>
      </c>
      <c r="F347" s="7" t="s">
        <v>5455</v>
      </c>
      <c r="G347" s="7" t="s">
        <v>5066</v>
      </c>
      <c r="H347" s="7" t="s">
        <v>928</v>
      </c>
      <c r="I347" s="7" t="s">
        <v>1148</v>
      </c>
      <c r="J347" s="8" t="s">
        <v>5456</v>
      </c>
      <c r="K347" s="8" t="s">
        <v>474</v>
      </c>
      <c r="L347" s="7" t="s">
        <v>998</v>
      </c>
      <c r="M347" s="7" t="s">
        <v>5457</v>
      </c>
      <c r="N347" s="7" t="s">
        <v>952</v>
      </c>
      <c r="O347" s="7" t="s">
        <v>5453</v>
      </c>
      <c r="P347" s="7" t="s">
        <v>1150</v>
      </c>
      <c r="Q347" s="7" t="s">
        <v>1480</v>
      </c>
      <c r="R347" s="7" t="s">
        <v>1152</v>
      </c>
      <c r="S347" s="8" t="s">
        <v>5404</v>
      </c>
      <c r="T347" s="12"/>
      <c r="U347" s="12"/>
    </row>
    <row r="348" customFormat="false" ht="46.25" hidden="false" customHeight="false" outlineLevel="0" collapsed="false">
      <c r="A348" s="7" t="s">
        <v>5458</v>
      </c>
      <c r="B348" s="14" t="s">
        <v>5450</v>
      </c>
      <c r="C348" s="7" t="s">
        <v>576</v>
      </c>
      <c r="D348" s="7" t="s">
        <v>471</v>
      </c>
      <c r="E348" s="7" t="s">
        <v>576</v>
      </c>
      <c r="F348" s="7" t="s">
        <v>5459</v>
      </c>
      <c r="G348" s="7" t="s">
        <v>5066</v>
      </c>
      <c r="H348" s="7" t="s">
        <v>943</v>
      </c>
      <c r="I348" s="7" t="s">
        <v>1424</v>
      </c>
      <c r="J348" s="8" t="s">
        <v>5460</v>
      </c>
      <c r="K348" s="8" t="s">
        <v>474</v>
      </c>
      <c r="L348" s="7" t="s">
        <v>998</v>
      </c>
      <c r="M348" s="7" t="s">
        <v>5461</v>
      </c>
      <c r="N348" s="7" t="s">
        <v>952</v>
      </c>
      <c r="O348" s="7" t="s">
        <v>5453</v>
      </c>
      <c r="P348" s="7" t="s">
        <v>1150</v>
      </c>
      <c r="Q348" s="7" t="s">
        <v>1480</v>
      </c>
      <c r="R348" s="7" t="s">
        <v>1152</v>
      </c>
      <c r="S348" s="8" t="s">
        <v>5409</v>
      </c>
      <c r="T348" s="12"/>
      <c r="U348" s="12"/>
    </row>
    <row r="349" customFormat="false" ht="35.05" hidden="false" customHeight="false" outlineLevel="0" collapsed="false">
      <c r="A349" s="7" t="s">
        <v>5462</v>
      </c>
      <c r="B349" s="14" t="s">
        <v>3986</v>
      </c>
      <c r="C349" s="7" t="s">
        <v>581</v>
      </c>
      <c r="D349" s="7" t="s">
        <v>471</v>
      </c>
      <c r="E349" s="7" t="s">
        <v>879</v>
      </c>
      <c r="F349" s="7" t="s">
        <v>581</v>
      </c>
      <c r="G349" s="7" t="s">
        <v>3987</v>
      </c>
      <c r="H349" s="7" t="s">
        <v>928</v>
      </c>
      <c r="I349" s="7" t="s">
        <v>1148</v>
      </c>
      <c r="J349" s="8" t="s">
        <v>5463</v>
      </c>
      <c r="K349" s="8" t="s">
        <v>474</v>
      </c>
      <c r="L349" s="7" t="s">
        <v>478</v>
      </c>
      <c r="M349" s="7" t="s">
        <v>582</v>
      </c>
      <c r="N349" s="7" t="n">
        <v>2</v>
      </c>
      <c r="O349" s="7" t="s">
        <v>472</v>
      </c>
      <c r="P349" s="7" t="s">
        <v>1150</v>
      </c>
      <c r="Q349" s="7" t="s">
        <v>1183</v>
      </c>
      <c r="R349" s="7" t="s">
        <v>1152</v>
      </c>
      <c r="S349" s="8"/>
      <c r="T349" s="12"/>
      <c r="U349" s="12"/>
    </row>
    <row r="350" customFormat="false" ht="35.05" hidden="false" customHeight="false" outlineLevel="0" collapsed="false">
      <c r="A350" s="7" t="s">
        <v>5464</v>
      </c>
      <c r="B350" s="14" t="s">
        <v>5450</v>
      </c>
      <c r="C350" s="7" t="s">
        <v>581</v>
      </c>
      <c r="D350" s="7" t="s">
        <v>471</v>
      </c>
      <c r="E350" s="7" t="s">
        <v>581</v>
      </c>
      <c r="F350" s="7" t="s">
        <v>5465</v>
      </c>
      <c r="G350" s="7" t="s">
        <v>5066</v>
      </c>
      <c r="H350" s="7" t="s">
        <v>928</v>
      </c>
      <c r="I350" s="7" t="s">
        <v>1148</v>
      </c>
      <c r="J350" s="8" t="s">
        <v>5452</v>
      </c>
      <c r="K350" s="8" t="s">
        <v>474</v>
      </c>
      <c r="L350" s="7" t="s">
        <v>483</v>
      </c>
      <c r="M350" s="7" t="s">
        <v>5466</v>
      </c>
      <c r="N350" s="7" t="n">
        <v>3</v>
      </c>
      <c r="O350" s="7" t="s">
        <v>582</v>
      </c>
      <c r="P350" s="7" t="s">
        <v>1150</v>
      </c>
      <c r="Q350" s="7" t="s">
        <v>1183</v>
      </c>
      <c r="R350" s="7" t="s">
        <v>1152</v>
      </c>
      <c r="S350" s="8" t="s">
        <v>3984</v>
      </c>
      <c r="T350" s="12"/>
      <c r="U350" s="12"/>
    </row>
    <row r="351" customFormat="false" ht="46.25" hidden="false" customHeight="false" outlineLevel="0" collapsed="false">
      <c r="A351" s="7" t="s">
        <v>5467</v>
      </c>
      <c r="B351" s="14" t="s">
        <v>5450</v>
      </c>
      <c r="C351" s="7" t="s">
        <v>581</v>
      </c>
      <c r="D351" s="7" t="s">
        <v>471</v>
      </c>
      <c r="E351" s="7" t="s">
        <v>581</v>
      </c>
      <c r="F351" s="7" t="s">
        <v>5468</v>
      </c>
      <c r="G351" s="7" t="s">
        <v>5066</v>
      </c>
      <c r="H351" s="7" t="s">
        <v>943</v>
      </c>
      <c r="I351" s="7" t="s">
        <v>1424</v>
      </c>
      <c r="J351" s="8" t="s">
        <v>5469</v>
      </c>
      <c r="K351" s="8" t="s">
        <v>474</v>
      </c>
      <c r="L351" s="7" t="s">
        <v>998</v>
      </c>
      <c r="M351" s="7" t="s">
        <v>5470</v>
      </c>
      <c r="N351" s="7" t="s">
        <v>952</v>
      </c>
      <c r="O351" s="7" t="s">
        <v>5466</v>
      </c>
      <c r="P351" s="7" t="s">
        <v>1150</v>
      </c>
      <c r="Q351" s="7" t="s">
        <v>1480</v>
      </c>
      <c r="R351" s="7" t="s">
        <v>1152</v>
      </c>
      <c r="S351" s="8" t="s">
        <v>5471</v>
      </c>
      <c r="T351" s="12"/>
      <c r="U351" s="12"/>
    </row>
    <row r="352" customFormat="false" ht="35.05" hidden="false" customHeight="false" outlineLevel="0" collapsed="false">
      <c r="A352" s="7" t="s">
        <v>5472</v>
      </c>
      <c r="B352" s="14" t="s">
        <v>5450</v>
      </c>
      <c r="C352" s="7" t="s">
        <v>581</v>
      </c>
      <c r="D352" s="7" t="s">
        <v>471</v>
      </c>
      <c r="E352" s="7" t="s">
        <v>581</v>
      </c>
      <c r="F352" s="7" t="s">
        <v>5473</v>
      </c>
      <c r="G352" s="7" t="s">
        <v>5066</v>
      </c>
      <c r="H352" s="7" t="s">
        <v>943</v>
      </c>
      <c r="I352" s="7" t="s">
        <v>1424</v>
      </c>
      <c r="J352" s="8" t="s">
        <v>5474</v>
      </c>
      <c r="K352" s="8" t="s">
        <v>474</v>
      </c>
      <c r="L352" s="7" t="s">
        <v>998</v>
      </c>
      <c r="M352" s="7" t="s">
        <v>5475</v>
      </c>
      <c r="N352" s="7" t="s">
        <v>952</v>
      </c>
      <c r="O352" s="7" t="s">
        <v>5466</v>
      </c>
      <c r="P352" s="7" t="s">
        <v>1150</v>
      </c>
      <c r="Q352" s="7" t="s">
        <v>1480</v>
      </c>
      <c r="R352" s="7" t="s">
        <v>1152</v>
      </c>
      <c r="S352" s="8" t="s">
        <v>5476</v>
      </c>
      <c r="T352" s="12"/>
      <c r="U352" s="12"/>
    </row>
    <row r="353" customFormat="false" ht="35.05" hidden="false" customHeight="false" outlineLevel="0" collapsed="false">
      <c r="A353" s="7" t="s">
        <v>5477</v>
      </c>
      <c r="B353" s="14" t="s">
        <v>5478</v>
      </c>
      <c r="C353" s="7" t="s">
        <v>581</v>
      </c>
      <c r="D353" s="7" t="s">
        <v>471</v>
      </c>
      <c r="E353" s="7" t="s">
        <v>581</v>
      </c>
      <c r="F353" s="7" t="s">
        <v>5479</v>
      </c>
      <c r="G353" s="7" t="s">
        <v>5066</v>
      </c>
      <c r="H353" s="7" t="s">
        <v>928</v>
      </c>
      <c r="I353" s="7" t="s">
        <v>1148</v>
      </c>
      <c r="J353" s="8" t="s">
        <v>5480</v>
      </c>
      <c r="K353" s="8" t="s">
        <v>474</v>
      </c>
      <c r="L353" s="7" t="s">
        <v>483</v>
      </c>
      <c r="M353" s="7" t="s">
        <v>5481</v>
      </c>
      <c r="N353" s="7" t="n">
        <v>3</v>
      </c>
      <c r="O353" s="7" t="s">
        <v>582</v>
      </c>
      <c r="P353" s="7" t="s">
        <v>1150</v>
      </c>
      <c r="Q353" s="7" t="s">
        <v>1480</v>
      </c>
      <c r="R353" s="7" t="s">
        <v>1152</v>
      </c>
      <c r="S353" s="8" t="s">
        <v>3984</v>
      </c>
      <c r="T353" s="12"/>
      <c r="U353" s="12"/>
    </row>
    <row r="354" customFormat="false" ht="46.25" hidden="false" customHeight="false" outlineLevel="0" collapsed="false">
      <c r="A354" s="7" t="s">
        <v>5482</v>
      </c>
      <c r="B354" s="14" t="s">
        <v>5478</v>
      </c>
      <c r="C354" s="7" t="s">
        <v>581</v>
      </c>
      <c r="D354" s="7" t="s">
        <v>471</v>
      </c>
      <c r="E354" s="7" t="s">
        <v>581</v>
      </c>
      <c r="F354" s="7" t="s">
        <v>5483</v>
      </c>
      <c r="G354" s="7" t="s">
        <v>5066</v>
      </c>
      <c r="H354" s="7" t="s">
        <v>943</v>
      </c>
      <c r="I354" s="7" t="s">
        <v>1424</v>
      </c>
      <c r="J354" s="8" t="s">
        <v>5484</v>
      </c>
      <c r="K354" s="8" t="s">
        <v>474</v>
      </c>
      <c r="L354" s="7" t="s">
        <v>998</v>
      </c>
      <c r="M354" s="7" t="s">
        <v>5485</v>
      </c>
      <c r="N354" s="7" t="s">
        <v>952</v>
      </c>
      <c r="O354" s="7" t="s">
        <v>5481</v>
      </c>
      <c r="P354" s="7" t="s">
        <v>1150</v>
      </c>
      <c r="Q354" s="7" t="s">
        <v>1480</v>
      </c>
      <c r="R354" s="7" t="s">
        <v>1152</v>
      </c>
      <c r="S354" s="8" t="s">
        <v>5471</v>
      </c>
      <c r="T354" s="12"/>
      <c r="U354" s="12"/>
    </row>
    <row r="355" customFormat="false" ht="35.05" hidden="false" customHeight="false" outlineLevel="0" collapsed="false">
      <c r="A355" s="7" t="s">
        <v>5486</v>
      </c>
      <c r="B355" s="14" t="s">
        <v>5478</v>
      </c>
      <c r="C355" s="7" t="s">
        <v>581</v>
      </c>
      <c r="D355" s="7" t="s">
        <v>471</v>
      </c>
      <c r="E355" s="7" t="s">
        <v>581</v>
      </c>
      <c r="F355" s="7" t="s">
        <v>5487</v>
      </c>
      <c r="G355" s="7" t="s">
        <v>5066</v>
      </c>
      <c r="H355" s="7" t="s">
        <v>943</v>
      </c>
      <c r="I355" s="7" t="s">
        <v>1424</v>
      </c>
      <c r="J355" s="8" t="s">
        <v>5488</v>
      </c>
      <c r="K355" s="8" t="s">
        <v>474</v>
      </c>
      <c r="L355" s="7" t="s">
        <v>998</v>
      </c>
      <c r="M355" s="7" t="s">
        <v>5489</v>
      </c>
      <c r="N355" s="7" t="s">
        <v>952</v>
      </c>
      <c r="O355" s="7" t="s">
        <v>5481</v>
      </c>
      <c r="P355" s="7" t="s">
        <v>1150</v>
      </c>
      <c r="Q355" s="7" t="s">
        <v>1480</v>
      </c>
      <c r="R355" s="7" t="s">
        <v>1152</v>
      </c>
      <c r="S355" s="8" t="s">
        <v>5476</v>
      </c>
      <c r="T355" s="12"/>
      <c r="U355" s="12"/>
    </row>
    <row r="356" customFormat="false" ht="35.05" hidden="false" customHeight="false" outlineLevel="0" collapsed="false">
      <c r="A356" s="7" t="s">
        <v>5490</v>
      </c>
      <c r="B356" s="14" t="s">
        <v>3986</v>
      </c>
      <c r="C356" s="7" t="s">
        <v>586</v>
      </c>
      <c r="D356" s="7" t="s">
        <v>471</v>
      </c>
      <c r="E356" s="7" t="s">
        <v>879</v>
      </c>
      <c r="F356" s="7" t="s">
        <v>586</v>
      </c>
      <c r="G356" s="7" t="s">
        <v>3987</v>
      </c>
      <c r="H356" s="7" t="s">
        <v>928</v>
      </c>
      <c r="I356" s="7" t="s">
        <v>1148</v>
      </c>
      <c r="J356" s="8" t="s">
        <v>5491</v>
      </c>
      <c r="K356" s="8" t="s">
        <v>474</v>
      </c>
      <c r="L356" s="7" t="s">
        <v>478</v>
      </c>
      <c r="M356" s="7" t="s">
        <v>587</v>
      </c>
      <c r="N356" s="7" t="n">
        <v>2</v>
      </c>
      <c r="O356" s="7" t="s">
        <v>472</v>
      </c>
      <c r="P356" s="7" t="s">
        <v>1150</v>
      </c>
      <c r="Q356" s="7" t="s">
        <v>1480</v>
      </c>
      <c r="R356" s="7" t="s">
        <v>1152</v>
      </c>
      <c r="S356" s="8"/>
      <c r="T356" s="12"/>
      <c r="U356" s="12"/>
    </row>
    <row r="357" customFormat="false" ht="35.05" hidden="false" customHeight="false" outlineLevel="0" collapsed="false">
      <c r="A357" s="7" t="s">
        <v>5492</v>
      </c>
      <c r="B357" s="14" t="s">
        <v>5493</v>
      </c>
      <c r="C357" s="7" t="s">
        <v>586</v>
      </c>
      <c r="D357" s="7" t="s">
        <v>471</v>
      </c>
      <c r="E357" s="7" t="s">
        <v>586</v>
      </c>
      <c r="F357" s="7" t="s">
        <v>5494</v>
      </c>
      <c r="G357" s="7" t="s">
        <v>5066</v>
      </c>
      <c r="H357" s="7" t="s">
        <v>928</v>
      </c>
      <c r="I357" s="7" t="s">
        <v>1148</v>
      </c>
      <c r="J357" s="8" t="s">
        <v>5495</v>
      </c>
      <c r="K357" s="8" t="s">
        <v>474</v>
      </c>
      <c r="L357" s="7" t="s">
        <v>483</v>
      </c>
      <c r="M357" s="7" t="s">
        <v>5496</v>
      </c>
      <c r="N357" s="7" t="n">
        <v>3</v>
      </c>
      <c r="O357" s="7" t="s">
        <v>587</v>
      </c>
      <c r="P357" s="7" t="s">
        <v>1150</v>
      </c>
      <c r="Q357" s="7" t="s">
        <v>1480</v>
      </c>
      <c r="R357" s="7" t="s">
        <v>1152</v>
      </c>
      <c r="S357" s="8" t="s">
        <v>3984</v>
      </c>
      <c r="T357" s="12"/>
      <c r="U357" s="12"/>
    </row>
    <row r="358" customFormat="false" ht="46.25" hidden="false" customHeight="false" outlineLevel="0" collapsed="false">
      <c r="A358" s="7" t="s">
        <v>5497</v>
      </c>
      <c r="B358" s="14" t="s">
        <v>5493</v>
      </c>
      <c r="C358" s="7" t="s">
        <v>586</v>
      </c>
      <c r="D358" s="7" t="s">
        <v>471</v>
      </c>
      <c r="E358" s="7" t="s">
        <v>586</v>
      </c>
      <c r="F358" s="7" t="s">
        <v>5498</v>
      </c>
      <c r="G358" s="7" t="s">
        <v>5066</v>
      </c>
      <c r="H358" s="7" t="s">
        <v>943</v>
      </c>
      <c r="I358" s="7" t="s">
        <v>1424</v>
      </c>
      <c r="J358" s="8" t="s">
        <v>5499</v>
      </c>
      <c r="K358" s="8" t="s">
        <v>474</v>
      </c>
      <c r="L358" s="7" t="s">
        <v>998</v>
      </c>
      <c r="M358" s="7" t="s">
        <v>5500</v>
      </c>
      <c r="N358" s="7" t="s">
        <v>952</v>
      </c>
      <c r="O358" s="7" t="s">
        <v>5496</v>
      </c>
      <c r="P358" s="7" t="s">
        <v>1150</v>
      </c>
      <c r="Q358" s="7" t="s">
        <v>1480</v>
      </c>
      <c r="R358" s="7" t="s">
        <v>1152</v>
      </c>
      <c r="S358" s="8" t="s">
        <v>5501</v>
      </c>
      <c r="T358" s="12"/>
      <c r="U358" s="12"/>
    </row>
    <row r="359" customFormat="false" ht="46.25" hidden="false" customHeight="false" outlineLevel="0" collapsed="false">
      <c r="A359" s="7" t="s">
        <v>5502</v>
      </c>
      <c r="B359" s="14" t="s">
        <v>5493</v>
      </c>
      <c r="C359" s="7" t="s">
        <v>586</v>
      </c>
      <c r="D359" s="7" t="s">
        <v>471</v>
      </c>
      <c r="E359" s="7" t="s">
        <v>586</v>
      </c>
      <c r="F359" s="7" t="s">
        <v>5503</v>
      </c>
      <c r="G359" s="7" t="s">
        <v>5066</v>
      </c>
      <c r="H359" s="7" t="s">
        <v>943</v>
      </c>
      <c r="I359" s="7" t="s">
        <v>1424</v>
      </c>
      <c r="J359" s="8" t="s">
        <v>5504</v>
      </c>
      <c r="K359" s="8" t="s">
        <v>474</v>
      </c>
      <c r="L359" s="7" t="s">
        <v>998</v>
      </c>
      <c r="M359" s="7" t="s">
        <v>5505</v>
      </c>
      <c r="N359" s="7" t="s">
        <v>952</v>
      </c>
      <c r="O359" s="7" t="s">
        <v>5496</v>
      </c>
      <c r="P359" s="7" t="s">
        <v>1150</v>
      </c>
      <c r="Q359" s="7" t="s">
        <v>1480</v>
      </c>
      <c r="R359" s="7" t="s">
        <v>1152</v>
      </c>
      <c r="S359" s="8" t="s">
        <v>5506</v>
      </c>
      <c r="T359" s="12"/>
      <c r="U359" s="12"/>
    </row>
    <row r="360" customFormat="false" ht="35.05" hidden="false" customHeight="false" outlineLevel="0" collapsed="false">
      <c r="A360" s="7" t="s">
        <v>5507</v>
      </c>
      <c r="B360" s="14" t="s">
        <v>5508</v>
      </c>
      <c r="C360" s="7" t="s">
        <v>586</v>
      </c>
      <c r="D360" s="7" t="s">
        <v>471</v>
      </c>
      <c r="E360" s="7" t="s">
        <v>586</v>
      </c>
      <c r="F360" s="7" t="s">
        <v>5509</v>
      </c>
      <c r="G360" s="7" t="s">
        <v>5066</v>
      </c>
      <c r="H360" s="7" t="s">
        <v>928</v>
      </c>
      <c r="I360" s="7" t="s">
        <v>1148</v>
      </c>
      <c r="J360" s="8" t="s">
        <v>5510</v>
      </c>
      <c r="K360" s="8" t="s">
        <v>474</v>
      </c>
      <c r="L360" s="7" t="s">
        <v>483</v>
      </c>
      <c r="M360" s="7" t="s">
        <v>5511</v>
      </c>
      <c r="N360" s="7" t="n">
        <v>3</v>
      </c>
      <c r="O360" s="7" t="s">
        <v>587</v>
      </c>
      <c r="P360" s="7" t="s">
        <v>1150</v>
      </c>
      <c r="Q360" s="7" t="s">
        <v>1480</v>
      </c>
      <c r="R360" s="7" t="s">
        <v>1152</v>
      </c>
      <c r="S360" s="8" t="s">
        <v>3984</v>
      </c>
      <c r="T360" s="12"/>
      <c r="U360" s="12"/>
    </row>
    <row r="361" customFormat="false" ht="46.25" hidden="false" customHeight="false" outlineLevel="0" collapsed="false">
      <c r="A361" s="7" t="s">
        <v>5512</v>
      </c>
      <c r="B361" s="14" t="s">
        <v>5508</v>
      </c>
      <c r="C361" s="7" t="s">
        <v>586</v>
      </c>
      <c r="D361" s="7" t="s">
        <v>471</v>
      </c>
      <c r="E361" s="7" t="s">
        <v>586</v>
      </c>
      <c r="F361" s="7" t="s">
        <v>5513</v>
      </c>
      <c r="G361" s="7" t="s">
        <v>5066</v>
      </c>
      <c r="H361" s="7" t="s">
        <v>943</v>
      </c>
      <c r="I361" s="7" t="s">
        <v>1424</v>
      </c>
      <c r="J361" s="8" t="s">
        <v>5514</v>
      </c>
      <c r="K361" s="8" t="s">
        <v>474</v>
      </c>
      <c r="L361" s="7" t="s">
        <v>998</v>
      </c>
      <c r="M361" s="7" t="s">
        <v>5515</v>
      </c>
      <c r="N361" s="7" t="s">
        <v>952</v>
      </c>
      <c r="O361" s="7" t="s">
        <v>5511</v>
      </c>
      <c r="P361" s="7" t="s">
        <v>1150</v>
      </c>
      <c r="Q361" s="7" t="s">
        <v>1480</v>
      </c>
      <c r="R361" s="7" t="s">
        <v>1152</v>
      </c>
      <c r="S361" s="8" t="s">
        <v>5501</v>
      </c>
      <c r="T361" s="12"/>
      <c r="U361" s="12"/>
    </row>
    <row r="362" customFormat="false" ht="46.25" hidden="false" customHeight="false" outlineLevel="0" collapsed="false">
      <c r="A362" s="7" t="s">
        <v>5516</v>
      </c>
      <c r="B362" s="14" t="s">
        <v>5508</v>
      </c>
      <c r="C362" s="7" t="s">
        <v>586</v>
      </c>
      <c r="D362" s="7" t="s">
        <v>471</v>
      </c>
      <c r="E362" s="7" t="s">
        <v>586</v>
      </c>
      <c r="F362" s="7" t="s">
        <v>5517</v>
      </c>
      <c r="G362" s="7" t="s">
        <v>5066</v>
      </c>
      <c r="H362" s="7" t="s">
        <v>943</v>
      </c>
      <c r="I362" s="7" t="s">
        <v>1424</v>
      </c>
      <c r="J362" s="8" t="s">
        <v>5518</v>
      </c>
      <c r="K362" s="8" t="s">
        <v>474</v>
      </c>
      <c r="L362" s="7" t="s">
        <v>998</v>
      </c>
      <c r="M362" s="7" t="s">
        <v>5519</v>
      </c>
      <c r="N362" s="7" t="s">
        <v>952</v>
      </c>
      <c r="O362" s="7" t="s">
        <v>5511</v>
      </c>
      <c r="P362" s="7" t="s">
        <v>1150</v>
      </c>
      <c r="Q362" s="7" t="s">
        <v>1480</v>
      </c>
      <c r="R362" s="7" t="s">
        <v>1152</v>
      </c>
      <c r="S362" s="8" t="s">
        <v>5506</v>
      </c>
      <c r="T362" s="12"/>
      <c r="U362" s="12"/>
    </row>
    <row r="363" customFormat="false" ht="35.05" hidden="false" customHeight="false" outlineLevel="0" collapsed="false">
      <c r="A363" s="7" t="s">
        <v>5520</v>
      </c>
      <c r="B363" s="14" t="s">
        <v>5521</v>
      </c>
      <c r="C363" s="7" t="s">
        <v>586</v>
      </c>
      <c r="D363" s="7" t="s">
        <v>471</v>
      </c>
      <c r="E363" s="7" t="s">
        <v>586</v>
      </c>
      <c r="F363" s="7" t="s">
        <v>5522</v>
      </c>
      <c r="G363" s="7" t="s">
        <v>5066</v>
      </c>
      <c r="H363" s="7" t="s">
        <v>928</v>
      </c>
      <c r="I363" s="7" t="s">
        <v>1148</v>
      </c>
      <c r="J363" s="8" t="s">
        <v>5523</v>
      </c>
      <c r="K363" s="8" t="s">
        <v>474</v>
      </c>
      <c r="L363" s="7" t="s">
        <v>483</v>
      </c>
      <c r="M363" s="7" t="s">
        <v>5524</v>
      </c>
      <c r="N363" s="7" t="n">
        <v>3</v>
      </c>
      <c r="O363" s="7" t="s">
        <v>587</v>
      </c>
      <c r="P363" s="7" t="s">
        <v>1150</v>
      </c>
      <c r="Q363" s="7" t="s">
        <v>1480</v>
      </c>
      <c r="R363" s="7" t="s">
        <v>1152</v>
      </c>
      <c r="S363" s="8" t="s">
        <v>3984</v>
      </c>
      <c r="T363" s="12"/>
      <c r="U363" s="12"/>
    </row>
    <row r="364" customFormat="false" ht="46.25" hidden="false" customHeight="false" outlineLevel="0" collapsed="false">
      <c r="A364" s="7" t="s">
        <v>5525</v>
      </c>
      <c r="B364" s="14" t="s">
        <v>5521</v>
      </c>
      <c r="C364" s="7" t="s">
        <v>586</v>
      </c>
      <c r="D364" s="7" t="s">
        <v>471</v>
      </c>
      <c r="E364" s="7" t="s">
        <v>586</v>
      </c>
      <c r="F364" s="7" t="s">
        <v>5526</v>
      </c>
      <c r="G364" s="7" t="s">
        <v>5066</v>
      </c>
      <c r="H364" s="7" t="s">
        <v>943</v>
      </c>
      <c r="I364" s="7" t="s">
        <v>1424</v>
      </c>
      <c r="J364" s="8" t="s">
        <v>5527</v>
      </c>
      <c r="K364" s="8" t="s">
        <v>474</v>
      </c>
      <c r="L364" s="7" t="s">
        <v>998</v>
      </c>
      <c r="M364" s="7" t="s">
        <v>5528</v>
      </c>
      <c r="N364" s="7" t="s">
        <v>952</v>
      </c>
      <c r="O364" s="7" t="s">
        <v>5524</v>
      </c>
      <c r="P364" s="7" t="s">
        <v>1150</v>
      </c>
      <c r="Q364" s="7" t="s">
        <v>1480</v>
      </c>
      <c r="R364" s="7" t="s">
        <v>1152</v>
      </c>
      <c r="S364" s="8" t="s">
        <v>5501</v>
      </c>
      <c r="T364" s="12"/>
      <c r="U364" s="12"/>
    </row>
    <row r="365" customFormat="false" ht="46.25" hidden="false" customHeight="false" outlineLevel="0" collapsed="false">
      <c r="A365" s="7" t="s">
        <v>5529</v>
      </c>
      <c r="B365" s="14" t="s">
        <v>5521</v>
      </c>
      <c r="C365" s="7" t="s">
        <v>586</v>
      </c>
      <c r="D365" s="7" t="s">
        <v>471</v>
      </c>
      <c r="E365" s="7" t="s">
        <v>586</v>
      </c>
      <c r="F365" s="7" t="s">
        <v>5530</v>
      </c>
      <c r="G365" s="7" t="s">
        <v>5066</v>
      </c>
      <c r="H365" s="7" t="s">
        <v>943</v>
      </c>
      <c r="I365" s="7" t="s">
        <v>1424</v>
      </c>
      <c r="J365" s="8" t="s">
        <v>5531</v>
      </c>
      <c r="K365" s="8" t="s">
        <v>474</v>
      </c>
      <c r="L365" s="7" t="s">
        <v>998</v>
      </c>
      <c r="M365" s="7" t="s">
        <v>5532</v>
      </c>
      <c r="N365" s="7" t="s">
        <v>952</v>
      </c>
      <c r="O365" s="7" t="s">
        <v>5524</v>
      </c>
      <c r="P365" s="7" t="s">
        <v>1150</v>
      </c>
      <c r="Q365" s="7" t="s">
        <v>1480</v>
      </c>
      <c r="R365" s="7" t="s">
        <v>1152</v>
      </c>
      <c r="S365" s="8" t="s">
        <v>5506</v>
      </c>
      <c r="T365" s="12"/>
      <c r="U365" s="12"/>
    </row>
    <row r="366" customFormat="false" ht="35.05" hidden="false" customHeight="false" outlineLevel="0" collapsed="false">
      <c r="A366" s="7" t="s">
        <v>5533</v>
      </c>
      <c r="B366" s="14" t="s">
        <v>5534</v>
      </c>
      <c r="C366" s="7" t="s">
        <v>586</v>
      </c>
      <c r="D366" s="7" t="s">
        <v>471</v>
      </c>
      <c r="E366" s="7" t="s">
        <v>586</v>
      </c>
      <c r="F366" s="7" t="s">
        <v>5535</v>
      </c>
      <c r="G366" s="7" t="s">
        <v>5066</v>
      </c>
      <c r="H366" s="7" t="s">
        <v>928</v>
      </c>
      <c r="I366" s="7" t="s">
        <v>1148</v>
      </c>
      <c r="J366" s="8" t="s">
        <v>5536</v>
      </c>
      <c r="K366" s="8" t="s">
        <v>474</v>
      </c>
      <c r="L366" s="7" t="s">
        <v>483</v>
      </c>
      <c r="M366" s="7" t="s">
        <v>5537</v>
      </c>
      <c r="N366" s="7" t="n">
        <v>3</v>
      </c>
      <c r="O366" s="7" t="s">
        <v>587</v>
      </c>
      <c r="P366" s="7" t="s">
        <v>1150</v>
      </c>
      <c r="Q366" s="7" t="s">
        <v>1480</v>
      </c>
      <c r="R366" s="7" t="s">
        <v>1152</v>
      </c>
      <c r="S366" s="8" t="s">
        <v>3984</v>
      </c>
      <c r="T366" s="12"/>
      <c r="U366" s="12"/>
    </row>
    <row r="367" customFormat="false" ht="46.25" hidden="false" customHeight="false" outlineLevel="0" collapsed="false">
      <c r="A367" s="7" t="s">
        <v>5538</v>
      </c>
      <c r="B367" s="14" t="s">
        <v>5534</v>
      </c>
      <c r="C367" s="7" t="s">
        <v>586</v>
      </c>
      <c r="D367" s="7" t="s">
        <v>471</v>
      </c>
      <c r="E367" s="7" t="s">
        <v>586</v>
      </c>
      <c r="F367" s="7" t="s">
        <v>5539</v>
      </c>
      <c r="G367" s="7" t="s">
        <v>5066</v>
      </c>
      <c r="H367" s="7" t="s">
        <v>943</v>
      </c>
      <c r="I367" s="7" t="s">
        <v>1424</v>
      </c>
      <c r="J367" s="8" t="s">
        <v>5540</v>
      </c>
      <c r="K367" s="8" t="s">
        <v>474</v>
      </c>
      <c r="L367" s="7" t="s">
        <v>998</v>
      </c>
      <c r="M367" s="7" t="s">
        <v>5541</v>
      </c>
      <c r="N367" s="7" t="s">
        <v>952</v>
      </c>
      <c r="O367" s="7" t="s">
        <v>5537</v>
      </c>
      <c r="P367" s="7" t="s">
        <v>1150</v>
      </c>
      <c r="Q367" s="7" t="s">
        <v>1480</v>
      </c>
      <c r="R367" s="7" t="s">
        <v>1152</v>
      </c>
      <c r="S367" s="8" t="s">
        <v>5501</v>
      </c>
      <c r="T367" s="12"/>
      <c r="U367" s="12"/>
    </row>
    <row r="368" customFormat="false" ht="46.25" hidden="false" customHeight="false" outlineLevel="0" collapsed="false">
      <c r="A368" s="7" t="s">
        <v>5542</v>
      </c>
      <c r="B368" s="14" t="s">
        <v>5534</v>
      </c>
      <c r="C368" s="7" t="s">
        <v>586</v>
      </c>
      <c r="D368" s="7" t="s">
        <v>471</v>
      </c>
      <c r="E368" s="7" t="s">
        <v>586</v>
      </c>
      <c r="F368" s="7" t="s">
        <v>5543</v>
      </c>
      <c r="G368" s="7" t="s">
        <v>5066</v>
      </c>
      <c r="H368" s="7" t="s">
        <v>943</v>
      </c>
      <c r="I368" s="7" t="s">
        <v>1424</v>
      </c>
      <c r="J368" s="8" t="s">
        <v>5544</v>
      </c>
      <c r="K368" s="8" t="s">
        <v>474</v>
      </c>
      <c r="L368" s="7" t="s">
        <v>998</v>
      </c>
      <c r="M368" s="7" t="s">
        <v>5545</v>
      </c>
      <c r="N368" s="7" t="s">
        <v>952</v>
      </c>
      <c r="O368" s="7" t="s">
        <v>5537</v>
      </c>
      <c r="P368" s="7" t="s">
        <v>1150</v>
      </c>
      <c r="Q368" s="7" t="s">
        <v>1480</v>
      </c>
      <c r="R368" s="7" t="s">
        <v>1152</v>
      </c>
      <c r="S368" s="8" t="s">
        <v>5506</v>
      </c>
      <c r="T368" s="12"/>
      <c r="U368" s="12"/>
    </row>
    <row r="369" customFormat="false" ht="35.05" hidden="false" customHeight="false" outlineLevel="0" collapsed="false">
      <c r="A369" s="7" t="s">
        <v>5546</v>
      </c>
      <c r="B369" s="14" t="s">
        <v>5287</v>
      </c>
      <c r="C369" s="7" t="s">
        <v>586</v>
      </c>
      <c r="D369" s="7" t="s">
        <v>471</v>
      </c>
      <c r="E369" s="7" t="s">
        <v>586</v>
      </c>
      <c r="F369" s="7" t="s">
        <v>5547</v>
      </c>
      <c r="G369" s="7" t="s">
        <v>5066</v>
      </c>
      <c r="H369" s="7" t="s">
        <v>928</v>
      </c>
      <c r="I369" s="7" t="s">
        <v>1148</v>
      </c>
      <c r="J369" s="8" t="s">
        <v>5289</v>
      </c>
      <c r="K369" s="8" t="s">
        <v>474</v>
      </c>
      <c r="L369" s="7" t="s">
        <v>483</v>
      </c>
      <c r="M369" s="7" t="s">
        <v>5548</v>
      </c>
      <c r="N369" s="7" t="n">
        <v>3</v>
      </c>
      <c r="O369" s="7" t="s">
        <v>587</v>
      </c>
      <c r="P369" s="7" t="s">
        <v>1150</v>
      </c>
      <c r="Q369" s="7" t="s">
        <v>1480</v>
      </c>
      <c r="R369" s="7" t="s">
        <v>1152</v>
      </c>
      <c r="S369" s="8" t="s">
        <v>3984</v>
      </c>
      <c r="T369" s="12"/>
      <c r="U369" s="12"/>
    </row>
    <row r="370" customFormat="false" ht="46.25" hidden="false" customHeight="false" outlineLevel="0" collapsed="false">
      <c r="A370" s="7" t="s">
        <v>5549</v>
      </c>
      <c r="B370" s="14" t="s">
        <v>5287</v>
      </c>
      <c r="C370" s="7" t="s">
        <v>586</v>
      </c>
      <c r="D370" s="7" t="s">
        <v>471</v>
      </c>
      <c r="E370" s="7" t="s">
        <v>586</v>
      </c>
      <c r="F370" s="7" t="s">
        <v>5550</v>
      </c>
      <c r="G370" s="7" t="s">
        <v>5066</v>
      </c>
      <c r="H370" s="7" t="s">
        <v>943</v>
      </c>
      <c r="I370" s="7" t="s">
        <v>1424</v>
      </c>
      <c r="J370" s="8" t="s">
        <v>5551</v>
      </c>
      <c r="K370" s="8" t="s">
        <v>474</v>
      </c>
      <c r="L370" s="7" t="s">
        <v>998</v>
      </c>
      <c r="M370" s="7" t="s">
        <v>5552</v>
      </c>
      <c r="N370" s="7" t="s">
        <v>952</v>
      </c>
      <c r="O370" s="7" t="s">
        <v>5548</v>
      </c>
      <c r="P370" s="7" t="s">
        <v>1150</v>
      </c>
      <c r="Q370" s="7" t="s">
        <v>1480</v>
      </c>
      <c r="R370" s="7" t="s">
        <v>1152</v>
      </c>
      <c r="S370" s="8" t="s">
        <v>5501</v>
      </c>
      <c r="T370" s="12"/>
      <c r="U370" s="12"/>
    </row>
    <row r="371" customFormat="false" ht="46.25" hidden="false" customHeight="false" outlineLevel="0" collapsed="false">
      <c r="A371" s="7" t="s">
        <v>5553</v>
      </c>
      <c r="B371" s="14" t="s">
        <v>5287</v>
      </c>
      <c r="C371" s="7" t="s">
        <v>586</v>
      </c>
      <c r="D371" s="7" t="s">
        <v>471</v>
      </c>
      <c r="E371" s="7" t="s">
        <v>586</v>
      </c>
      <c r="F371" s="7" t="s">
        <v>5554</v>
      </c>
      <c r="G371" s="7" t="s">
        <v>5066</v>
      </c>
      <c r="H371" s="7" t="s">
        <v>943</v>
      </c>
      <c r="I371" s="7" t="s">
        <v>1424</v>
      </c>
      <c r="J371" s="8" t="s">
        <v>5555</v>
      </c>
      <c r="K371" s="8" t="s">
        <v>474</v>
      </c>
      <c r="L371" s="7" t="s">
        <v>998</v>
      </c>
      <c r="M371" s="7" t="s">
        <v>5556</v>
      </c>
      <c r="N371" s="7" t="s">
        <v>952</v>
      </c>
      <c r="O371" s="7" t="s">
        <v>5548</v>
      </c>
      <c r="P371" s="7" t="s">
        <v>1150</v>
      </c>
      <c r="Q371" s="7" t="s">
        <v>1480</v>
      </c>
      <c r="R371" s="7" t="s">
        <v>1152</v>
      </c>
      <c r="S371" s="8" t="s">
        <v>5506</v>
      </c>
      <c r="T371" s="12"/>
      <c r="U371" s="12"/>
    </row>
    <row r="372" customFormat="false" ht="35.05" hidden="false" customHeight="false" outlineLevel="0" collapsed="false">
      <c r="A372" s="7" t="s">
        <v>5557</v>
      </c>
      <c r="B372" s="14" t="s">
        <v>3986</v>
      </c>
      <c r="C372" s="7" t="s">
        <v>591</v>
      </c>
      <c r="D372" s="7" t="s">
        <v>471</v>
      </c>
      <c r="E372" s="7" t="s">
        <v>879</v>
      </c>
      <c r="F372" s="7" t="s">
        <v>591</v>
      </c>
      <c r="G372" s="7" t="s">
        <v>3987</v>
      </c>
      <c r="H372" s="7" t="s">
        <v>928</v>
      </c>
      <c r="I372" s="7" t="s">
        <v>1148</v>
      </c>
      <c r="J372" s="8" t="s">
        <v>5558</v>
      </c>
      <c r="K372" s="8" t="s">
        <v>474</v>
      </c>
      <c r="L372" s="7" t="s">
        <v>478</v>
      </c>
      <c r="M372" s="7" t="s">
        <v>592</v>
      </c>
      <c r="N372" s="7" t="n">
        <v>2</v>
      </c>
      <c r="O372" s="7" t="s">
        <v>472</v>
      </c>
      <c r="P372" s="7" t="s">
        <v>1150</v>
      </c>
      <c r="Q372" s="7" t="s">
        <v>1480</v>
      </c>
      <c r="R372" s="7" t="s">
        <v>1152</v>
      </c>
      <c r="S372" s="8"/>
      <c r="T372" s="12"/>
      <c r="U372" s="12"/>
    </row>
    <row r="373" customFormat="false" ht="35.05" hidden="false" customHeight="false" outlineLevel="0" collapsed="false">
      <c r="A373" s="7" t="s">
        <v>5559</v>
      </c>
      <c r="B373" s="14" t="s">
        <v>5560</v>
      </c>
      <c r="C373" s="7" t="s">
        <v>591</v>
      </c>
      <c r="D373" s="7" t="s">
        <v>471</v>
      </c>
      <c r="E373" s="7" t="s">
        <v>591</v>
      </c>
      <c r="F373" s="7" t="s">
        <v>5561</v>
      </c>
      <c r="G373" s="7" t="s">
        <v>5066</v>
      </c>
      <c r="H373" s="7" t="s">
        <v>928</v>
      </c>
      <c r="I373" s="7" t="s">
        <v>1148</v>
      </c>
      <c r="J373" s="8" t="s">
        <v>5562</v>
      </c>
      <c r="K373" s="8" t="s">
        <v>474</v>
      </c>
      <c r="L373" s="7" t="s">
        <v>483</v>
      </c>
      <c r="M373" s="7" t="s">
        <v>5563</v>
      </c>
      <c r="N373" s="7" t="n">
        <v>3</v>
      </c>
      <c r="O373" s="7" t="s">
        <v>592</v>
      </c>
      <c r="P373" s="7" t="s">
        <v>1150</v>
      </c>
      <c r="Q373" s="7" t="s">
        <v>1480</v>
      </c>
      <c r="R373" s="7" t="s">
        <v>1152</v>
      </c>
      <c r="S373" s="8" t="s">
        <v>3984</v>
      </c>
      <c r="T373" s="12"/>
      <c r="U373" s="12"/>
    </row>
    <row r="374" customFormat="false" ht="46.25" hidden="false" customHeight="false" outlineLevel="0" collapsed="false">
      <c r="A374" s="7" t="s">
        <v>5564</v>
      </c>
      <c r="B374" s="14" t="s">
        <v>5560</v>
      </c>
      <c r="C374" s="7" t="s">
        <v>591</v>
      </c>
      <c r="D374" s="7" t="s">
        <v>471</v>
      </c>
      <c r="E374" s="7" t="s">
        <v>591</v>
      </c>
      <c r="F374" s="7" t="s">
        <v>5565</v>
      </c>
      <c r="G374" s="7" t="s">
        <v>5066</v>
      </c>
      <c r="H374" s="7" t="s">
        <v>928</v>
      </c>
      <c r="I374" s="7" t="s">
        <v>1148</v>
      </c>
      <c r="J374" s="8" t="s">
        <v>5566</v>
      </c>
      <c r="K374" s="8" t="s">
        <v>474</v>
      </c>
      <c r="L374" s="7" t="s">
        <v>998</v>
      </c>
      <c r="M374" s="7" t="s">
        <v>5567</v>
      </c>
      <c r="N374" s="7" t="s">
        <v>952</v>
      </c>
      <c r="O374" s="7" t="s">
        <v>5563</v>
      </c>
      <c r="P374" s="7" t="s">
        <v>1150</v>
      </c>
      <c r="Q374" s="7" t="s">
        <v>1480</v>
      </c>
      <c r="R374" s="7" t="s">
        <v>1152</v>
      </c>
      <c r="S374" s="8" t="s">
        <v>5568</v>
      </c>
      <c r="T374" s="12"/>
      <c r="U374" s="12"/>
    </row>
    <row r="375" customFormat="false" ht="46.25" hidden="false" customHeight="false" outlineLevel="0" collapsed="false">
      <c r="A375" s="7" t="s">
        <v>5569</v>
      </c>
      <c r="B375" s="14" t="s">
        <v>5560</v>
      </c>
      <c r="C375" s="7" t="s">
        <v>591</v>
      </c>
      <c r="D375" s="7" t="s">
        <v>471</v>
      </c>
      <c r="E375" s="7" t="s">
        <v>591</v>
      </c>
      <c r="F375" s="7" t="s">
        <v>5570</v>
      </c>
      <c r="G375" s="7" t="s">
        <v>5066</v>
      </c>
      <c r="H375" s="7" t="s">
        <v>928</v>
      </c>
      <c r="I375" s="7" t="s">
        <v>1148</v>
      </c>
      <c r="J375" s="8" t="s">
        <v>5571</v>
      </c>
      <c r="K375" s="8" t="s">
        <v>474</v>
      </c>
      <c r="L375" s="7" t="s">
        <v>998</v>
      </c>
      <c r="M375" s="7" t="s">
        <v>5572</v>
      </c>
      <c r="N375" s="7" t="s">
        <v>952</v>
      </c>
      <c r="O375" s="7" t="s">
        <v>5563</v>
      </c>
      <c r="P375" s="7" t="s">
        <v>1150</v>
      </c>
      <c r="Q375" s="7" t="s">
        <v>1480</v>
      </c>
      <c r="R375" s="7" t="s">
        <v>1152</v>
      </c>
      <c r="S375" s="8" t="s">
        <v>5573</v>
      </c>
      <c r="T375" s="12"/>
      <c r="U375" s="12"/>
    </row>
    <row r="376" customFormat="false" ht="35.05" hidden="false" customHeight="false" outlineLevel="0" collapsed="false">
      <c r="A376" s="7" t="s">
        <v>5574</v>
      </c>
      <c r="B376" s="14" t="s">
        <v>5575</v>
      </c>
      <c r="C376" s="7" t="s">
        <v>591</v>
      </c>
      <c r="D376" s="7" t="s">
        <v>471</v>
      </c>
      <c r="E376" s="7" t="s">
        <v>591</v>
      </c>
      <c r="F376" s="7" t="s">
        <v>5576</v>
      </c>
      <c r="G376" s="7" t="s">
        <v>5066</v>
      </c>
      <c r="H376" s="7" t="s">
        <v>928</v>
      </c>
      <c r="I376" s="7" t="s">
        <v>1148</v>
      </c>
      <c r="J376" s="8" t="s">
        <v>5577</v>
      </c>
      <c r="K376" s="8" t="s">
        <v>474</v>
      </c>
      <c r="L376" s="7" t="s">
        <v>483</v>
      </c>
      <c r="M376" s="7" t="s">
        <v>5578</v>
      </c>
      <c r="N376" s="7" t="n">
        <v>3</v>
      </c>
      <c r="O376" s="7" t="s">
        <v>592</v>
      </c>
      <c r="P376" s="7" t="s">
        <v>1150</v>
      </c>
      <c r="Q376" s="7" t="s">
        <v>1480</v>
      </c>
      <c r="R376" s="7" t="s">
        <v>1152</v>
      </c>
      <c r="S376" s="8" t="s">
        <v>3984</v>
      </c>
      <c r="T376" s="12"/>
      <c r="U376" s="12"/>
    </row>
    <row r="377" customFormat="false" ht="46.25" hidden="false" customHeight="false" outlineLevel="0" collapsed="false">
      <c r="A377" s="7" t="s">
        <v>5579</v>
      </c>
      <c r="B377" s="14" t="s">
        <v>5575</v>
      </c>
      <c r="C377" s="7" t="s">
        <v>591</v>
      </c>
      <c r="D377" s="7" t="s">
        <v>471</v>
      </c>
      <c r="E377" s="7" t="s">
        <v>591</v>
      </c>
      <c r="F377" s="7" t="s">
        <v>5580</v>
      </c>
      <c r="G377" s="7" t="s">
        <v>5066</v>
      </c>
      <c r="H377" s="7" t="s">
        <v>928</v>
      </c>
      <c r="I377" s="7" t="s">
        <v>1148</v>
      </c>
      <c r="J377" s="8" t="s">
        <v>5581</v>
      </c>
      <c r="K377" s="8" t="s">
        <v>474</v>
      </c>
      <c r="L377" s="7" t="s">
        <v>998</v>
      </c>
      <c r="M377" s="7" t="s">
        <v>5582</v>
      </c>
      <c r="N377" s="7" t="s">
        <v>952</v>
      </c>
      <c r="O377" s="7" t="s">
        <v>5578</v>
      </c>
      <c r="P377" s="7" t="s">
        <v>1150</v>
      </c>
      <c r="Q377" s="7" t="s">
        <v>1480</v>
      </c>
      <c r="R377" s="7" t="s">
        <v>1152</v>
      </c>
      <c r="S377" s="8" t="s">
        <v>5568</v>
      </c>
      <c r="T377" s="12"/>
      <c r="U377" s="12"/>
    </row>
    <row r="378" customFormat="false" ht="46.25" hidden="false" customHeight="false" outlineLevel="0" collapsed="false">
      <c r="A378" s="7" t="s">
        <v>5583</v>
      </c>
      <c r="B378" s="14" t="s">
        <v>5575</v>
      </c>
      <c r="C378" s="7" t="s">
        <v>591</v>
      </c>
      <c r="D378" s="7" t="s">
        <v>471</v>
      </c>
      <c r="E378" s="7" t="s">
        <v>591</v>
      </c>
      <c r="F378" s="7" t="s">
        <v>5584</v>
      </c>
      <c r="G378" s="7" t="s">
        <v>5066</v>
      </c>
      <c r="H378" s="7" t="s">
        <v>928</v>
      </c>
      <c r="I378" s="7" t="s">
        <v>1148</v>
      </c>
      <c r="J378" s="8" t="s">
        <v>5585</v>
      </c>
      <c r="K378" s="8" t="s">
        <v>474</v>
      </c>
      <c r="L378" s="7" t="s">
        <v>998</v>
      </c>
      <c r="M378" s="7" t="s">
        <v>5586</v>
      </c>
      <c r="N378" s="7" t="s">
        <v>952</v>
      </c>
      <c r="O378" s="7" t="s">
        <v>5578</v>
      </c>
      <c r="P378" s="7" t="s">
        <v>1150</v>
      </c>
      <c r="Q378" s="7" t="s">
        <v>1480</v>
      </c>
      <c r="R378" s="7" t="s">
        <v>1152</v>
      </c>
      <c r="S378" s="8" t="s">
        <v>5573</v>
      </c>
      <c r="T378" s="12"/>
      <c r="U378" s="12"/>
    </row>
    <row r="379" customFormat="false" ht="35.05" hidden="false" customHeight="false" outlineLevel="0" collapsed="false">
      <c r="A379" s="7" t="s">
        <v>5587</v>
      </c>
      <c r="B379" s="14" t="s">
        <v>5588</v>
      </c>
      <c r="C379" s="7" t="s">
        <v>591</v>
      </c>
      <c r="D379" s="7" t="s">
        <v>471</v>
      </c>
      <c r="E379" s="7" t="s">
        <v>591</v>
      </c>
      <c r="F379" s="7" t="s">
        <v>5589</v>
      </c>
      <c r="G379" s="7" t="s">
        <v>5066</v>
      </c>
      <c r="H379" s="7" t="s">
        <v>928</v>
      </c>
      <c r="I379" s="7" t="s">
        <v>1148</v>
      </c>
      <c r="J379" s="8" t="s">
        <v>5590</v>
      </c>
      <c r="K379" s="8" t="s">
        <v>474</v>
      </c>
      <c r="L379" s="7" t="s">
        <v>483</v>
      </c>
      <c r="M379" s="7" t="s">
        <v>5591</v>
      </c>
      <c r="N379" s="7" t="n">
        <v>3</v>
      </c>
      <c r="O379" s="7" t="s">
        <v>592</v>
      </c>
      <c r="P379" s="7" t="s">
        <v>1150</v>
      </c>
      <c r="Q379" s="7" t="s">
        <v>1480</v>
      </c>
      <c r="R379" s="7" t="s">
        <v>1152</v>
      </c>
      <c r="S379" s="8" t="s">
        <v>3984</v>
      </c>
      <c r="T379" s="12"/>
      <c r="U379" s="12"/>
    </row>
    <row r="380" customFormat="false" ht="46.25" hidden="false" customHeight="false" outlineLevel="0" collapsed="false">
      <c r="A380" s="7" t="s">
        <v>5592</v>
      </c>
      <c r="B380" s="14" t="s">
        <v>5588</v>
      </c>
      <c r="C380" s="7" t="s">
        <v>591</v>
      </c>
      <c r="D380" s="7" t="s">
        <v>471</v>
      </c>
      <c r="E380" s="7" t="s">
        <v>591</v>
      </c>
      <c r="F380" s="7" t="s">
        <v>5593</v>
      </c>
      <c r="G380" s="7" t="s">
        <v>5066</v>
      </c>
      <c r="H380" s="7" t="s">
        <v>928</v>
      </c>
      <c r="I380" s="7" t="s">
        <v>1148</v>
      </c>
      <c r="J380" s="8" t="s">
        <v>5594</v>
      </c>
      <c r="K380" s="8" t="s">
        <v>474</v>
      </c>
      <c r="L380" s="7" t="s">
        <v>998</v>
      </c>
      <c r="M380" s="7" t="s">
        <v>5595</v>
      </c>
      <c r="N380" s="7" t="s">
        <v>952</v>
      </c>
      <c r="O380" s="7" t="s">
        <v>5591</v>
      </c>
      <c r="P380" s="7" t="s">
        <v>1150</v>
      </c>
      <c r="Q380" s="7" t="s">
        <v>1480</v>
      </c>
      <c r="R380" s="7" t="s">
        <v>1152</v>
      </c>
      <c r="S380" s="8" t="s">
        <v>5568</v>
      </c>
      <c r="T380" s="12"/>
      <c r="U380" s="12"/>
    </row>
    <row r="381" customFormat="false" ht="46.25" hidden="false" customHeight="false" outlineLevel="0" collapsed="false">
      <c r="A381" s="7" t="s">
        <v>5596</v>
      </c>
      <c r="B381" s="14" t="s">
        <v>5588</v>
      </c>
      <c r="C381" s="7" t="s">
        <v>591</v>
      </c>
      <c r="D381" s="7" t="s">
        <v>471</v>
      </c>
      <c r="E381" s="7" t="s">
        <v>591</v>
      </c>
      <c r="F381" s="7" t="s">
        <v>5597</v>
      </c>
      <c r="G381" s="7" t="s">
        <v>5066</v>
      </c>
      <c r="H381" s="7" t="s">
        <v>928</v>
      </c>
      <c r="I381" s="7" t="s">
        <v>1148</v>
      </c>
      <c r="J381" s="8" t="s">
        <v>5598</v>
      </c>
      <c r="K381" s="8" t="s">
        <v>474</v>
      </c>
      <c r="L381" s="7" t="s">
        <v>998</v>
      </c>
      <c r="M381" s="7" t="s">
        <v>5599</v>
      </c>
      <c r="N381" s="7" t="s">
        <v>952</v>
      </c>
      <c r="O381" s="7" t="s">
        <v>5591</v>
      </c>
      <c r="P381" s="7" t="s">
        <v>1150</v>
      </c>
      <c r="Q381" s="7" t="s">
        <v>1480</v>
      </c>
      <c r="R381" s="7" t="s">
        <v>1152</v>
      </c>
      <c r="S381" s="8" t="s">
        <v>5573</v>
      </c>
      <c r="T381" s="12"/>
      <c r="U381" s="12"/>
    </row>
    <row r="382" customFormat="false" ht="35.05" hidden="false" customHeight="false" outlineLevel="0" collapsed="false">
      <c r="A382" s="7" t="s">
        <v>5600</v>
      </c>
      <c r="B382" s="14" t="s">
        <v>5601</v>
      </c>
      <c r="C382" s="7" t="s">
        <v>591</v>
      </c>
      <c r="D382" s="7" t="s">
        <v>471</v>
      </c>
      <c r="E382" s="7" t="s">
        <v>591</v>
      </c>
      <c r="F382" s="7" t="s">
        <v>5602</v>
      </c>
      <c r="G382" s="7" t="s">
        <v>5066</v>
      </c>
      <c r="H382" s="7" t="s">
        <v>928</v>
      </c>
      <c r="I382" s="7" t="s">
        <v>1148</v>
      </c>
      <c r="J382" s="8" t="s">
        <v>5603</v>
      </c>
      <c r="K382" s="8" t="s">
        <v>474</v>
      </c>
      <c r="L382" s="7" t="s">
        <v>483</v>
      </c>
      <c r="M382" s="7" t="s">
        <v>5604</v>
      </c>
      <c r="N382" s="7" t="n">
        <v>3</v>
      </c>
      <c r="O382" s="7" t="s">
        <v>592</v>
      </c>
      <c r="P382" s="7" t="s">
        <v>1150</v>
      </c>
      <c r="Q382" s="7" t="s">
        <v>1480</v>
      </c>
      <c r="R382" s="7" t="s">
        <v>1152</v>
      </c>
      <c r="S382" s="8" t="s">
        <v>3984</v>
      </c>
      <c r="T382" s="12"/>
      <c r="U382" s="12"/>
    </row>
    <row r="383" customFormat="false" ht="46.25" hidden="false" customHeight="false" outlineLevel="0" collapsed="false">
      <c r="A383" s="7" t="s">
        <v>5605</v>
      </c>
      <c r="B383" s="14" t="s">
        <v>5601</v>
      </c>
      <c r="C383" s="7" t="s">
        <v>591</v>
      </c>
      <c r="D383" s="7" t="s">
        <v>471</v>
      </c>
      <c r="E383" s="7" t="s">
        <v>591</v>
      </c>
      <c r="F383" s="7" t="s">
        <v>5606</v>
      </c>
      <c r="G383" s="7" t="s">
        <v>5066</v>
      </c>
      <c r="H383" s="7" t="s">
        <v>928</v>
      </c>
      <c r="I383" s="7" t="s">
        <v>1148</v>
      </c>
      <c r="J383" s="8" t="s">
        <v>5607</v>
      </c>
      <c r="K383" s="8" t="s">
        <v>474</v>
      </c>
      <c r="L383" s="7" t="s">
        <v>998</v>
      </c>
      <c r="M383" s="7" t="s">
        <v>5608</v>
      </c>
      <c r="N383" s="7" t="s">
        <v>952</v>
      </c>
      <c r="O383" s="7" t="s">
        <v>5604</v>
      </c>
      <c r="P383" s="7" t="s">
        <v>1150</v>
      </c>
      <c r="Q383" s="7" t="s">
        <v>1480</v>
      </c>
      <c r="R383" s="7" t="s">
        <v>1152</v>
      </c>
      <c r="S383" s="8" t="s">
        <v>5568</v>
      </c>
      <c r="T383" s="12"/>
      <c r="U383" s="12"/>
    </row>
    <row r="384" customFormat="false" ht="46.25" hidden="false" customHeight="false" outlineLevel="0" collapsed="false">
      <c r="A384" s="7" t="s">
        <v>5609</v>
      </c>
      <c r="B384" s="14" t="s">
        <v>5601</v>
      </c>
      <c r="C384" s="7" t="s">
        <v>591</v>
      </c>
      <c r="D384" s="7" t="s">
        <v>471</v>
      </c>
      <c r="E384" s="7" t="s">
        <v>591</v>
      </c>
      <c r="F384" s="7" t="s">
        <v>5610</v>
      </c>
      <c r="G384" s="7" t="s">
        <v>5066</v>
      </c>
      <c r="H384" s="7" t="s">
        <v>928</v>
      </c>
      <c r="I384" s="7" t="s">
        <v>1148</v>
      </c>
      <c r="J384" s="8" t="s">
        <v>5611</v>
      </c>
      <c r="K384" s="8" t="s">
        <v>474</v>
      </c>
      <c r="L384" s="7" t="s">
        <v>998</v>
      </c>
      <c r="M384" s="7" t="s">
        <v>5612</v>
      </c>
      <c r="N384" s="7" t="s">
        <v>952</v>
      </c>
      <c r="O384" s="7" t="s">
        <v>5604</v>
      </c>
      <c r="P384" s="7" t="s">
        <v>1150</v>
      </c>
      <c r="Q384" s="7" t="s">
        <v>1480</v>
      </c>
      <c r="R384" s="7" t="s">
        <v>1152</v>
      </c>
      <c r="S384" s="8" t="s">
        <v>5573</v>
      </c>
      <c r="T384" s="12"/>
      <c r="U384" s="12"/>
    </row>
    <row r="385" customFormat="false" ht="35.05" hidden="false" customHeight="false" outlineLevel="0" collapsed="false">
      <c r="A385" s="7" t="s">
        <v>5613</v>
      </c>
      <c r="B385" s="14" t="s">
        <v>3986</v>
      </c>
      <c r="C385" s="7" t="s">
        <v>91</v>
      </c>
      <c r="D385" s="7" t="s">
        <v>471</v>
      </c>
      <c r="E385" s="7" t="s">
        <v>91</v>
      </c>
      <c r="F385" s="7" t="s">
        <v>91</v>
      </c>
      <c r="G385" s="7" t="s">
        <v>3987</v>
      </c>
      <c r="H385" s="7" t="s">
        <v>928</v>
      </c>
      <c r="I385" s="7" t="s">
        <v>1148</v>
      </c>
      <c r="J385" s="8" t="s">
        <v>5614</v>
      </c>
      <c r="K385" s="8" t="s">
        <v>94</v>
      </c>
      <c r="L385" s="7" t="s">
        <v>478</v>
      </c>
      <c r="M385" s="7" t="s">
        <v>596</v>
      </c>
      <c r="N385" s="7" t="n">
        <v>2</v>
      </c>
      <c r="O385" s="7" t="s">
        <v>472</v>
      </c>
      <c r="P385" s="7" t="s">
        <v>1150</v>
      </c>
      <c r="Q385" s="7" t="s">
        <v>1183</v>
      </c>
      <c r="R385" s="7" t="s">
        <v>1152</v>
      </c>
      <c r="S385" s="8"/>
      <c r="T385" s="12"/>
      <c r="U385" s="12"/>
    </row>
    <row r="386" customFormat="false" ht="35.05" hidden="false" customHeight="false" outlineLevel="0" collapsed="false">
      <c r="A386" s="7" t="s">
        <v>5615</v>
      </c>
      <c r="B386" s="14" t="s">
        <v>5616</v>
      </c>
      <c r="C386" s="7" t="s">
        <v>91</v>
      </c>
      <c r="D386" s="7" t="s">
        <v>471</v>
      </c>
      <c r="E386" s="7" t="s">
        <v>91</v>
      </c>
      <c r="F386" s="7" t="s">
        <v>5616</v>
      </c>
      <c r="G386" s="7" t="s">
        <v>5617</v>
      </c>
      <c r="H386" s="7" t="s">
        <v>928</v>
      </c>
      <c r="I386" s="7" t="s">
        <v>1148</v>
      </c>
      <c r="J386" s="8" t="s">
        <v>5618</v>
      </c>
      <c r="K386" s="8" t="s">
        <v>94</v>
      </c>
      <c r="L386" s="7" t="s">
        <v>601</v>
      </c>
      <c r="M386" s="7" t="s">
        <v>5619</v>
      </c>
      <c r="N386" s="7" t="n">
        <v>3</v>
      </c>
      <c r="O386" s="7" t="s">
        <v>596</v>
      </c>
      <c r="P386" s="7" t="s">
        <v>1150</v>
      </c>
      <c r="Q386" s="7" t="s">
        <v>1183</v>
      </c>
      <c r="R386" s="7" t="s">
        <v>1152</v>
      </c>
      <c r="S386" s="8"/>
      <c r="T386" s="12"/>
      <c r="U386" s="12"/>
    </row>
    <row r="387" customFormat="false" ht="23.85" hidden="false" customHeight="false" outlineLevel="0" collapsed="false">
      <c r="A387" s="7" t="s">
        <v>5620</v>
      </c>
      <c r="B387" s="14" t="s">
        <v>5616</v>
      </c>
      <c r="C387" s="7" t="s">
        <v>91</v>
      </c>
      <c r="D387" s="7" t="s">
        <v>471</v>
      </c>
      <c r="E387" s="7" t="s">
        <v>91</v>
      </c>
      <c r="F387" s="7" t="s">
        <v>5621</v>
      </c>
      <c r="G387" s="7" t="s">
        <v>5617</v>
      </c>
      <c r="H387" s="7" t="s">
        <v>928</v>
      </c>
      <c r="I387" s="7" t="s">
        <v>1148</v>
      </c>
      <c r="J387" s="8" t="s">
        <v>5622</v>
      </c>
      <c r="K387" s="8" t="s">
        <v>94</v>
      </c>
      <c r="L387" s="7" t="s">
        <v>1009</v>
      </c>
      <c r="M387" s="7" t="s">
        <v>5623</v>
      </c>
      <c r="N387" s="7" t="n">
        <v>4</v>
      </c>
      <c r="O387" s="7" t="s">
        <v>5619</v>
      </c>
      <c r="P387" s="7" t="s">
        <v>1150</v>
      </c>
      <c r="Q387" s="7" t="s">
        <v>1183</v>
      </c>
      <c r="R387" s="7" t="s">
        <v>1152</v>
      </c>
      <c r="S387" s="8" t="s">
        <v>5624</v>
      </c>
      <c r="T387" s="12"/>
      <c r="U387" s="12"/>
    </row>
    <row r="388" customFormat="false" ht="23.85" hidden="false" customHeight="false" outlineLevel="0" collapsed="false">
      <c r="A388" s="7" t="s">
        <v>5625</v>
      </c>
      <c r="B388" s="14" t="s">
        <v>5616</v>
      </c>
      <c r="C388" s="7" t="s">
        <v>91</v>
      </c>
      <c r="D388" s="7" t="s">
        <v>471</v>
      </c>
      <c r="E388" s="7" t="s">
        <v>91</v>
      </c>
      <c r="F388" s="7" t="s">
        <v>5626</v>
      </c>
      <c r="G388" s="7" t="s">
        <v>5617</v>
      </c>
      <c r="H388" s="7" t="s">
        <v>943</v>
      </c>
      <c r="I388" s="7" t="s">
        <v>1424</v>
      </c>
      <c r="J388" s="8" t="s">
        <v>5627</v>
      </c>
      <c r="K388" s="8" t="s">
        <v>94</v>
      </c>
      <c r="L388" s="7" t="s">
        <v>1016</v>
      </c>
      <c r="M388" s="7" t="s">
        <v>5628</v>
      </c>
      <c r="N388" s="7" t="s">
        <v>952</v>
      </c>
      <c r="O388" s="7" t="s">
        <v>5619</v>
      </c>
      <c r="P388" s="7" t="s">
        <v>1150</v>
      </c>
      <c r="Q388" s="7" t="s">
        <v>1480</v>
      </c>
      <c r="R388" s="7" t="s">
        <v>1152</v>
      </c>
      <c r="S388" s="8" t="s">
        <v>5629</v>
      </c>
      <c r="T388" s="12"/>
      <c r="U388" s="12"/>
    </row>
    <row r="389" customFormat="false" ht="23.85" hidden="false" customHeight="false" outlineLevel="0" collapsed="false">
      <c r="A389" s="7" t="s">
        <v>5630</v>
      </c>
      <c r="B389" s="14" t="s">
        <v>5616</v>
      </c>
      <c r="C389" s="7" t="s">
        <v>91</v>
      </c>
      <c r="D389" s="7" t="s">
        <v>471</v>
      </c>
      <c r="E389" s="7" t="s">
        <v>91</v>
      </c>
      <c r="F389" s="7" t="s">
        <v>5631</v>
      </c>
      <c r="G389" s="7" t="s">
        <v>5617</v>
      </c>
      <c r="H389" s="7" t="s">
        <v>1029</v>
      </c>
      <c r="I389" s="7" t="s">
        <v>3572</v>
      </c>
      <c r="J389" s="8" t="s">
        <v>5632</v>
      </c>
      <c r="K389" s="8" t="s">
        <v>94</v>
      </c>
      <c r="L389" s="7" t="s">
        <v>1016</v>
      </c>
      <c r="M389" s="7" t="s">
        <v>5633</v>
      </c>
      <c r="N389" s="7" t="s">
        <v>952</v>
      </c>
      <c r="O389" s="7" t="s">
        <v>5619</v>
      </c>
      <c r="P389" s="7" t="s">
        <v>1150</v>
      </c>
      <c r="Q389" s="7" t="s">
        <v>1480</v>
      </c>
      <c r="R389" s="7" t="s">
        <v>1152</v>
      </c>
      <c r="S389" s="8" t="s">
        <v>5634</v>
      </c>
      <c r="T389" s="12"/>
      <c r="U389" s="12"/>
    </row>
    <row r="390" customFormat="false" ht="23.85" hidden="false" customHeight="false" outlineLevel="0" collapsed="false">
      <c r="A390" s="7" t="s">
        <v>5635</v>
      </c>
      <c r="B390" s="14" t="s">
        <v>5616</v>
      </c>
      <c r="C390" s="7" t="s">
        <v>91</v>
      </c>
      <c r="D390" s="7" t="s">
        <v>471</v>
      </c>
      <c r="E390" s="7" t="s">
        <v>91</v>
      </c>
      <c r="F390" s="7" t="s">
        <v>5636</v>
      </c>
      <c r="G390" s="7" t="s">
        <v>5617</v>
      </c>
      <c r="H390" s="7" t="s">
        <v>943</v>
      </c>
      <c r="I390" s="7" t="s">
        <v>1424</v>
      </c>
      <c r="J390" s="8" t="s">
        <v>5637</v>
      </c>
      <c r="K390" s="8" t="s">
        <v>94</v>
      </c>
      <c r="L390" s="7" t="s">
        <v>1016</v>
      </c>
      <c r="M390" s="7" t="s">
        <v>5638</v>
      </c>
      <c r="N390" s="7" t="s">
        <v>952</v>
      </c>
      <c r="O390" s="7" t="s">
        <v>5619</v>
      </c>
      <c r="P390" s="7" t="s">
        <v>1150</v>
      </c>
      <c r="Q390" s="7" t="s">
        <v>1480</v>
      </c>
      <c r="R390" s="7" t="s">
        <v>1152</v>
      </c>
      <c r="S390" s="8" t="s">
        <v>5639</v>
      </c>
      <c r="T390" s="12"/>
      <c r="U390" s="12"/>
    </row>
    <row r="391" customFormat="false" ht="23.85" hidden="false" customHeight="false" outlineLevel="0" collapsed="false">
      <c r="A391" s="7" t="s">
        <v>5640</v>
      </c>
      <c r="B391" s="14" t="s">
        <v>5616</v>
      </c>
      <c r="C391" s="7" t="s">
        <v>91</v>
      </c>
      <c r="D391" s="7" t="s">
        <v>471</v>
      </c>
      <c r="E391" s="7" t="s">
        <v>91</v>
      </c>
      <c r="F391" s="7" t="s">
        <v>5641</v>
      </c>
      <c r="G391" s="7" t="s">
        <v>5617</v>
      </c>
      <c r="H391" s="7" t="s">
        <v>928</v>
      </c>
      <c r="I391" s="7" t="s">
        <v>1148</v>
      </c>
      <c r="J391" s="8" t="s">
        <v>5642</v>
      </c>
      <c r="K391" s="8" t="s">
        <v>94</v>
      </c>
      <c r="L391" s="7" t="s">
        <v>1016</v>
      </c>
      <c r="M391" s="7" t="s">
        <v>5643</v>
      </c>
      <c r="N391" s="7" t="s">
        <v>952</v>
      </c>
      <c r="O391" s="7" t="s">
        <v>5619</v>
      </c>
      <c r="P391" s="7" t="s">
        <v>1150</v>
      </c>
      <c r="Q391" s="7" t="s">
        <v>1480</v>
      </c>
      <c r="R391" s="7" t="s">
        <v>1152</v>
      </c>
      <c r="S391" s="8" t="s">
        <v>5644</v>
      </c>
      <c r="T391" s="12"/>
      <c r="U391" s="12"/>
    </row>
    <row r="392" customFormat="false" ht="23.85" hidden="false" customHeight="false" outlineLevel="0" collapsed="false">
      <c r="A392" s="7" t="s">
        <v>5645</v>
      </c>
      <c r="B392" s="14" t="s">
        <v>5616</v>
      </c>
      <c r="C392" s="7" t="s">
        <v>91</v>
      </c>
      <c r="D392" s="7" t="s">
        <v>471</v>
      </c>
      <c r="E392" s="7" t="s">
        <v>91</v>
      </c>
      <c r="F392" s="7" t="s">
        <v>5646</v>
      </c>
      <c r="G392" s="7" t="s">
        <v>5617</v>
      </c>
      <c r="H392" s="7" t="s">
        <v>1029</v>
      </c>
      <c r="I392" s="7" t="s">
        <v>3572</v>
      </c>
      <c r="J392" s="8" t="s">
        <v>5647</v>
      </c>
      <c r="K392" s="8" t="s">
        <v>94</v>
      </c>
      <c r="L392" s="7" t="s">
        <v>720</v>
      </c>
      <c r="M392" s="7" t="s">
        <v>5648</v>
      </c>
      <c r="N392" s="7" t="n">
        <v>2</v>
      </c>
      <c r="O392" s="7" t="s">
        <v>5619</v>
      </c>
      <c r="P392" s="7" t="s">
        <v>1150</v>
      </c>
      <c r="Q392" s="7" t="s">
        <v>1480</v>
      </c>
      <c r="R392" s="7" t="s">
        <v>1152</v>
      </c>
      <c r="S392" s="8" t="s">
        <v>5649</v>
      </c>
      <c r="T392" s="12"/>
      <c r="U392" s="12"/>
    </row>
    <row r="393" customFormat="false" ht="35.05" hidden="false" customHeight="false" outlineLevel="0" collapsed="false">
      <c r="A393" s="7" t="s">
        <v>5650</v>
      </c>
      <c r="B393" s="14" t="s">
        <v>5651</v>
      </c>
      <c r="C393" s="7" t="s">
        <v>91</v>
      </c>
      <c r="D393" s="7" t="s">
        <v>471</v>
      </c>
      <c r="E393" s="7" t="s">
        <v>91</v>
      </c>
      <c r="F393" s="7" t="s">
        <v>5651</v>
      </c>
      <c r="G393" s="7" t="s">
        <v>5617</v>
      </c>
      <c r="H393" s="7" t="s">
        <v>928</v>
      </c>
      <c r="I393" s="7" t="s">
        <v>1148</v>
      </c>
      <c r="J393" s="8" t="s">
        <v>5652</v>
      </c>
      <c r="K393" s="8" t="s">
        <v>94</v>
      </c>
      <c r="L393" s="7" t="s">
        <v>601</v>
      </c>
      <c r="M393" s="7" t="s">
        <v>5653</v>
      </c>
      <c r="N393" s="7" t="n">
        <v>3</v>
      </c>
      <c r="O393" s="7" t="s">
        <v>596</v>
      </c>
      <c r="P393" s="7" t="s">
        <v>1150</v>
      </c>
      <c r="Q393" s="7" t="s">
        <v>1183</v>
      </c>
      <c r="R393" s="7" t="s">
        <v>1152</v>
      </c>
      <c r="S393" s="8"/>
      <c r="T393" s="12"/>
      <c r="U393" s="12"/>
    </row>
    <row r="394" customFormat="false" ht="23.85" hidden="false" customHeight="false" outlineLevel="0" collapsed="false">
      <c r="A394" s="7" t="s">
        <v>5654</v>
      </c>
      <c r="B394" s="14" t="s">
        <v>5651</v>
      </c>
      <c r="C394" s="7" t="s">
        <v>91</v>
      </c>
      <c r="D394" s="7" t="s">
        <v>471</v>
      </c>
      <c r="E394" s="7" t="s">
        <v>91</v>
      </c>
      <c r="F394" s="7" t="s">
        <v>5655</v>
      </c>
      <c r="G394" s="7" t="s">
        <v>5617</v>
      </c>
      <c r="H394" s="7" t="s">
        <v>928</v>
      </c>
      <c r="I394" s="7" t="s">
        <v>1148</v>
      </c>
      <c r="J394" s="8" t="s">
        <v>5656</v>
      </c>
      <c r="K394" s="8" t="s">
        <v>94</v>
      </c>
      <c r="L394" s="7" t="s">
        <v>1009</v>
      </c>
      <c r="M394" s="7" t="s">
        <v>5657</v>
      </c>
      <c r="N394" s="7" t="n">
        <v>4</v>
      </c>
      <c r="O394" s="7" t="s">
        <v>5653</v>
      </c>
      <c r="P394" s="7" t="s">
        <v>1150</v>
      </c>
      <c r="Q394" s="7" t="s">
        <v>1183</v>
      </c>
      <c r="R394" s="7" t="s">
        <v>1152</v>
      </c>
      <c r="S394" s="8" t="s">
        <v>5624</v>
      </c>
      <c r="T394" s="12"/>
      <c r="U394" s="12"/>
    </row>
    <row r="395" customFormat="false" ht="23.85" hidden="false" customHeight="false" outlineLevel="0" collapsed="false">
      <c r="A395" s="7" t="s">
        <v>5658</v>
      </c>
      <c r="B395" s="14" t="s">
        <v>5651</v>
      </c>
      <c r="C395" s="7" t="s">
        <v>91</v>
      </c>
      <c r="D395" s="7" t="s">
        <v>471</v>
      </c>
      <c r="E395" s="7" t="s">
        <v>91</v>
      </c>
      <c r="F395" s="7" t="s">
        <v>5659</v>
      </c>
      <c r="G395" s="7" t="s">
        <v>5617</v>
      </c>
      <c r="H395" s="7" t="s">
        <v>943</v>
      </c>
      <c r="I395" s="7" t="s">
        <v>1424</v>
      </c>
      <c r="J395" s="8" t="s">
        <v>5660</v>
      </c>
      <c r="K395" s="8" t="s">
        <v>94</v>
      </c>
      <c r="L395" s="7" t="s">
        <v>1016</v>
      </c>
      <c r="M395" s="7" t="s">
        <v>5661</v>
      </c>
      <c r="N395" s="7" t="s">
        <v>952</v>
      </c>
      <c r="O395" s="7" t="s">
        <v>5653</v>
      </c>
      <c r="P395" s="7" t="s">
        <v>1150</v>
      </c>
      <c r="Q395" s="7" t="s">
        <v>1480</v>
      </c>
      <c r="R395" s="7" t="s">
        <v>1152</v>
      </c>
      <c r="S395" s="8" t="s">
        <v>5629</v>
      </c>
      <c r="T395" s="12"/>
      <c r="U395" s="12"/>
    </row>
    <row r="396" customFormat="false" ht="23.85" hidden="false" customHeight="false" outlineLevel="0" collapsed="false">
      <c r="A396" s="7" t="s">
        <v>5662</v>
      </c>
      <c r="B396" s="14" t="s">
        <v>5651</v>
      </c>
      <c r="C396" s="7" t="s">
        <v>91</v>
      </c>
      <c r="D396" s="7" t="s">
        <v>471</v>
      </c>
      <c r="E396" s="7" t="s">
        <v>91</v>
      </c>
      <c r="F396" s="7" t="s">
        <v>5663</v>
      </c>
      <c r="G396" s="7" t="s">
        <v>5617</v>
      </c>
      <c r="H396" s="7" t="s">
        <v>1029</v>
      </c>
      <c r="I396" s="7" t="s">
        <v>3572</v>
      </c>
      <c r="J396" s="8" t="s">
        <v>5664</v>
      </c>
      <c r="K396" s="8" t="s">
        <v>94</v>
      </c>
      <c r="L396" s="7" t="s">
        <v>1016</v>
      </c>
      <c r="M396" s="7" t="s">
        <v>5665</v>
      </c>
      <c r="N396" s="7" t="s">
        <v>952</v>
      </c>
      <c r="O396" s="7" t="s">
        <v>5653</v>
      </c>
      <c r="P396" s="7" t="s">
        <v>1150</v>
      </c>
      <c r="Q396" s="7" t="s">
        <v>1480</v>
      </c>
      <c r="R396" s="7" t="s">
        <v>1152</v>
      </c>
      <c r="S396" s="8" t="s">
        <v>5634</v>
      </c>
      <c r="T396" s="12"/>
      <c r="U396" s="12"/>
    </row>
    <row r="397" customFormat="false" ht="23.85" hidden="false" customHeight="false" outlineLevel="0" collapsed="false">
      <c r="A397" s="7" t="s">
        <v>5666</v>
      </c>
      <c r="B397" s="14" t="s">
        <v>5651</v>
      </c>
      <c r="C397" s="7" t="s">
        <v>91</v>
      </c>
      <c r="D397" s="7" t="s">
        <v>471</v>
      </c>
      <c r="E397" s="7" t="s">
        <v>91</v>
      </c>
      <c r="F397" s="7" t="s">
        <v>5667</v>
      </c>
      <c r="G397" s="7" t="s">
        <v>5617</v>
      </c>
      <c r="H397" s="7" t="s">
        <v>943</v>
      </c>
      <c r="I397" s="7" t="s">
        <v>1424</v>
      </c>
      <c r="J397" s="8" t="s">
        <v>5668</v>
      </c>
      <c r="K397" s="8" t="s">
        <v>94</v>
      </c>
      <c r="L397" s="7" t="s">
        <v>1016</v>
      </c>
      <c r="M397" s="7" t="s">
        <v>5669</v>
      </c>
      <c r="N397" s="7" t="s">
        <v>952</v>
      </c>
      <c r="O397" s="7" t="s">
        <v>5653</v>
      </c>
      <c r="P397" s="7" t="s">
        <v>1150</v>
      </c>
      <c r="Q397" s="7" t="s">
        <v>1480</v>
      </c>
      <c r="R397" s="7" t="s">
        <v>1152</v>
      </c>
      <c r="S397" s="8" t="s">
        <v>5639</v>
      </c>
      <c r="T397" s="12"/>
      <c r="U397" s="12"/>
    </row>
    <row r="398" customFormat="false" ht="23.85" hidden="false" customHeight="false" outlineLevel="0" collapsed="false">
      <c r="A398" s="7" t="s">
        <v>5670</v>
      </c>
      <c r="B398" s="14" t="s">
        <v>5651</v>
      </c>
      <c r="C398" s="7" t="s">
        <v>91</v>
      </c>
      <c r="D398" s="7" t="s">
        <v>471</v>
      </c>
      <c r="E398" s="7" t="s">
        <v>91</v>
      </c>
      <c r="F398" s="7" t="s">
        <v>5671</v>
      </c>
      <c r="G398" s="7" t="s">
        <v>5617</v>
      </c>
      <c r="H398" s="7" t="s">
        <v>928</v>
      </c>
      <c r="I398" s="7" t="s">
        <v>1148</v>
      </c>
      <c r="J398" s="8" t="s">
        <v>5672</v>
      </c>
      <c r="K398" s="8" t="s">
        <v>94</v>
      </c>
      <c r="L398" s="7" t="s">
        <v>1016</v>
      </c>
      <c r="M398" s="7" t="s">
        <v>5673</v>
      </c>
      <c r="N398" s="7" t="s">
        <v>952</v>
      </c>
      <c r="O398" s="7" t="s">
        <v>5653</v>
      </c>
      <c r="P398" s="7" t="s">
        <v>1150</v>
      </c>
      <c r="Q398" s="7" t="s">
        <v>1480</v>
      </c>
      <c r="R398" s="7" t="s">
        <v>1152</v>
      </c>
      <c r="S398" s="8" t="s">
        <v>5644</v>
      </c>
      <c r="T398" s="12"/>
      <c r="U398" s="12"/>
    </row>
    <row r="399" customFormat="false" ht="23.85" hidden="false" customHeight="false" outlineLevel="0" collapsed="false">
      <c r="A399" s="7" t="s">
        <v>5674</v>
      </c>
      <c r="B399" s="14" t="s">
        <v>5651</v>
      </c>
      <c r="C399" s="7" t="s">
        <v>91</v>
      </c>
      <c r="D399" s="7" t="s">
        <v>471</v>
      </c>
      <c r="E399" s="7" t="s">
        <v>91</v>
      </c>
      <c r="F399" s="7" t="s">
        <v>5675</v>
      </c>
      <c r="G399" s="7" t="s">
        <v>5617</v>
      </c>
      <c r="H399" s="7" t="s">
        <v>1029</v>
      </c>
      <c r="I399" s="7" t="s">
        <v>3572</v>
      </c>
      <c r="J399" s="8" t="s">
        <v>5676</v>
      </c>
      <c r="K399" s="8" t="s">
        <v>94</v>
      </c>
      <c r="L399" s="7" t="s">
        <v>720</v>
      </c>
      <c r="M399" s="7" t="s">
        <v>5677</v>
      </c>
      <c r="N399" s="7" t="n">
        <v>2</v>
      </c>
      <c r="O399" s="7" t="s">
        <v>5653</v>
      </c>
      <c r="P399" s="7" t="s">
        <v>1150</v>
      </c>
      <c r="Q399" s="7" t="s">
        <v>1480</v>
      </c>
      <c r="R399" s="7" t="s">
        <v>1152</v>
      </c>
      <c r="S399" s="8" t="s">
        <v>5649</v>
      </c>
      <c r="T399" s="12"/>
      <c r="U399" s="12"/>
    </row>
    <row r="400" customFormat="false" ht="35.05" hidden="false" customHeight="false" outlineLevel="0" collapsed="false">
      <c r="A400" s="7" t="s">
        <v>5678</v>
      </c>
      <c r="B400" s="14" t="s">
        <v>5679</v>
      </c>
      <c r="C400" s="7" t="s">
        <v>91</v>
      </c>
      <c r="D400" s="7" t="s">
        <v>471</v>
      </c>
      <c r="E400" s="7" t="s">
        <v>91</v>
      </c>
      <c r="F400" s="7" t="s">
        <v>5679</v>
      </c>
      <c r="G400" s="7" t="s">
        <v>5617</v>
      </c>
      <c r="H400" s="7" t="s">
        <v>928</v>
      </c>
      <c r="I400" s="7" t="s">
        <v>1148</v>
      </c>
      <c r="J400" s="8" t="s">
        <v>5680</v>
      </c>
      <c r="K400" s="8" t="s">
        <v>94</v>
      </c>
      <c r="L400" s="7" t="s">
        <v>601</v>
      </c>
      <c r="M400" s="7" t="s">
        <v>5681</v>
      </c>
      <c r="N400" s="7" t="n">
        <v>3</v>
      </c>
      <c r="O400" s="7" t="s">
        <v>596</v>
      </c>
      <c r="P400" s="7" t="s">
        <v>1150</v>
      </c>
      <c r="Q400" s="7" t="s">
        <v>1183</v>
      </c>
      <c r="R400" s="7" t="s">
        <v>1152</v>
      </c>
      <c r="S400" s="8"/>
      <c r="T400" s="12"/>
      <c r="U400" s="12"/>
    </row>
    <row r="401" customFormat="false" ht="23.85" hidden="false" customHeight="false" outlineLevel="0" collapsed="false">
      <c r="A401" s="7" t="s">
        <v>5682</v>
      </c>
      <c r="B401" s="14" t="s">
        <v>5679</v>
      </c>
      <c r="C401" s="7" t="s">
        <v>91</v>
      </c>
      <c r="D401" s="7" t="s">
        <v>471</v>
      </c>
      <c r="E401" s="7" t="s">
        <v>91</v>
      </c>
      <c r="F401" s="7" t="s">
        <v>5683</v>
      </c>
      <c r="G401" s="7" t="s">
        <v>5617</v>
      </c>
      <c r="H401" s="7" t="s">
        <v>928</v>
      </c>
      <c r="I401" s="7" t="s">
        <v>1148</v>
      </c>
      <c r="J401" s="8" t="s">
        <v>5684</v>
      </c>
      <c r="K401" s="8" t="s">
        <v>94</v>
      </c>
      <c r="L401" s="7" t="s">
        <v>1009</v>
      </c>
      <c r="M401" s="7" t="s">
        <v>5685</v>
      </c>
      <c r="N401" s="7" t="n">
        <v>4</v>
      </c>
      <c r="O401" s="7" t="s">
        <v>5681</v>
      </c>
      <c r="P401" s="7" t="s">
        <v>1150</v>
      </c>
      <c r="Q401" s="7" t="s">
        <v>1183</v>
      </c>
      <c r="R401" s="7" t="s">
        <v>1152</v>
      </c>
      <c r="S401" s="8" t="s">
        <v>5624</v>
      </c>
      <c r="T401" s="12"/>
      <c r="U401" s="12"/>
    </row>
    <row r="402" customFormat="false" ht="23.85" hidden="false" customHeight="false" outlineLevel="0" collapsed="false">
      <c r="A402" s="7" t="s">
        <v>5686</v>
      </c>
      <c r="B402" s="14" t="s">
        <v>5679</v>
      </c>
      <c r="C402" s="7" t="s">
        <v>91</v>
      </c>
      <c r="D402" s="7" t="s">
        <v>471</v>
      </c>
      <c r="E402" s="7" t="s">
        <v>91</v>
      </c>
      <c r="F402" s="7" t="s">
        <v>5687</v>
      </c>
      <c r="G402" s="7" t="s">
        <v>5617</v>
      </c>
      <c r="H402" s="7" t="s">
        <v>943</v>
      </c>
      <c r="I402" s="7" t="s">
        <v>1424</v>
      </c>
      <c r="J402" s="8" t="s">
        <v>5688</v>
      </c>
      <c r="K402" s="8" t="s">
        <v>94</v>
      </c>
      <c r="L402" s="7" t="s">
        <v>1016</v>
      </c>
      <c r="M402" s="7" t="s">
        <v>5689</v>
      </c>
      <c r="N402" s="7" t="s">
        <v>952</v>
      </c>
      <c r="O402" s="7" t="s">
        <v>5681</v>
      </c>
      <c r="P402" s="7" t="s">
        <v>1150</v>
      </c>
      <c r="Q402" s="7" t="s">
        <v>1480</v>
      </c>
      <c r="R402" s="7" t="s">
        <v>1152</v>
      </c>
      <c r="S402" s="8" t="s">
        <v>5629</v>
      </c>
      <c r="T402" s="12"/>
      <c r="U402" s="12"/>
    </row>
    <row r="403" customFormat="false" ht="23.85" hidden="false" customHeight="false" outlineLevel="0" collapsed="false">
      <c r="A403" s="7" t="s">
        <v>5690</v>
      </c>
      <c r="B403" s="14" t="s">
        <v>5679</v>
      </c>
      <c r="C403" s="7" t="s">
        <v>91</v>
      </c>
      <c r="D403" s="7" t="s">
        <v>471</v>
      </c>
      <c r="E403" s="7" t="s">
        <v>91</v>
      </c>
      <c r="F403" s="7" t="s">
        <v>5691</v>
      </c>
      <c r="G403" s="7" t="s">
        <v>5617</v>
      </c>
      <c r="H403" s="7" t="s">
        <v>1029</v>
      </c>
      <c r="I403" s="7" t="s">
        <v>3572</v>
      </c>
      <c r="J403" s="8" t="s">
        <v>5692</v>
      </c>
      <c r="K403" s="8" t="s">
        <v>94</v>
      </c>
      <c r="L403" s="7" t="s">
        <v>1016</v>
      </c>
      <c r="M403" s="7" t="s">
        <v>5693</v>
      </c>
      <c r="N403" s="7" t="s">
        <v>952</v>
      </c>
      <c r="O403" s="7" t="s">
        <v>5681</v>
      </c>
      <c r="P403" s="7" t="s">
        <v>1150</v>
      </c>
      <c r="Q403" s="7" t="s">
        <v>1480</v>
      </c>
      <c r="R403" s="7" t="s">
        <v>1152</v>
      </c>
      <c r="S403" s="8" t="s">
        <v>5634</v>
      </c>
      <c r="T403" s="12"/>
      <c r="U403" s="12"/>
    </row>
    <row r="404" customFormat="false" ht="23.85" hidden="false" customHeight="false" outlineLevel="0" collapsed="false">
      <c r="A404" s="7" t="s">
        <v>5694</v>
      </c>
      <c r="B404" s="14" t="s">
        <v>5679</v>
      </c>
      <c r="C404" s="7" t="s">
        <v>91</v>
      </c>
      <c r="D404" s="7" t="s">
        <v>471</v>
      </c>
      <c r="E404" s="7" t="s">
        <v>91</v>
      </c>
      <c r="F404" s="7" t="s">
        <v>5695</v>
      </c>
      <c r="G404" s="7" t="s">
        <v>5617</v>
      </c>
      <c r="H404" s="7" t="s">
        <v>928</v>
      </c>
      <c r="I404" s="7" t="s">
        <v>1148</v>
      </c>
      <c r="J404" s="8" t="s">
        <v>5696</v>
      </c>
      <c r="K404" s="8" t="s">
        <v>94</v>
      </c>
      <c r="L404" s="7" t="s">
        <v>1016</v>
      </c>
      <c r="M404" s="7" t="s">
        <v>5697</v>
      </c>
      <c r="N404" s="7" t="s">
        <v>952</v>
      </c>
      <c r="O404" s="7" t="s">
        <v>5681</v>
      </c>
      <c r="P404" s="7" t="s">
        <v>1150</v>
      </c>
      <c r="Q404" s="7" t="s">
        <v>1480</v>
      </c>
      <c r="R404" s="7" t="s">
        <v>1152</v>
      </c>
      <c r="S404" s="8" t="s">
        <v>5644</v>
      </c>
      <c r="T404" s="12"/>
      <c r="U404" s="12"/>
    </row>
    <row r="405" customFormat="false" ht="23.85" hidden="false" customHeight="false" outlineLevel="0" collapsed="false">
      <c r="A405" s="7" t="s">
        <v>5698</v>
      </c>
      <c r="B405" s="14" t="s">
        <v>5679</v>
      </c>
      <c r="C405" s="7" t="s">
        <v>91</v>
      </c>
      <c r="D405" s="7" t="s">
        <v>471</v>
      </c>
      <c r="E405" s="7" t="s">
        <v>91</v>
      </c>
      <c r="F405" s="7" t="s">
        <v>5699</v>
      </c>
      <c r="G405" s="7" t="s">
        <v>5617</v>
      </c>
      <c r="H405" s="7" t="s">
        <v>1029</v>
      </c>
      <c r="I405" s="7" t="s">
        <v>3572</v>
      </c>
      <c r="J405" s="8" t="s">
        <v>5700</v>
      </c>
      <c r="K405" s="8" t="s">
        <v>94</v>
      </c>
      <c r="L405" s="7" t="s">
        <v>720</v>
      </c>
      <c r="M405" s="7" t="s">
        <v>5701</v>
      </c>
      <c r="N405" s="7" t="n">
        <v>2</v>
      </c>
      <c r="O405" s="7" t="s">
        <v>5681</v>
      </c>
      <c r="P405" s="7" t="s">
        <v>1150</v>
      </c>
      <c r="Q405" s="7" t="s">
        <v>1480</v>
      </c>
      <c r="R405" s="7" t="s">
        <v>1152</v>
      </c>
      <c r="S405" s="8" t="s">
        <v>5649</v>
      </c>
      <c r="T405" s="12"/>
      <c r="U405" s="12"/>
    </row>
    <row r="406" customFormat="false" ht="35.05" hidden="false" customHeight="false" outlineLevel="0" collapsed="false">
      <c r="A406" s="7" t="s">
        <v>5702</v>
      </c>
      <c r="B406" s="14" t="s">
        <v>5703</v>
      </c>
      <c r="C406" s="7" t="s">
        <v>91</v>
      </c>
      <c r="D406" s="7" t="s">
        <v>471</v>
      </c>
      <c r="E406" s="7" t="s">
        <v>91</v>
      </c>
      <c r="F406" s="7" t="s">
        <v>5703</v>
      </c>
      <c r="G406" s="7" t="s">
        <v>5617</v>
      </c>
      <c r="H406" s="7" t="s">
        <v>928</v>
      </c>
      <c r="I406" s="7" t="s">
        <v>1148</v>
      </c>
      <c r="J406" s="8" t="s">
        <v>5704</v>
      </c>
      <c r="K406" s="8" t="s">
        <v>94</v>
      </c>
      <c r="L406" s="7" t="s">
        <v>601</v>
      </c>
      <c r="M406" s="7" t="s">
        <v>5705</v>
      </c>
      <c r="N406" s="7" t="n">
        <v>3</v>
      </c>
      <c r="O406" s="7" t="s">
        <v>596</v>
      </c>
      <c r="P406" s="7" t="s">
        <v>1150</v>
      </c>
      <c r="Q406" s="7" t="s">
        <v>1183</v>
      </c>
      <c r="R406" s="7" t="s">
        <v>1152</v>
      </c>
      <c r="S406" s="8"/>
      <c r="T406" s="12"/>
      <c r="U406" s="12"/>
    </row>
    <row r="407" customFormat="false" ht="23.85" hidden="false" customHeight="false" outlineLevel="0" collapsed="false">
      <c r="A407" s="7" t="s">
        <v>5706</v>
      </c>
      <c r="B407" s="14" t="s">
        <v>5703</v>
      </c>
      <c r="C407" s="7" t="s">
        <v>91</v>
      </c>
      <c r="D407" s="7" t="s">
        <v>471</v>
      </c>
      <c r="E407" s="7" t="s">
        <v>91</v>
      </c>
      <c r="F407" s="7" t="s">
        <v>5707</v>
      </c>
      <c r="G407" s="7" t="s">
        <v>5617</v>
      </c>
      <c r="H407" s="7" t="s">
        <v>928</v>
      </c>
      <c r="I407" s="7" t="s">
        <v>1148</v>
      </c>
      <c r="J407" s="8" t="s">
        <v>5708</v>
      </c>
      <c r="K407" s="8" t="s">
        <v>94</v>
      </c>
      <c r="L407" s="7" t="s">
        <v>1009</v>
      </c>
      <c r="M407" s="7" t="s">
        <v>5709</v>
      </c>
      <c r="N407" s="7" t="n">
        <v>4</v>
      </c>
      <c r="O407" s="7" t="s">
        <v>5705</v>
      </c>
      <c r="P407" s="7" t="s">
        <v>1150</v>
      </c>
      <c r="Q407" s="7" t="s">
        <v>1183</v>
      </c>
      <c r="R407" s="7" t="s">
        <v>1152</v>
      </c>
      <c r="S407" s="8" t="s">
        <v>5624</v>
      </c>
      <c r="T407" s="12"/>
      <c r="U407" s="12"/>
    </row>
    <row r="408" customFormat="false" ht="23.85" hidden="false" customHeight="false" outlineLevel="0" collapsed="false">
      <c r="A408" s="7" t="s">
        <v>5710</v>
      </c>
      <c r="B408" s="14" t="s">
        <v>5703</v>
      </c>
      <c r="C408" s="7" t="s">
        <v>91</v>
      </c>
      <c r="D408" s="7" t="s">
        <v>471</v>
      </c>
      <c r="E408" s="7" t="s">
        <v>91</v>
      </c>
      <c r="F408" s="7" t="s">
        <v>5711</v>
      </c>
      <c r="G408" s="7" t="s">
        <v>5617</v>
      </c>
      <c r="H408" s="7" t="s">
        <v>943</v>
      </c>
      <c r="I408" s="7" t="s">
        <v>1424</v>
      </c>
      <c r="J408" s="8" t="s">
        <v>5712</v>
      </c>
      <c r="K408" s="8" t="s">
        <v>94</v>
      </c>
      <c r="L408" s="7" t="s">
        <v>1016</v>
      </c>
      <c r="M408" s="7" t="s">
        <v>5713</v>
      </c>
      <c r="N408" s="7" t="s">
        <v>952</v>
      </c>
      <c r="O408" s="7" t="s">
        <v>5705</v>
      </c>
      <c r="P408" s="7" t="s">
        <v>1150</v>
      </c>
      <c r="Q408" s="7" t="s">
        <v>1480</v>
      </c>
      <c r="R408" s="7" t="s">
        <v>1152</v>
      </c>
      <c r="S408" s="8" t="s">
        <v>5629</v>
      </c>
      <c r="T408" s="12"/>
      <c r="U408" s="12"/>
    </row>
    <row r="409" customFormat="false" ht="23.85" hidden="false" customHeight="false" outlineLevel="0" collapsed="false">
      <c r="A409" s="7" t="s">
        <v>5714</v>
      </c>
      <c r="B409" s="14" t="s">
        <v>5703</v>
      </c>
      <c r="C409" s="7" t="s">
        <v>91</v>
      </c>
      <c r="D409" s="7" t="s">
        <v>471</v>
      </c>
      <c r="E409" s="7" t="s">
        <v>91</v>
      </c>
      <c r="F409" s="7" t="s">
        <v>5715</v>
      </c>
      <c r="G409" s="7" t="s">
        <v>5617</v>
      </c>
      <c r="H409" s="7" t="s">
        <v>1029</v>
      </c>
      <c r="I409" s="7" t="s">
        <v>3572</v>
      </c>
      <c r="J409" s="8" t="s">
        <v>5716</v>
      </c>
      <c r="K409" s="8" t="s">
        <v>94</v>
      </c>
      <c r="L409" s="7" t="s">
        <v>1016</v>
      </c>
      <c r="M409" s="7" t="s">
        <v>5717</v>
      </c>
      <c r="N409" s="7" t="s">
        <v>952</v>
      </c>
      <c r="O409" s="7" t="s">
        <v>5705</v>
      </c>
      <c r="P409" s="7" t="s">
        <v>1150</v>
      </c>
      <c r="Q409" s="7" t="s">
        <v>1480</v>
      </c>
      <c r="R409" s="7" t="s">
        <v>1152</v>
      </c>
      <c r="S409" s="8" t="s">
        <v>5634</v>
      </c>
      <c r="T409" s="12"/>
      <c r="U409" s="12"/>
    </row>
    <row r="410" customFormat="false" ht="23.85" hidden="false" customHeight="false" outlineLevel="0" collapsed="false">
      <c r="A410" s="7" t="s">
        <v>5718</v>
      </c>
      <c r="B410" s="14" t="s">
        <v>5703</v>
      </c>
      <c r="C410" s="7" t="s">
        <v>91</v>
      </c>
      <c r="D410" s="7" t="s">
        <v>471</v>
      </c>
      <c r="E410" s="7" t="s">
        <v>91</v>
      </c>
      <c r="F410" s="7" t="s">
        <v>5719</v>
      </c>
      <c r="G410" s="7" t="s">
        <v>5617</v>
      </c>
      <c r="H410" s="7" t="s">
        <v>943</v>
      </c>
      <c r="I410" s="7" t="s">
        <v>1424</v>
      </c>
      <c r="J410" s="8" t="s">
        <v>5720</v>
      </c>
      <c r="K410" s="8" t="s">
        <v>94</v>
      </c>
      <c r="L410" s="7" t="s">
        <v>1016</v>
      </c>
      <c r="M410" s="7" t="s">
        <v>5721</v>
      </c>
      <c r="N410" s="7" t="s">
        <v>952</v>
      </c>
      <c r="O410" s="7" t="s">
        <v>5705</v>
      </c>
      <c r="P410" s="7" t="s">
        <v>1150</v>
      </c>
      <c r="Q410" s="7" t="s">
        <v>1480</v>
      </c>
      <c r="R410" s="7" t="s">
        <v>1152</v>
      </c>
      <c r="S410" s="8" t="s">
        <v>5639</v>
      </c>
      <c r="T410" s="12"/>
      <c r="U410" s="12"/>
    </row>
    <row r="411" customFormat="false" ht="23.85" hidden="false" customHeight="false" outlineLevel="0" collapsed="false">
      <c r="A411" s="7" t="s">
        <v>5722</v>
      </c>
      <c r="B411" s="14" t="s">
        <v>5703</v>
      </c>
      <c r="C411" s="7" t="s">
        <v>91</v>
      </c>
      <c r="D411" s="7" t="s">
        <v>471</v>
      </c>
      <c r="E411" s="7" t="s">
        <v>91</v>
      </c>
      <c r="F411" s="7" t="s">
        <v>5723</v>
      </c>
      <c r="G411" s="7" t="s">
        <v>5617</v>
      </c>
      <c r="H411" s="7" t="s">
        <v>928</v>
      </c>
      <c r="I411" s="7" t="s">
        <v>1148</v>
      </c>
      <c r="J411" s="8" t="s">
        <v>5724</v>
      </c>
      <c r="K411" s="8" t="s">
        <v>94</v>
      </c>
      <c r="L411" s="7" t="s">
        <v>1016</v>
      </c>
      <c r="M411" s="7" t="s">
        <v>5725</v>
      </c>
      <c r="N411" s="7" t="s">
        <v>952</v>
      </c>
      <c r="O411" s="7" t="s">
        <v>5705</v>
      </c>
      <c r="P411" s="7" t="s">
        <v>1150</v>
      </c>
      <c r="Q411" s="7" t="s">
        <v>1480</v>
      </c>
      <c r="R411" s="7" t="s">
        <v>1152</v>
      </c>
      <c r="S411" s="8" t="s">
        <v>5644</v>
      </c>
      <c r="T411" s="12"/>
      <c r="U411" s="12"/>
    </row>
    <row r="412" customFormat="false" ht="23.85" hidden="false" customHeight="false" outlineLevel="0" collapsed="false">
      <c r="A412" s="7" t="s">
        <v>5726</v>
      </c>
      <c r="B412" s="14" t="s">
        <v>5703</v>
      </c>
      <c r="C412" s="7" t="s">
        <v>91</v>
      </c>
      <c r="D412" s="7" t="s">
        <v>471</v>
      </c>
      <c r="E412" s="7" t="s">
        <v>91</v>
      </c>
      <c r="F412" s="7" t="s">
        <v>5727</v>
      </c>
      <c r="G412" s="7" t="s">
        <v>5617</v>
      </c>
      <c r="H412" s="7" t="s">
        <v>1029</v>
      </c>
      <c r="I412" s="7" t="s">
        <v>3572</v>
      </c>
      <c r="J412" s="8" t="s">
        <v>5728</v>
      </c>
      <c r="K412" s="8" t="s">
        <v>94</v>
      </c>
      <c r="L412" s="7" t="s">
        <v>720</v>
      </c>
      <c r="M412" s="7" t="s">
        <v>5729</v>
      </c>
      <c r="N412" s="7" t="n">
        <v>2</v>
      </c>
      <c r="O412" s="7" t="s">
        <v>5705</v>
      </c>
      <c r="P412" s="7" t="s">
        <v>1150</v>
      </c>
      <c r="Q412" s="7" t="s">
        <v>1480</v>
      </c>
      <c r="R412" s="7" t="s">
        <v>1152</v>
      </c>
      <c r="S412" s="8" t="s">
        <v>5649</v>
      </c>
      <c r="T412" s="12"/>
      <c r="U412" s="12"/>
    </row>
    <row r="413" customFormat="false" ht="35.05" hidden="false" customHeight="false" outlineLevel="0" collapsed="false">
      <c r="A413" s="7" t="s">
        <v>5730</v>
      </c>
      <c r="B413" s="14" t="s">
        <v>5731</v>
      </c>
      <c r="C413" s="7" t="s">
        <v>91</v>
      </c>
      <c r="D413" s="7" t="s">
        <v>471</v>
      </c>
      <c r="E413" s="7" t="s">
        <v>91</v>
      </c>
      <c r="F413" s="7" t="s">
        <v>5731</v>
      </c>
      <c r="G413" s="7" t="s">
        <v>5617</v>
      </c>
      <c r="H413" s="7" t="s">
        <v>928</v>
      </c>
      <c r="I413" s="7" t="s">
        <v>1148</v>
      </c>
      <c r="J413" s="8" t="s">
        <v>5732</v>
      </c>
      <c r="K413" s="8" t="s">
        <v>94</v>
      </c>
      <c r="L413" s="7" t="s">
        <v>601</v>
      </c>
      <c r="M413" s="7" t="s">
        <v>5733</v>
      </c>
      <c r="N413" s="7" t="n">
        <v>3</v>
      </c>
      <c r="O413" s="7" t="s">
        <v>596</v>
      </c>
      <c r="P413" s="7" t="s">
        <v>1150</v>
      </c>
      <c r="Q413" s="7" t="s">
        <v>1480</v>
      </c>
      <c r="R413" s="7" t="s">
        <v>1152</v>
      </c>
      <c r="S413" s="8"/>
      <c r="T413" s="12"/>
      <c r="U413" s="12"/>
    </row>
    <row r="414" customFormat="false" ht="23.85" hidden="false" customHeight="false" outlineLevel="0" collapsed="false">
      <c r="A414" s="7" t="s">
        <v>5734</v>
      </c>
      <c r="B414" s="14" t="s">
        <v>5731</v>
      </c>
      <c r="C414" s="7" t="s">
        <v>91</v>
      </c>
      <c r="D414" s="7" t="s">
        <v>471</v>
      </c>
      <c r="E414" s="7" t="s">
        <v>91</v>
      </c>
      <c r="F414" s="7" t="s">
        <v>5735</v>
      </c>
      <c r="G414" s="7" t="s">
        <v>5617</v>
      </c>
      <c r="H414" s="7" t="s">
        <v>928</v>
      </c>
      <c r="I414" s="7" t="s">
        <v>1148</v>
      </c>
      <c r="J414" s="8" t="s">
        <v>5736</v>
      </c>
      <c r="K414" s="8" t="s">
        <v>94</v>
      </c>
      <c r="L414" s="7" t="s">
        <v>1009</v>
      </c>
      <c r="M414" s="7" t="s">
        <v>5737</v>
      </c>
      <c r="N414" s="7" t="n">
        <v>4</v>
      </c>
      <c r="O414" s="7" t="s">
        <v>5733</v>
      </c>
      <c r="P414" s="7" t="s">
        <v>1150</v>
      </c>
      <c r="Q414" s="7" t="s">
        <v>1480</v>
      </c>
      <c r="R414" s="7" t="s">
        <v>1152</v>
      </c>
      <c r="S414" s="8" t="s">
        <v>5624</v>
      </c>
      <c r="T414" s="12"/>
      <c r="U414" s="12"/>
    </row>
    <row r="415" customFormat="false" ht="23.85" hidden="false" customHeight="false" outlineLevel="0" collapsed="false">
      <c r="A415" s="7" t="s">
        <v>5738</v>
      </c>
      <c r="B415" s="14" t="s">
        <v>5731</v>
      </c>
      <c r="C415" s="7" t="s">
        <v>91</v>
      </c>
      <c r="D415" s="7" t="s">
        <v>471</v>
      </c>
      <c r="E415" s="7" t="s">
        <v>91</v>
      </c>
      <c r="F415" s="7" t="s">
        <v>5739</v>
      </c>
      <c r="G415" s="7" t="s">
        <v>5617</v>
      </c>
      <c r="H415" s="7" t="s">
        <v>943</v>
      </c>
      <c r="I415" s="7" t="s">
        <v>1424</v>
      </c>
      <c r="J415" s="8" t="s">
        <v>5740</v>
      </c>
      <c r="K415" s="8" t="s">
        <v>94</v>
      </c>
      <c r="L415" s="7" t="s">
        <v>1016</v>
      </c>
      <c r="M415" s="7" t="s">
        <v>5741</v>
      </c>
      <c r="N415" s="7" t="s">
        <v>952</v>
      </c>
      <c r="O415" s="7" t="s">
        <v>5733</v>
      </c>
      <c r="P415" s="7" t="s">
        <v>1150</v>
      </c>
      <c r="Q415" s="7" t="s">
        <v>1480</v>
      </c>
      <c r="R415" s="7" t="s">
        <v>1152</v>
      </c>
      <c r="S415" s="8" t="s">
        <v>5629</v>
      </c>
      <c r="T415" s="12"/>
      <c r="U415" s="12"/>
    </row>
    <row r="416" customFormat="false" ht="23.85" hidden="false" customHeight="false" outlineLevel="0" collapsed="false">
      <c r="A416" s="7" t="s">
        <v>5742</v>
      </c>
      <c r="B416" s="14" t="s">
        <v>5731</v>
      </c>
      <c r="C416" s="7" t="s">
        <v>91</v>
      </c>
      <c r="D416" s="7" t="s">
        <v>471</v>
      </c>
      <c r="E416" s="7" t="s">
        <v>91</v>
      </c>
      <c r="F416" s="7" t="s">
        <v>5743</v>
      </c>
      <c r="G416" s="7" t="s">
        <v>5617</v>
      </c>
      <c r="H416" s="7" t="s">
        <v>1029</v>
      </c>
      <c r="I416" s="7" t="s">
        <v>3572</v>
      </c>
      <c r="J416" s="8" t="s">
        <v>5744</v>
      </c>
      <c r="K416" s="8" t="s">
        <v>94</v>
      </c>
      <c r="L416" s="7" t="s">
        <v>1016</v>
      </c>
      <c r="M416" s="7" t="s">
        <v>5745</v>
      </c>
      <c r="N416" s="7" t="s">
        <v>952</v>
      </c>
      <c r="O416" s="7" t="s">
        <v>5733</v>
      </c>
      <c r="P416" s="7" t="s">
        <v>1150</v>
      </c>
      <c r="Q416" s="7" t="s">
        <v>1480</v>
      </c>
      <c r="R416" s="7" t="s">
        <v>1152</v>
      </c>
      <c r="S416" s="8" t="s">
        <v>5634</v>
      </c>
      <c r="T416" s="12"/>
      <c r="U416" s="12"/>
    </row>
    <row r="417" customFormat="false" ht="23.85" hidden="false" customHeight="false" outlineLevel="0" collapsed="false">
      <c r="A417" s="7" t="s">
        <v>5746</v>
      </c>
      <c r="B417" s="14" t="s">
        <v>5731</v>
      </c>
      <c r="C417" s="7" t="s">
        <v>91</v>
      </c>
      <c r="D417" s="7" t="s">
        <v>471</v>
      </c>
      <c r="E417" s="7" t="s">
        <v>91</v>
      </c>
      <c r="F417" s="7" t="s">
        <v>5747</v>
      </c>
      <c r="G417" s="7" t="s">
        <v>5617</v>
      </c>
      <c r="H417" s="7" t="s">
        <v>943</v>
      </c>
      <c r="I417" s="7" t="s">
        <v>1424</v>
      </c>
      <c r="J417" s="8" t="s">
        <v>5748</v>
      </c>
      <c r="K417" s="8" t="s">
        <v>94</v>
      </c>
      <c r="L417" s="7" t="s">
        <v>1016</v>
      </c>
      <c r="M417" s="7" t="s">
        <v>5749</v>
      </c>
      <c r="N417" s="7" t="s">
        <v>952</v>
      </c>
      <c r="O417" s="7" t="s">
        <v>5733</v>
      </c>
      <c r="P417" s="7" t="s">
        <v>1150</v>
      </c>
      <c r="Q417" s="7" t="s">
        <v>1480</v>
      </c>
      <c r="R417" s="7" t="s">
        <v>1152</v>
      </c>
      <c r="S417" s="8" t="s">
        <v>5639</v>
      </c>
      <c r="T417" s="12"/>
      <c r="U417" s="12"/>
    </row>
    <row r="418" customFormat="false" ht="23.85" hidden="false" customHeight="false" outlineLevel="0" collapsed="false">
      <c r="A418" s="7" t="s">
        <v>5750</v>
      </c>
      <c r="B418" s="14" t="s">
        <v>5731</v>
      </c>
      <c r="C418" s="7" t="s">
        <v>91</v>
      </c>
      <c r="D418" s="7" t="s">
        <v>471</v>
      </c>
      <c r="E418" s="7" t="s">
        <v>91</v>
      </c>
      <c r="F418" s="7" t="s">
        <v>5751</v>
      </c>
      <c r="G418" s="7" t="s">
        <v>5617</v>
      </c>
      <c r="H418" s="7" t="s">
        <v>928</v>
      </c>
      <c r="I418" s="7" t="s">
        <v>1148</v>
      </c>
      <c r="J418" s="8" t="s">
        <v>5752</v>
      </c>
      <c r="K418" s="8" t="s">
        <v>94</v>
      </c>
      <c r="L418" s="7" t="s">
        <v>1016</v>
      </c>
      <c r="M418" s="7" t="s">
        <v>5753</v>
      </c>
      <c r="N418" s="7" t="s">
        <v>952</v>
      </c>
      <c r="O418" s="7" t="s">
        <v>5733</v>
      </c>
      <c r="P418" s="7" t="s">
        <v>1150</v>
      </c>
      <c r="Q418" s="7" t="s">
        <v>1480</v>
      </c>
      <c r="R418" s="7" t="s">
        <v>1152</v>
      </c>
      <c r="S418" s="8" t="s">
        <v>5644</v>
      </c>
      <c r="T418" s="12"/>
      <c r="U418" s="12"/>
    </row>
    <row r="419" customFormat="false" ht="23.85" hidden="false" customHeight="false" outlineLevel="0" collapsed="false">
      <c r="A419" s="7" t="s">
        <v>5754</v>
      </c>
      <c r="B419" s="14" t="s">
        <v>5731</v>
      </c>
      <c r="C419" s="7" t="s">
        <v>91</v>
      </c>
      <c r="D419" s="7" t="s">
        <v>471</v>
      </c>
      <c r="E419" s="7" t="s">
        <v>91</v>
      </c>
      <c r="F419" s="7" t="s">
        <v>5755</v>
      </c>
      <c r="G419" s="7" t="s">
        <v>5617</v>
      </c>
      <c r="H419" s="7" t="s">
        <v>1029</v>
      </c>
      <c r="I419" s="7" t="s">
        <v>3572</v>
      </c>
      <c r="J419" s="8" t="s">
        <v>5756</v>
      </c>
      <c r="K419" s="8" t="s">
        <v>94</v>
      </c>
      <c r="L419" s="7" t="s">
        <v>720</v>
      </c>
      <c r="M419" s="7" t="s">
        <v>5757</v>
      </c>
      <c r="N419" s="7" t="n">
        <v>2</v>
      </c>
      <c r="O419" s="7" t="s">
        <v>5733</v>
      </c>
      <c r="P419" s="7" t="s">
        <v>1150</v>
      </c>
      <c r="Q419" s="7" t="s">
        <v>1480</v>
      </c>
      <c r="R419" s="7" t="s">
        <v>1152</v>
      </c>
      <c r="S419" s="8" t="s">
        <v>5649</v>
      </c>
      <c r="T419" s="12"/>
      <c r="U419" s="12"/>
    </row>
    <row r="420" customFormat="false" ht="35.05" hidden="false" customHeight="false" outlineLevel="0" collapsed="false">
      <c r="A420" s="7" t="s">
        <v>5758</v>
      </c>
      <c r="B420" s="14" t="s">
        <v>5759</v>
      </c>
      <c r="C420" s="7" t="s">
        <v>91</v>
      </c>
      <c r="D420" s="7" t="s">
        <v>471</v>
      </c>
      <c r="E420" s="7" t="s">
        <v>91</v>
      </c>
      <c r="F420" s="7" t="s">
        <v>5759</v>
      </c>
      <c r="G420" s="7" t="s">
        <v>5617</v>
      </c>
      <c r="H420" s="7" t="s">
        <v>928</v>
      </c>
      <c r="I420" s="7" t="s">
        <v>1148</v>
      </c>
      <c r="J420" s="8" t="s">
        <v>5760</v>
      </c>
      <c r="K420" s="8" t="s">
        <v>94</v>
      </c>
      <c r="L420" s="7" t="s">
        <v>601</v>
      </c>
      <c r="M420" s="7" t="s">
        <v>5761</v>
      </c>
      <c r="N420" s="7" t="n">
        <v>3</v>
      </c>
      <c r="O420" s="7" t="s">
        <v>596</v>
      </c>
      <c r="P420" s="7" t="s">
        <v>1150</v>
      </c>
      <c r="Q420" s="7" t="s">
        <v>1480</v>
      </c>
      <c r="R420" s="7" t="s">
        <v>1152</v>
      </c>
      <c r="S420" s="8"/>
      <c r="T420" s="12"/>
      <c r="U420" s="12"/>
    </row>
    <row r="421" customFormat="false" ht="23.85" hidden="false" customHeight="false" outlineLevel="0" collapsed="false">
      <c r="A421" s="7" t="s">
        <v>5762</v>
      </c>
      <c r="B421" s="14" t="s">
        <v>5759</v>
      </c>
      <c r="C421" s="7" t="s">
        <v>91</v>
      </c>
      <c r="D421" s="7" t="s">
        <v>471</v>
      </c>
      <c r="E421" s="7" t="s">
        <v>91</v>
      </c>
      <c r="F421" s="7" t="s">
        <v>5763</v>
      </c>
      <c r="G421" s="7" t="s">
        <v>5617</v>
      </c>
      <c r="H421" s="7" t="s">
        <v>928</v>
      </c>
      <c r="I421" s="7" t="s">
        <v>1148</v>
      </c>
      <c r="J421" s="8" t="s">
        <v>5764</v>
      </c>
      <c r="K421" s="8" t="s">
        <v>94</v>
      </c>
      <c r="L421" s="7" t="s">
        <v>1009</v>
      </c>
      <c r="M421" s="7" t="s">
        <v>5765</v>
      </c>
      <c r="N421" s="7" t="n">
        <v>4</v>
      </c>
      <c r="O421" s="7" t="s">
        <v>5761</v>
      </c>
      <c r="P421" s="7" t="s">
        <v>1150</v>
      </c>
      <c r="Q421" s="7" t="s">
        <v>1480</v>
      </c>
      <c r="R421" s="7" t="s">
        <v>1152</v>
      </c>
      <c r="S421" s="8" t="s">
        <v>5624</v>
      </c>
      <c r="T421" s="12"/>
      <c r="U421" s="12"/>
    </row>
    <row r="422" customFormat="false" ht="23.85" hidden="false" customHeight="false" outlineLevel="0" collapsed="false">
      <c r="A422" s="7" t="s">
        <v>5766</v>
      </c>
      <c r="B422" s="14" t="s">
        <v>5759</v>
      </c>
      <c r="C422" s="7" t="s">
        <v>91</v>
      </c>
      <c r="D422" s="7" t="s">
        <v>471</v>
      </c>
      <c r="E422" s="7" t="s">
        <v>91</v>
      </c>
      <c r="F422" s="7" t="s">
        <v>5767</v>
      </c>
      <c r="G422" s="7" t="s">
        <v>5617</v>
      </c>
      <c r="H422" s="7" t="s">
        <v>943</v>
      </c>
      <c r="I422" s="7" t="s">
        <v>1424</v>
      </c>
      <c r="J422" s="8" t="s">
        <v>5768</v>
      </c>
      <c r="K422" s="8" t="s">
        <v>94</v>
      </c>
      <c r="L422" s="7" t="s">
        <v>1016</v>
      </c>
      <c r="M422" s="7" t="s">
        <v>5769</v>
      </c>
      <c r="N422" s="7" t="s">
        <v>952</v>
      </c>
      <c r="O422" s="7" t="s">
        <v>5761</v>
      </c>
      <c r="P422" s="7" t="s">
        <v>1150</v>
      </c>
      <c r="Q422" s="7" t="s">
        <v>1480</v>
      </c>
      <c r="R422" s="7" t="s">
        <v>1152</v>
      </c>
      <c r="S422" s="8" t="s">
        <v>5629</v>
      </c>
      <c r="T422" s="12"/>
      <c r="U422" s="12"/>
    </row>
    <row r="423" customFormat="false" ht="23.85" hidden="false" customHeight="false" outlineLevel="0" collapsed="false">
      <c r="A423" s="7" t="s">
        <v>5770</v>
      </c>
      <c r="B423" s="14" t="s">
        <v>5759</v>
      </c>
      <c r="C423" s="7" t="s">
        <v>91</v>
      </c>
      <c r="D423" s="7" t="s">
        <v>471</v>
      </c>
      <c r="E423" s="7" t="s">
        <v>91</v>
      </c>
      <c r="F423" s="7" t="s">
        <v>5771</v>
      </c>
      <c r="G423" s="7" t="s">
        <v>5617</v>
      </c>
      <c r="H423" s="7" t="s">
        <v>1029</v>
      </c>
      <c r="I423" s="7" t="s">
        <v>3572</v>
      </c>
      <c r="J423" s="8" t="s">
        <v>5772</v>
      </c>
      <c r="K423" s="8" t="s">
        <v>94</v>
      </c>
      <c r="L423" s="7" t="s">
        <v>1016</v>
      </c>
      <c r="M423" s="7" t="s">
        <v>5773</v>
      </c>
      <c r="N423" s="7" t="s">
        <v>952</v>
      </c>
      <c r="O423" s="7" t="s">
        <v>5761</v>
      </c>
      <c r="P423" s="7" t="s">
        <v>1150</v>
      </c>
      <c r="Q423" s="7" t="s">
        <v>1480</v>
      </c>
      <c r="R423" s="7" t="s">
        <v>1152</v>
      </c>
      <c r="S423" s="8" t="s">
        <v>5634</v>
      </c>
      <c r="T423" s="12"/>
      <c r="U423" s="12"/>
    </row>
    <row r="424" customFormat="false" ht="23.85" hidden="false" customHeight="false" outlineLevel="0" collapsed="false">
      <c r="A424" s="7" t="s">
        <v>5774</v>
      </c>
      <c r="B424" s="14" t="s">
        <v>5759</v>
      </c>
      <c r="C424" s="7" t="s">
        <v>91</v>
      </c>
      <c r="D424" s="7" t="s">
        <v>471</v>
      </c>
      <c r="E424" s="7" t="s">
        <v>91</v>
      </c>
      <c r="F424" s="7" t="s">
        <v>5775</v>
      </c>
      <c r="G424" s="7" t="s">
        <v>5617</v>
      </c>
      <c r="H424" s="7" t="s">
        <v>943</v>
      </c>
      <c r="I424" s="7" t="s">
        <v>1424</v>
      </c>
      <c r="J424" s="8" t="s">
        <v>5776</v>
      </c>
      <c r="K424" s="8" t="s">
        <v>94</v>
      </c>
      <c r="L424" s="7" t="s">
        <v>1016</v>
      </c>
      <c r="M424" s="7" t="s">
        <v>5777</v>
      </c>
      <c r="N424" s="7" t="s">
        <v>952</v>
      </c>
      <c r="O424" s="7" t="s">
        <v>5761</v>
      </c>
      <c r="P424" s="7" t="s">
        <v>1150</v>
      </c>
      <c r="Q424" s="7" t="s">
        <v>1480</v>
      </c>
      <c r="R424" s="7" t="s">
        <v>1152</v>
      </c>
      <c r="S424" s="8" t="s">
        <v>5639</v>
      </c>
      <c r="T424" s="12"/>
      <c r="U424" s="12"/>
    </row>
    <row r="425" customFormat="false" ht="23.85" hidden="false" customHeight="false" outlineLevel="0" collapsed="false">
      <c r="A425" s="7" t="s">
        <v>5778</v>
      </c>
      <c r="B425" s="14" t="s">
        <v>5759</v>
      </c>
      <c r="C425" s="7" t="s">
        <v>91</v>
      </c>
      <c r="D425" s="7" t="s">
        <v>471</v>
      </c>
      <c r="E425" s="7" t="s">
        <v>91</v>
      </c>
      <c r="F425" s="7" t="s">
        <v>5779</v>
      </c>
      <c r="G425" s="7" t="s">
        <v>5617</v>
      </c>
      <c r="H425" s="7" t="s">
        <v>928</v>
      </c>
      <c r="I425" s="7" t="s">
        <v>1148</v>
      </c>
      <c r="J425" s="8" t="s">
        <v>5780</v>
      </c>
      <c r="K425" s="8" t="s">
        <v>94</v>
      </c>
      <c r="L425" s="7" t="s">
        <v>1016</v>
      </c>
      <c r="M425" s="7" t="s">
        <v>5781</v>
      </c>
      <c r="N425" s="7" t="s">
        <v>952</v>
      </c>
      <c r="O425" s="7" t="s">
        <v>5761</v>
      </c>
      <c r="P425" s="7" t="s">
        <v>1150</v>
      </c>
      <c r="Q425" s="7" t="s">
        <v>1480</v>
      </c>
      <c r="R425" s="7" t="s">
        <v>1152</v>
      </c>
      <c r="S425" s="8" t="s">
        <v>5644</v>
      </c>
      <c r="T425" s="12"/>
      <c r="U425" s="12"/>
    </row>
    <row r="426" customFormat="false" ht="23.85" hidden="false" customHeight="false" outlineLevel="0" collapsed="false">
      <c r="A426" s="7" t="s">
        <v>5782</v>
      </c>
      <c r="B426" s="14" t="s">
        <v>5759</v>
      </c>
      <c r="C426" s="7" t="s">
        <v>91</v>
      </c>
      <c r="D426" s="7" t="s">
        <v>471</v>
      </c>
      <c r="E426" s="7" t="s">
        <v>91</v>
      </c>
      <c r="F426" s="7" t="s">
        <v>5783</v>
      </c>
      <c r="G426" s="7" t="s">
        <v>5617</v>
      </c>
      <c r="H426" s="7" t="s">
        <v>1029</v>
      </c>
      <c r="I426" s="7" t="s">
        <v>3572</v>
      </c>
      <c r="J426" s="8" t="s">
        <v>5784</v>
      </c>
      <c r="K426" s="8" t="s">
        <v>94</v>
      </c>
      <c r="L426" s="7" t="s">
        <v>720</v>
      </c>
      <c r="M426" s="7" t="s">
        <v>5785</v>
      </c>
      <c r="N426" s="7" t="n">
        <v>2</v>
      </c>
      <c r="O426" s="7" t="s">
        <v>5761</v>
      </c>
      <c r="P426" s="7" t="s">
        <v>1150</v>
      </c>
      <c r="Q426" s="7" t="s">
        <v>1480</v>
      </c>
      <c r="R426" s="7" t="s">
        <v>1152</v>
      </c>
      <c r="S426" s="8" t="s">
        <v>5649</v>
      </c>
      <c r="T426" s="12"/>
      <c r="U426" s="12"/>
    </row>
    <row r="427" customFormat="false" ht="35.05" hidden="false" customHeight="false" outlineLevel="0" collapsed="false">
      <c r="A427" s="7" t="s">
        <v>5786</v>
      </c>
      <c r="B427" s="14" t="s">
        <v>5787</v>
      </c>
      <c r="C427" s="7" t="s">
        <v>91</v>
      </c>
      <c r="D427" s="7" t="s">
        <v>471</v>
      </c>
      <c r="E427" s="7" t="s">
        <v>91</v>
      </c>
      <c r="F427" s="7" t="s">
        <v>5787</v>
      </c>
      <c r="G427" s="7" t="s">
        <v>5617</v>
      </c>
      <c r="H427" s="7" t="s">
        <v>928</v>
      </c>
      <c r="I427" s="7" t="s">
        <v>1148</v>
      </c>
      <c r="J427" s="8" t="s">
        <v>5788</v>
      </c>
      <c r="K427" s="8" t="s">
        <v>94</v>
      </c>
      <c r="L427" s="7" t="s">
        <v>601</v>
      </c>
      <c r="M427" s="7" t="s">
        <v>5789</v>
      </c>
      <c r="N427" s="7" t="n">
        <v>3</v>
      </c>
      <c r="O427" s="7" t="s">
        <v>596</v>
      </c>
      <c r="P427" s="7" t="s">
        <v>1150</v>
      </c>
      <c r="Q427" s="7" t="s">
        <v>1480</v>
      </c>
      <c r="R427" s="7" t="s">
        <v>1152</v>
      </c>
      <c r="S427" s="8"/>
      <c r="T427" s="12"/>
      <c r="U427" s="12"/>
    </row>
    <row r="428" customFormat="false" ht="23.85" hidden="false" customHeight="false" outlineLevel="0" collapsed="false">
      <c r="A428" s="7" t="s">
        <v>5790</v>
      </c>
      <c r="B428" s="14" t="s">
        <v>5787</v>
      </c>
      <c r="C428" s="7" t="s">
        <v>91</v>
      </c>
      <c r="D428" s="7" t="s">
        <v>471</v>
      </c>
      <c r="E428" s="7" t="s">
        <v>91</v>
      </c>
      <c r="F428" s="7" t="s">
        <v>5791</v>
      </c>
      <c r="G428" s="7" t="s">
        <v>5617</v>
      </c>
      <c r="H428" s="7" t="s">
        <v>928</v>
      </c>
      <c r="I428" s="7" t="s">
        <v>1148</v>
      </c>
      <c r="J428" s="8" t="s">
        <v>5792</v>
      </c>
      <c r="K428" s="8" t="s">
        <v>94</v>
      </c>
      <c r="L428" s="7" t="s">
        <v>1009</v>
      </c>
      <c r="M428" s="7" t="s">
        <v>5793</v>
      </c>
      <c r="N428" s="7" t="n">
        <v>4</v>
      </c>
      <c r="O428" s="7" t="s">
        <v>5789</v>
      </c>
      <c r="P428" s="7" t="s">
        <v>1150</v>
      </c>
      <c r="Q428" s="7" t="s">
        <v>1480</v>
      </c>
      <c r="R428" s="7" t="s">
        <v>1152</v>
      </c>
      <c r="S428" s="8" t="s">
        <v>5624</v>
      </c>
      <c r="T428" s="12"/>
      <c r="U428" s="12"/>
    </row>
    <row r="429" customFormat="false" ht="23.85" hidden="false" customHeight="false" outlineLevel="0" collapsed="false">
      <c r="A429" s="7" t="s">
        <v>5794</v>
      </c>
      <c r="B429" s="14" t="s">
        <v>5787</v>
      </c>
      <c r="C429" s="7" t="s">
        <v>91</v>
      </c>
      <c r="D429" s="7" t="s">
        <v>471</v>
      </c>
      <c r="E429" s="7" t="s">
        <v>91</v>
      </c>
      <c r="F429" s="7" t="s">
        <v>5795</v>
      </c>
      <c r="G429" s="7" t="s">
        <v>5617</v>
      </c>
      <c r="H429" s="7" t="s">
        <v>943</v>
      </c>
      <c r="I429" s="7" t="s">
        <v>1424</v>
      </c>
      <c r="J429" s="8" t="s">
        <v>5796</v>
      </c>
      <c r="K429" s="8" t="s">
        <v>94</v>
      </c>
      <c r="L429" s="7" t="s">
        <v>1016</v>
      </c>
      <c r="M429" s="7" t="s">
        <v>5797</v>
      </c>
      <c r="N429" s="7" t="s">
        <v>952</v>
      </c>
      <c r="O429" s="7" t="s">
        <v>5789</v>
      </c>
      <c r="P429" s="7" t="s">
        <v>1150</v>
      </c>
      <c r="Q429" s="7" t="s">
        <v>1480</v>
      </c>
      <c r="R429" s="7" t="s">
        <v>1152</v>
      </c>
      <c r="S429" s="8" t="s">
        <v>5629</v>
      </c>
      <c r="T429" s="12"/>
      <c r="U429" s="12"/>
    </row>
    <row r="430" customFormat="false" ht="23.85" hidden="false" customHeight="false" outlineLevel="0" collapsed="false">
      <c r="A430" s="7" t="s">
        <v>5798</v>
      </c>
      <c r="B430" s="14" t="s">
        <v>5787</v>
      </c>
      <c r="C430" s="7" t="s">
        <v>91</v>
      </c>
      <c r="D430" s="7" t="s">
        <v>471</v>
      </c>
      <c r="E430" s="7" t="s">
        <v>91</v>
      </c>
      <c r="F430" s="7" t="s">
        <v>5799</v>
      </c>
      <c r="G430" s="7" t="s">
        <v>5617</v>
      </c>
      <c r="H430" s="7" t="s">
        <v>1029</v>
      </c>
      <c r="I430" s="7" t="s">
        <v>3572</v>
      </c>
      <c r="J430" s="8" t="s">
        <v>5800</v>
      </c>
      <c r="K430" s="8" t="s">
        <v>94</v>
      </c>
      <c r="L430" s="7" t="s">
        <v>1016</v>
      </c>
      <c r="M430" s="7" t="s">
        <v>5801</v>
      </c>
      <c r="N430" s="7" t="s">
        <v>952</v>
      </c>
      <c r="O430" s="7" t="s">
        <v>5789</v>
      </c>
      <c r="P430" s="7" t="s">
        <v>1150</v>
      </c>
      <c r="Q430" s="7" t="s">
        <v>1480</v>
      </c>
      <c r="R430" s="7" t="s">
        <v>1152</v>
      </c>
      <c r="S430" s="8" t="s">
        <v>5634</v>
      </c>
      <c r="T430" s="12"/>
      <c r="U430" s="12"/>
    </row>
    <row r="431" customFormat="false" ht="23.85" hidden="false" customHeight="false" outlineLevel="0" collapsed="false">
      <c r="A431" s="7" t="s">
        <v>5802</v>
      </c>
      <c r="B431" s="14" t="s">
        <v>5787</v>
      </c>
      <c r="C431" s="7" t="s">
        <v>91</v>
      </c>
      <c r="D431" s="7" t="s">
        <v>471</v>
      </c>
      <c r="E431" s="7" t="s">
        <v>91</v>
      </c>
      <c r="F431" s="7" t="s">
        <v>5803</v>
      </c>
      <c r="G431" s="7" t="s">
        <v>5617</v>
      </c>
      <c r="H431" s="7" t="s">
        <v>943</v>
      </c>
      <c r="I431" s="7" t="s">
        <v>1424</v>
      </c>
      <c r="J431" s="8" t="s">
        <v>5804</v>
      </c>
      <c r="K431" s="8" t="s">
        <v>94</v>
      </c>
      <c r="L431" s="7" t="s">
        <v>1016</v>
      </c>
      <c r="M431" s="7" t="s">
        <v>5805</v>
      </c>
      <c r="N431" s="7" t="s">
        <v>952</v>
      </c>
      <c r="O431" s="7" t="s">
        <v>5789</v>
      </c>
      <c r="P431" s="7" t="s">
        <v>1150</v>
      </c>
      <c r="Q431" s="7" t="s">
        <v>1480</v>
      </c>
      <c r="R431" s="7" t="s">
        <v>1152</v>
      </c>
      <c r="S431" s="8" t="s">
        <v>5639</v>
      </c>
      <c r="T431" s="12"/>
      <c r="U431" s="12"/>
    </row>
    <row r="432" customFormat="false" ht="23.85" hidden="false" customHeight="false" outlineLevel="0" collapsed="false">
      <c r="A432" s="7" t="s">
        <v>5806</v>
      </c>
      <c r="B432" s="14" t="s">
        <v>5787</v>
      </c>
      <c r="C432" s="7" t="s">
        <v>91</v>
      </c>
      <c r="D432" s="7" t="s">
        <v>471</v>
      </c>
      <c r="E432" s="7" t="s">
        <v>91</v>
      </c>
      <c r="F432" s="7" t="s">
        <v>5807</v>
      </c>
      <c r="G432" s="7" t="s">
        <v>5617</v>
      </c>
      <c r="H432" s="7" t="s">
        <v>928</v>
      </c>
      <c r="I432" s="7" t="s">
        <v>1148</v>
      </c>
      <c r="J432" s="8" t="s">
        <v>5808</v>
      </c>
      <c r="K432" s="8" t="s">
        <v>94</v>
      </c>
      <c r="L432" s="7" t="s">
        <v>1016</v>
      </c>
      <c r="M432" s="7" t="s">
        <v>5809</v>
      </c>
      <c r="N432" s="7" t="s">
        <v>952</v>
      </c>
      <c r="O432" s="7" t="s">
        <v>5789</v>
      </c>
      <c r="P432" s="7" t="s">
        <v>1150</v>
      </c>
      <c r="Q432" s="7" t="s">
        <v>1480</v>
      </c>
      <c r="R432" s="7" t="s">
        <v>1152</v>
      </c>
      <c r="S432" s="8" t="s">
        <v>5644</v>
      </c>
      <c r="T432" s="12"/>
      <c r="U432" s="12"/>
    </row>
    <row r="433" customFormat="false" ht="23.85" hidden="false" customHeight="false" outlineLevel="0" collapsed="false">
      <c r="A433" s="7" t="s">
        <v>5810</v>
      </c>
      <c r="B433" s="14" t="s">
        <v>5787</v>
      </c>
      <c r="C433" s="7" t="s">
        <v>91</v>
      </c>
      <c r="D433" s="7" t="s">
        <v>471</v>
      </c>
      <c r="E433" s="7" t="s">
        <v>91</v>
      </c>
      <c r="F433" s="7" t="s">
        <v>5811</v>
      </c>
      <c r="G433" s="7" t="s">
        <v>5617</v>
      </c>
      <c r="H433" s="7" t="s">
        <v>1029</v>
      </c>
      <c r="I433" s="7" t="s">
        <v>3572</v>
      </c>
      <c r="J433" s="8" t="s">
        <v>5812</v>
      </c>
      <c r="K433" s="8" t="s">
        <v>94</v>
      </c>
      <c r="L433" s="7" t="s">
        <v>720</v>
      </c>
      <c r="M433" s="7" t="s">
        <v>5813</v>
      </c>
      <c r="N433" s="7" t="n">
        <v>2</v>
      </c>
      <c r="O433" s="7" t="s">
        <v>5789</v>
      </c>
      <c r="P433" s="7" t="s">
        <v>1150</v>
      </c>
      <c r="Q433" s="7" t="s">
        <v>1480</v>
      </c>
      <c r="R433" s="7" t="s">
        <v>1152</v>
      </c>
      <c r="S433" s="8" t="s">
        <v>5649</v>
      </c>
      <c r="T433" s="12"/>
      <c r="U433" s="12"/>
    </row>
    <row r="434" customFormat="false" ht="35.05" hidden="false" customHeight="false" outlineLevel="0" collapsed="false">
      <c r="A434" s="7" t="s">
        <v>5814</v>
      </c>
      <c r="B434" s="14" t="s">
        <v>5815</v>
      </c>
      <c r="C434" s="7" t="s">
        <v>91</v>
      </c>
      <c r="D434" s="7" t="s">
        <v>471</v>
      </c>
      <c r="E434" s="7" t="s">
        <v>91</v>
      </c>
      <c r="F434" s="7" t="s">
        <v>5815</v>
      </c>
      <c r="G434" s="7" t="s">
        <v>5617</v>
      </c>
      <c r="H434" s="7" t="s">
        <v>928</v>
      </c>
      <c r="I434" s="7" t="s">
        <v>1148</v>
      </c>
      <c r="J434" s="8" t="s">
        <v>5816</v>
      </c>
      <c r="K434" s="8" t="s">
        <v>94</v>
      </c>
      <c r="L434" s="7" t="s">
        <v>601</v>
      </c>
      <c r="M434" s="7" t="s">
        <v>5817</v>
      </c>
      <c r="N434" s="7" t="n">
        <v>3</v>
      </c>
      <c r="O434" s="7" t="s">
        <v>596</v>
      </c>
      <c r="P434" s="7" t="s">
        <v>1150</v>
      </c>
      <c r="Q434" s="7" t="s">
        <v>1480</v>
      </c>
      <c r="R434" s="7" t="s">
        <v>1152</v>
      </c>
      <c r="S434" s="8"/>
      <c r="T434" s="12"/>
      <c r="U434" s="12"/>
    </row>
    <row r="435" customFormat="false" ht="23.85" hidden="false" customHeight="false" outlineLevel="0" collapsed="false">
      <c r="A435" s="7" t="s">
        <v>5818</v>
      </c>
      <c r="B435" s="14" t="s">
        <v>5815</v>
      </c>
      <c r="C435" s="7" t="s">
        <v>91</v>
      </c>
      <c r="D435" s="7" t="s">
        <v>471</v>
      </c>
      <c r="E435" s="7" t="s">
        <v>91</v>
      </c>
      <c r="F435" s="7" t="s">
        <v>5819</v>
      </c>
      <c r="G435" s="7" t="s">
        <v>5617</v>
      </c>
      <c r="H435" s="7" t="s">
        <v>928</v>
      </c>
      <c r="I435" s="7" t="s">
        <v>1148</v>
      </c>
      <c r="J435" s="8" t="s">
        <v>5820</v>
      </c>
      <c r="K435" s="8" t="s">
        <v>94</v>
      </c>
      <c r="L435" s="7" t="s">
        <v>1009</v>
      </c>
      <c r="M435" s="7" t="s">
        <v>5821</v>
      </c>
      <c r="N435" s="7" t="n">
        <v>4</v>
      </c>
      <c r="O435" s="7" t="s">
        <v>5817</v>
      </c>
      <c r="P435" s="7" t="s">
        <v>1150</v>
      </c>
      <c r="Q435" s="7" t="s">
        <v>1480</v>
      </c>
      <c r="R435" s="7" t="s">
        <v>1152</v>
      </c>
      <c r="S435" s="8" t="s">
        <v>5624</v>
      </c>
      <c r="T435" s="12"/>
      <c r="U435" s="12"/>
    </row>
    <row r="436" customFormat="false" ht="23.85" hidden="false" customHeight="false" outlineLevel="0" collapsed="false">
      <c r="A436" s="7" t="s">
        <v>5822</v>
      </c>
      <c r="B436" s="14" t="s">
        <v>5815</v>
      </c>
      <c r="C436" s="7" t="s">
        <v>91</v>
      </c>
      <c r="D436" s="7" t="s">
        <v>471</v>
      </c>
      <c r="E436" s="7" t="s">
        <v>91</v>
      </c>
      <c r="F436" s="7" t="s">
        <v>5823</v>
      </c>
      <c r="G436" s="7" t="s">
        <v>5617</v>
      </c>
      <c r="H436" s="7" t="s">
        <v>943</v>
      </c>
      <c r="I436" s="7" t="s">
        <v>1424</v>
      </c>
      <c r="J436" s="8" t="s">
        <v>5824</v>
      </c>
      <c r="K436" s="8" t="s">
        <v>94</v>
      </c>
      <c r="L436" s="7" t="s">
        <v>1016</v>
      </c>
      <c r="M436" s="7" t="s">
        <v>5825</v>
      </c>
      <c r="N436" s="7" t="s">
        <v>952</v>
      </c>
      <c r="O436" s="7" t="s">
        <v>5817</v>
      </c>
      <c r="P436" s="7" t="s">
        <v>1150</v>
      </c>
      <c r="Q436" s="7" t="s">
        <v>1480</v>
      </c>
      <c r="R436" s="7" t="s">
        <v>1152</v>
      </c>
      <c r="S436" s="8" t="s">
        <v>5629</v>
      </c>
      <c r="T436" s="12"/>
      <c r="U436" s="12"/>
    </row>
    <row r="437" customFormat="false" ht="23.85" hidden="false" customHeight="false" outlineLevel="0" collapsed="false">
      <c r="A437" s="7" t="s">
        <v>5826</v>
      </c>
      <c r="B437" s="14" t="s">
        <v>5815</v>
      </c>
      <c r="C437" s="7" t="s">
        <v>91</v>
      </c>
      <c r="D437" s="7" t="s">
        <v>471</v>
      </c>
      <c r="E437" s="7" t="s">
        <v>91</v>
      </c>
      <c r="F437" s="7" t="s">
        <v>5827</v>
      </c>
      <c r="G437" s="7" t="s">
        <v>5617</v>
      </c>
      <c r="H437" s="7" t="s">
        <v>1029</v>
      </c>
      <c r="I437" s="7" t="s">
        <v>3572</v>
      </c>
      <c r="J437" s="8" t="s">
        <v>5828</v>
      </c>
      <c r="K437" s="8" t="s">
        <v>94</v>
      </c>
      <c r="L437" s="7" t="s">
        <v>1016</v>
      </c>
      <c r="M437" s="7" t="s">
        <v>5829</v>
      </c>
      <c r="N437" s="7" t="s">
        <v>952</v>
      </c>
      <c r="O437" s="7" t="s">
        <v>5817</v>
      </c>
      <c r="P437" s="7" t="s">
        <v>1150</v>
      </c>
      <c r="Q437" s="7" t="s">
        <v>1480</v>
      </c>
      <c r="R437" s="7" t="s">
        <v>1152</v>
      </c>
      <c r="S437" s="8" t="s">
        <v>5634</v>
      </c>
      <c r="T437" s="12"/>
      <c r="U437" s="12"/>
    </row>
    <row r="438" customFormat="false" ht="23.85" hidden="false" customHeight="false" outlineLevel="0" collapsed="false">
      <c r="A438" s="7" t="s">
        <v>5830</v>
      </c>
      <c r="B438" s="14" t="s">
        <v>5815</v>
      </c>
      <c r="C438" s="7" t="s">
        <v>91</v>
      </c>
      <c r="D438" s="7" t="s">
        <v>471</v>
      </c>
      <c r="E438" s="7" t="s">
        <v>91</v>
      </c>
      <c r="F438" s="7" t="s">
        <v>5831</v>
      </c>
      <c r="G438" s="7" t="s">
        <v>5617</v>
      </c>
      <c r="H438" s="7" t="s">
        <v>943</v>
      </c>
      <c r="I438" s="7" t="s">
        <v>1424</v>
      </c>
      <c r="J438" s="8" t="s">
        <v>5832</v>
      </c>
      <c r="K438" s="8" t="s">
        <v>94</v>
      </c>
      <c r="L438" s="7" t="s">
        <v>1016</v>
      </c>
      <c r="M438" s="7" t="s">
        <v>5833</v>
      </c>
      <c r="N438" s="7" t="s">
        <v>952</v>
      </c>
      <c r="O438" s="7" t="s">
        <v>5817</v>
      </c>
      <c r="P438" s="7" t="s">
        <v>1150</v>
      </c>
      <c r="Q438" s="7" t="s">
        <v>1480</v>
      </c>
      <c r="R438" s="7" t="s">
        <v>1152</v>
      </c>
      <c r="S438" s="8" t="s">
        <v>5639</v>
      </c>
      <c r="T438" s="12"/>
      <c r="U438" s="12"/>
    </row>
    <row r="439" customFormat="false" ht="23.85" hidden="false" customHeight="false" outlineLevel="0" collapsed="false">
      <c r="A439" s="7" t="s">
        <v>5834</v>
      </c>
      <c r="B439" s="14" t="s">
        <v>5815</v>
      </c>
      <c r="C439" s="7" t="s">
        <v>91</v>
      </c>
      <c r="D439" s="7" t="s">
        <v>471</v>
      </c>
      <c r="E439" s="7" t="s">
        <v>91</v>
      </c>
      <c r="F439" s="7" t="s">
        <v>5835</v>
      </c>
      <c r="G439" s="7" t="s">
        <v>5617</v>
      </c>
      <c r="H439" s="7" t="s">
        <v>928</v>
      </c>
      <c r="I439" s="7" t="s">
        <v>1148</v>
      </c>
      <c r="J439" s="8" t="s">
        <v>5836</v>
      </c>
      <c r="K439" s="8" t="s">
        <v>94</v>
      </c>
      <c r="L439" s="7" t="s">
        <v>1016</v>
      </c>
      <c r="M439" s="7" t="s">
        <v>5837</v>
      </c>
      <c r="N439" s="7" t="s">
        <v>952</v>
      </c>
      <c r="O439" s="7" t="s">
        <v>5817</v>
      </c>
      <c r="P439" s="7" t="s">
        <v>1150</v>
      </c>
      <c r="Q439" s="7" t="s">
        <v>1480</v>
      </c>
      <c r="R439" s="7" t="s">
        <v>1152</v>
      </c>
      <c r="S439" s="8" t="s">
        <v>5644</v>
      </c>
      <c r="T439" s="12"/>
      <c r="U439" s="12"/>
    </row>
    <row r="440" customFormat="false" ht="23.85" hidden="false" customHeight="false" outlineLevel="0" collapsed="false">
      <c r="A440" s="7" t="s">
        <v>5838</v>
      </c>
      <c r="B440" s="14" t="s">
        <v>5815</v>
      </c>
      <c r="C440" s="7" t="s">
        <v>91</v>
      </c>
      <c r="D440" s="7" t="s">
        <v>471</v>
      </c>
      <c r="E440" s="7" t="s">
        <v>91</v>
      </c>
      <c r="F440" s="7" t="s">
        <v>5839</v>
      </c>
      <c r="G440" s="7" t="s">
        <v>5617</v>
      </c>
      <c r="H440" s="7" t="s">
        <v>1029</v>
      </c>
      <c r="I440" s="7" t="s">
        <v>3572</v>
      </c>
      <c r="J440" s="8" t="s">
        <v>5840</v>
      </c>
      <c r="K440" s="8" t="s">
        <v>94</v>
      </c>
      <c r="L440" s="7" t="s">
        <v>720</v>
      </c>
      <c r="M440" s="7" t="s">
        <v>5841</v>
      </c>
      <c r="N440" s="7" t="n">
        <v>2</v>
      </c>
      <c r="O440" s="7" t="s">
        <v>5817</v>
      </c>
      <c r="P440" s="7" t="s">
        <v>1150</v>
      </c>
      <c r="Q440" s="7" t="s">
        <v>1480</v>
      </c>
      <c r="R440" s="7" t="s">
        <v>1152</v>
      </c>
      <c r="S440" s="8" t="s">
        <v>5649</v>
      </c>
      <c r="T440" s="12"/>
      <c r="U440" s="12"/>
    </row>
    <row r="441" customFormat="false" ht="35.05" hidden="false" customHeight="false" outlineLevel="0" collapsed="false">
      <c r="A441" s="7" t="s">
        <v>5842</v>
      </c>
      <c r="B441" s="14" t="s">
        <v>5843</v>
      </c>
      <c r="C441" s="7" t="s">
        <v>91</v>
      </c>
      <c r="D441" s="7" t="s">
        <v>471</v>
      </c>
      <c r="E441" s="7" t="s">
        <v>91</v>
      </c>
      <c r="F441" s="7" t="s">
        <v>5843</v>
      </c>
      <c r="G441" s="7" t="s">
        <v>5617</v>
      </c>
      <c r="H441" s="7" t="s">
        <v>928</v>
      </c>
      <c r="I441" s="7" t="s">
        <v>1148</v>
      </c>
      <c r="J441" s="8" t="s">
        <v>5844</v>
      </c>
      <c r="K441" s="8" t="s">
        <v>94</v>
      </c>
      <c r="L441" s="7" t="s">
        <v>601</v>
      </c>
      <c r="M441" s="7" t="s">
        <v>5845</v>
      </c>
      <c r="N441" s="7" t="n">
        <v>3</v>
      </c>
      <c r="O441" s="7" t="s">
        <v>596</v>
      </c>
      <c r="P441" s="7" t="s">
        <v>1150</v>
      </c>
      <c r="Q441" s="7" t="s">
        <v>1480</v>
      </c>
      <c r="R441" s="7" t="s">
        <v>1152</v>
      </c>
      <c r="S441" s="8"/>
      <c r="T441" s="12"/>
      <c r="U441" s="12"/>
    </row>
    <row r="442" customFormat="false" ht="23.85" hidden="false" customHeight="false" outlineLevel="0" collapsed="false">
      <c r="A442" s="7" t="s">
        <v>5846</v>
      </c>
      <c r="B442" s="14" t="s">
        <v>5843</v>
      </c>
      <c r="C442" s="7" t="s">
        <v>91</v>
      </c>
      <c r="D442" s="7" t="s">
        <v>471</v>
      </c>
      <c r="E442" s="7" t="s">
        <v>91</v>
      </c>
      <c r="F442" s="7" t="s">
        <v>5847</v>
      </c>
      <c r="G442" s="7" t="s">
        <v>5617</v>
      </c>
      <c r="H442" s="7" t="s">
        <v>928</v>
      </c>
      <c r="I442" s="7" t="s">
        <v>1148</v>
      </c>
      <c r="J442" s="8" t="s">
        <v>5848</v>
      </c>
      <c r="K442" s="8" t="s">
        <v>94</v>
      </c>
      <c r="L442" s="7" t="s">
        <v>1009</v>
      </c>
      <c r="M442" s="7" t="s">
        <v>5849</v>
      </c>
      <c r="N442" s="7" t="n">
        <v>4</v>
      </c>
      <c r="O442" s="7" t="s">
        <v>5845</v>
      </c>
      <c r="P442" s="7" t="s">
        <v>1150</v>
      </c>
      <c r="Q442" s="7" t="s">
        <v>1480</v>
      </c>
      <c r="R442" s="7" t="s">
        <v>1152</v>
      </c>
      <c r="S442" s="8" t="s">
        <v>5624</v>
      </c>
      <c r="T442" s="12"/>
      <c r="U442" s="12"/>
    </row>
    <row r="443" customFormat="false" ht="23.85" hidden="false" customHeight="false" outlineLevel="0" collapsed="false">
      <c r="A443" s="7" t="s">
        <v>5850</v>
      </c>
      <c r="B443" s="14" t="s">
        <v>5843</v>
      </c>
      <c r="C443" s="7" t="s">
        <v>91</v>
      </c>
      <c r="D443" s="7" t="s">
        <v>471</v>
      </c>
      <c r="E443" s="7" t="s">
        <v>91</v>
      </c>
      <c r="F443" s="7" t="s">
        <v>5851</v>
      </c>
      <c r="G443" s="7" t="s">
        <v>5617</v>
      </c>
      <c r="H443" s="7" t="s">
        <v>943</v>
      </c>
      <c r="I443" s="7" t="s">
        <v>1424</v>
      </c>
      <c r="J443" s="8" t="s">
        <v>5852</v>
      </c>
      <c r="K443" s="8" t="s">
        <v>94</v>
      </c>
      <c r="L443" s="7" t="s">
        <v>1016</v>
      </c>
      <c r="M443" s="7" t="s">
        <v>5853</v>
      </c>
      <c r="N443" s="7" t="s">
        <v>952</v>
      </c>
      <c r="O443" s="7" t="s">
        <v>5845</v>
      </c>
      <c r="P443" s="7" t="s">
        <v>1150</v>
      </c>
      <c r="Q443" s="7" t="s">
        <v>1480</v>
      </c>
      <c r="R443" s="7" t="s">
        <v>1152</v>
      </c>
      <c r="S443" s="8" t="s">
        <v>5629</v>
      </c>
      <c r="T443" s="12"/>
      <c r="U443" s="12"/>
    </row>
    <row r="444" customFormat="false" ht="23.85" hidden="false" customHeight="false" outlineLevel="0" collapsed="false">
      <c r="A444" s="7" t="s">
        <v>5854</v>
      </c>
      <c r="B444" s="14" t="s">
        <v>5843</v>
      </c>
      <c r="C444" s="7" t="s">
        <v>91</v>
      </c>
      <c r="D444" s="7" t="s">
        <v>471</v>
      </c>
      <c r="E444" s="7" t="s">
        <v>91</v>
      </c>
      <c r="F444" s="7" t="s">
        <v>5855</v>
      </c>
      <c r="G444" s="7" t="s">
        <v>5617</v>
      </c>
      <c r="H444" s="7" t="s">
        <v>1029</v>
      </c>
      <c r="I444" s="7" t="s">
        <v>3572</v>
      </c>
      <c r="J444" s="8" t="s">
        <v>5856</v>
      </c>
      <c r="K444" s="8" t="s">
        <v>94</v>
      </c>
      <c r="L444" s="7" t="s">
        <v>1016</v>
      </c>
      <c r="M444" s="7" t="s">
        <v>5857</v>
      </c>
      <c r="N444" s="7" t="s">
        <v>952</v>
      </c>
      <c r="O444" s="7" t="s">
        <v>5845</v>
      </c>
      <c r="P444" s="7" t="s">
        <v>1150</v>
      </c>
      <c r="Q444" s="7" t="s">
        <v>1480</v>
      </c>
      <c r="R444" s="7" t="s">
        <v>1152</v>
      </c>
      <c r="S444" s="8" t="s">
        <v>5634</v>
      </c>
      <c r="T444" s="12"/>
      <c r="U444" s="12"/>
    </row>
    <row r="445" customFormat="false" ht="23.85" hidden="false" customHeight="false" outlineLevel="0" collapsed="false">
      <c r="A445" s="7" t="s">
        <v>5858</v>
      </c>
      <c r="B445" s="14" t="s">
        <v>5843</v>
      </c>
      <c r="C445" s="7" t="s">
        <v>91</v>
      </c>
      <c r="D445" s="7" t="s">
        <v>471</v>
      </c>
      <c r="E445" s="7" t="s">
        <v>91</v>
      </c>
      <c r="F445" s="7" t="s">
        <v>5859</v>
      </c>
      <c r="G445" s="7" t="s">
        <v>5617</v>
      </c>
      <c r="H445" s="7" t="s">
        <v>943</v>
      </c>
      <c r="I445" s="7" t="s">
        <v>1424</v>
      </c>
      <c r="J445" s="8" t="s">
        <v>5860</v>
      </c>
      <c r="K445" s="8" t="s">
        <v>94</v>
      </c>
      <c r="L445" s="7" t="s">
        <v>1016</v>
      </c>
      <c r="M445" s="7" t="s">
        <v>5861</v>
      </c>
      <c r="N445" s="7" t="s">
        <v>952</v>
      </c>
      <c r="O445" s="7" t="s">
        <v>5845</v>
      </c>
      <c r="P445" s="7" t="s">
        <v>1150</v>
      </c>
      <c r="Q445" s="7" t="s">
        <v>1480</v>
      </c>
      <c r="R445" s="7" t="s">
        <v>1152</v>
      </c>
      <c r="S445" s="8" t="s">
        <v>5639</v>
      </c>
      <c r="T445" s="12"/>
      <c r="U445" s="12"/>
    </row>
    <row r="446" customFormat="false" ht="23.85" hidden="false" customHeight="false" outlineLevel="0" collapsed="false">
      <c r="A446" s="7" t="s">
        <v>5862</v>
      </c>
      <c r="B446" s="14" t="s">
        <v>5843</v>
      </c>
      <c r="C446" s="7" t="s">
        <v>91</v>
      </c>
      <c r="D446" s="7" t="s">
        <v>471</v>
      </c>
      <c r="E446" s="7" t="s">
        <v>91</v>
      </c>
      <c r="F446" s="7" t="s">
        <v>5863</v>
      </c>
      <c r="G446" s="7" t="s">
        <v>5617</v>
      </c>
      <c r="H446" s="7" t="s">
        <v>928</v>
      </c>
      <c r="I446" s="7" t="s">
        <v>1148</v>
      </c>
      <c r="J446" s="8" t="s">
        <v>5864</v>
      </c>
      <c r="K446" s="8" t="s">
        <v>94</v>
      </c>
      <c r="L446" s="7" t="s">
        <v>1016</v>
      </c>
      <c r="M446" s="7" t="s">
        <v>5865</v>
      </c>
      <c r="N446" s="7" t="s">
        <v>952</v>
      </c>
      <c r="O446" s="7" t="s">
        <v>5845</v>
      </c>
      <c r="P446" s="7" t="s">
        <v>1150</v>
      </c>
      <c r="Q446" s="7" t="s">
        <v>1480</v>
      </c>
      <c r="R446" s="7" t="s">
        <v>1152</v>
      </c>
      <c r="S446" s="8" t="s">
        <v>5644</v>
      </c>
      <c r="T446" s="12"/>
      <c r="U446" s="12"/>
    </row>
    <row r="447" customFormat="false" ht="23.85" hidden="false" customHeight="false" outlineLevel="0" collapsed="false">
      <c r="A447" s="7" t="s">
        <v>5866</v>
      </c>
      <c r="B447" s="14" t="s">
        <v>5843</v>
      </c>
      <c r="C447" s="7" t="s">
        <v>91</v>
      </c>
      <c r="D447" s="7" t="s">
        <v>471</v>
      </c>
      <c r="E447" s="7" t="s">
        <v>91</v>
      </c>
      <c r="F447" s="7" t="s">
        <v>5867</v>
      </c>
      <c r="G447" s="7" t="s">
        <v>5617</v>
      </c>
      <c r="H447" s="7" t="s">
        <v>1029</v>
      </c>
      <c r="I447" s="7" t="s">
        <v>3572</v>
      </c>
      <c r="J447" s="8" t="s">
        <v>5868</v>
      </c>
      <c r="K447" s="8" t="s">
        <v>94</v>
      </c>
      <c r="L447" s="7" t="s">
        <v>720</v>
      </c>
      <c r="M447" s="7" t="s">
        <v>5869</v>
      </c>
      <c r="N447" s="7" t="n">
        <v>2</v>
      </c>
      <c r="O447" s="7" t="s">
        <v>5845</v>
      </c>
      <c r="P447" s="7" t="s">
        <v>1150</v>
      </c>
      <c r="Q447" s="7" t="s">
        <v>1480</v>
      </c>
      <c r="R447" s="7" t="s">
        <v>1152</v>
      </c>
      <c r="S447" s="8" t="s">
        <v>5649</v>
      </c>
      <c r="T447" s="12"/>
      <c r="U447" s="12"/>
    </row>
    <row r="448" customFormat="false" ht="35.05" hidden="false" customHeight="false" outlineLevel="0" collapsed="false">
      <c r="A448" s="7" t="s">
        <v>5870</v>
      </c>
      <c r="B448" s="14" t="s">
        <v>5871</v>
      </c>
      <c r="C448" s="7" t="s">
        <v>91</v>
      </c>
      <c r="D448" s="7" t="s">
        <v>471</v>
      </c>
      <c r="E448" s="7" t="s">
        <v>91</v>
      </c>
      <c r="F448" s="7" t="s">
        <v>5871</v>
      </c>
      <c r="G448" s="7" t="s">
        <v>5617</v>
      </c>
      <c r="H448" s="7" t="s">
        <v>928</v>
      </c>
      <c r="I448" s="7" t="s">
        <v>1148</v>
      </c>
      <c r="J448" s="8" t="s">
        <v>5872</v>
      </c>
      <c r="K448" s="8" t="s">
        <v>94</v>
      </c>
      <c r="L448" s="7" t="s">
        <v>601</v>
      </c>
      <c r="M448" s="7" t="s">
        <v>5873</v>
      </c>
      <c r="N448" s="7" t="n">
        <v>3</v>
      </c>
      <c r="O448" s="7" t="s">
        <v>596</v>
      </c>
      <c r="P448" s="7" t="s">
        <v>1150</v>
      </c>
      <c r="Q448" s="7" t="s">
        <v>1480</v>
      </c>
      <c r="R448" s="7" t="s">
        <v>1152</v>
      </c>
      <c r="S448" s="8"/>
      <c r="T448" s="12"/>
      <c r="U448" s="12"/>
    </row>
    <row r="449" customFormat="false" ht="23.85" hidden="false" customHeight="false" outlineLevel="0" collapsed="false">
      <c r="A449" s="7" t="s">
        <v>5874</v>
      </c>
      <c r="B449" s="14" t="s">
        <v>5871</v>
      </c>
      <c r="C449" s="7" t="s">
        <v>91</v>
      </c>
      <c r="D449" s="7" t="s">
        <v>471</v>
      </c>
      <c r="E449" s="7" t="s">
        <v>91</v>
      </c>
      <c r="F449" s="7" t="s">
        <v>5875</v>
      </c>
      <c r="G449" s="7" t="s">
        <v>5617</v>
      </c>
      <c r="H449" s="7" t="s">
        <v>928</v>
      </c>
      <c r="I449" s="7" t="s">
        <v>1148</v>
      </c>
      <c r="J449" s="8" t="s">
        <v>5876</v>
      </c>
      <c r="K449" s="8" t="s">
        <v>94</v>
      </c>
      <c r="L449" s="7" t="s">
        <v>1009</v>
      </c>
      <c r="M449" s="7" t="s">
        <v>5877</v>
      </c>
      <c r="N449" s="7" t="n">
        <v>4</v>
      </c>
      <c r="O449" s="7" t="s">
        <v>5873</v>
      </c>
      <c r="P449" s="7" t="s">
        <v>1150</v>
      </c>
      <c r="Q449" s="7" t="s">
        <v>1480</v>
      </c>
      <c r="R449" s="7" t="s">
        <v>1152</v>
      </c>
      <c r="S449" s="8" t="s">
        <v>5624</v>
      </c>
      <c r="T449" s="12"/>
      <c r="U449" s="12"/>
    </row>
    <row r="450" customFormat="false" ht="23.85" hidden="false" customHeight="false" outlineLevel="0" collapsed="false">
      <c r="A450" s="7" t="s">
        <v>5878</v>
      </c>
      <c r="B450" s="14" t="s">
        <v>5871</v>
      </c>
      <c r="C450" s="7" t="s">
        <v>91</v>
      </c>
      <c r="D450" s="7" t="s">
        <v>471</v>
      </c>
      <c r="E450" s="7" t="s">
        <v>91</v>
      </c>
      <c r="F450" s="7" t="s">
        <v>5879</v>
      </c>
      <c r="G450" s="7" t="s">
        <v>5617</v>
      </c>
      <c r="H450" s="7" t="s">
        <v>943</v>
      </c>
      <c r="I450" s="7" t="s">
        <v>1424</v>
      </c>
      <c r="J450" s="8" t="s">
        <v>5880</v>
      </c>
      <c r="K450" s="8" t="s">
        <v>94</v>
      </c>
      <c r="L450" s="7" t="s">
        <v>1016</v>
      </c>
      <c r="M450" s="7" t="s">
        <v>5881</v>
      </c>
      <c r="N450" s="7" t="s">
        <v>952</v>
      </c>
      <c r="O450" s="7" t="s">
        <v>5873</v>
      </c>
      <c r="P450" s="7" t="s">
        <v>1150</v>
      </c>
      <c r="Q450" s="7" t="s">
        <v>1480</v>
      </c>
      <c r="R450" s="7" t="s">
        <v>1152</v>
      </c>
      <c r="S450" s="8" t="s">
        <v>5629</v>
      </c>
      <c r="T450" s="12"/>
      <c r="U450" s="12"/>
    </row>
    <row r="451" customFormat="false" ht="23.85" hidden="false" customHeight="false" outlineLevel="0" collapsed="false">
      <c r="A451" s="7" t="s">
        <v>5882</v>
      </c>
      <c r="B451" s="14" t="s">
        <v>5871</v>
      </c>
      <c r="C451" s="7" t="s">
        <v>91</v>
      </c>
      <c r="D451" s="7" t="s">
        <v>471</v>
      </c>
      <c r="E451" s="7" t="s">
        <v>91</v>
      </c>
      <c r="F451" s="7" t="s">
        <v>5883</v>
      </c>
      <c r="G451" s="7" t="s">
        <v>5617</v>
      </c>
      <c r="H451" s="7" t="s">
        <v>1029</v>
      </c>
      <c r="I451" s="7" t="s">
        <v>3572</v>
      </c>
      <c r="J451" s="8" t="s">
        <v>5884</v>
      </c>
      <c r="K451" s="8" t="s">
        <v>94</v>
      </c>
      <c r="L451" s="7" t="s">
        <v>1016</v>
      </c>
      <c r="M451" s="7" t="s">
        <v>5885</v>
      </c>
      <c r="N451" s="7" t="s">
        <v>952</v>
      </c>
      <c r="O451" s="7" t="s">
        <v>5873</v>
      </c>
      <c r="P451" s="7" t="s">
        <v>1150</v>
      </c>
      <c r="Q451" s="7" t="s">
        <v>1480</v>
      </c>
      <c r="R451" s="7" t="s">
        <v>1152</v>
      </c>
      <c r="S451" s="8" t="s">
        <v>5634</v>
      </c>
      <c r="T451" s="12"/>
      <c r="U451" s="12"/>
    </row>
    <row r="452" customFormat="false" ht="23.85" hidden="false" customHeight="false" outlineLevel="0" collapsed="false">
      <c r="A452" s="7" t="s">
        <v>5886</v>
      </c>
      <c r="B452" s="14" t="s">
        <v>5871</v>
      </c>
      <c r="C452" s="7" t="s">
        <v>91</v>
      </c>
      <c r="D452" s="7" t="s">
        <v>471</v>
      </c>
      <c r="E452" s="7" t="s">
        <v>91</v>
      </c>
      <c r="F452" s="7" t="s">
        <v>5887</v>
      </c>
      <c r="G452" s="7" t="s">
        <v>5617</v>
      </c>
      <c r="H452" s="7" t="s">
        <v>943</v>
      </c>
      <c r="I452" s="7" t="s">
        <v>1424</v>
      </c>
      <c r="J452" s="8" t="s">
        <v>5888</v>
      </c>
      <c r="K452" s="8" t="s">
        <v>94</v>
      </c>
      <c r="L452" s="7" t="s">
        <v>1016</v>
      </c>
      <c r="M452" s="7" t="s">
        <v>5889</v>
      </c>
      <c r="N452" s="7" t="s">
        <v>952</v>
      </c>
      <c r="O452" s="7" t="s">
        <v>5873</v>
      </c>
      <c r="P452" s="7" t="s">
        <v>1150</v>
      </c>
      <c r="Q452" s="7" t="s">
        <v>1480</v>
      </c>
      <c r="R452" s="7" t="s">
        <v>1152</v>
      </c>
      <c r="S452" s="8" t="s">
        <v>5890</v>
      </c>
      <c r="T452" s="12"/>
      <c r="U452" s="12"/>
    </row>
    <row r="453" customFormat="false" ht="23.85" hidden="false" customHeight="false" outlineLevel="0" collapsed="false">
      <c r="A453" s="7" t="s">
        <v>5891</v>
      </c>
      <c r="B453" s="14" t="s">
        <v>5871</v>
      </c>
      <c r="C453" s="7" t="s">
        <v>91</v>
      </c>
      <c r="D453" s="7" t="s">
        <v>471</v>
      </c>
      <c r="E453" s="7" t="s">
        <v>91</v>
      </c>
      <c r="F453" s="7" t="s">
        <v>5892</v>
      </c>
      <c r="G453" s="7" t="s">
        <v>5617</v>
      </c>
      <c r="H453" s="7" t="s">
        <v>1029</v>
      </c>
      <c r="I453" s="7" t="s">
        <v>3572</v>
      </c>
      <c r="J453" s="8" t="s">
        <v>5893</v>
      </c>
      <c r="K453" s="8" t="s">
        <v>94</v>
      </c>
      <c r="L453" s="7" t="s">
        <v>720</v>
      </c>
      <c r="M453" s="7" t="s">
        <v>5894</v>
      </c>
      <c r="N453" s="7" t="n">
        <v>2</v>
      </c>
      <c r="O453" s="7" t="s">
        <v>5873</v>
      </c>
      <c r="P453" s="7" t="s">
        <v>1150</v>
      </c>
      <c r="Q453" s="7" t="s">
        <v>1480</v>
      </c>
      <c r="R453" s="7" t="s">
        <v>1152</v>
      </c>
      <c r="S453" s="8" t="s">
        <v>5649</v>
      </c>
      <c r="T453" s="12"/>
      <c r="U453" s="12"/>
    </row>
    <row r="454" customFormat="false" ht="35.05" hidden="false" customHeight="false" outlineLevel="0" collapsed="false">
      <c r="A454" s="7" t="s">
        <v>5895</v>
      </c>
      <c r="B454" s="14" t="s">
        <v>5896</v>
      </c>
      <c r="C454" s="7" t="s">
        <v>91</v>
      </c>
      <c r="D454" s="7" t="s">
        <v>471</v>
      </c>
      <c r="E454" s="7" t="s">
        <v>91</v>
      </c>
      <c r="F454" s="7" t="s">
        <v>5896</v>
      </c>
      <c r="G454" s="7" t="s">
        <v>5617</v>
      </c>
      <c r="H454" s="7" t="s">
        <v>928</v>
      </c>
      <c r="I454" s="7" t="s">
        <v>1148</v>
      </c>
      <c r="J454" s="8" t="s">
        <v>5897</v>
      </c>
      <c r="K454" s="8" t="s">
        <v>94</v>
      </c>
      <c r="L454" s="7" t="s">
        <v>601</v>
      </c>
      <c r="M454" s="7" t="s">
        <v>5898</v>
      </c>
      <c r="N454" s="7" t="n">
        <v>3</v>
      </c>
      <c r="O454" s="7" t="s">
        <v>596</v>
      </c>
      <c r="P454" s="7" t="s">
        <v>1150</v>
      </c>
      <c r="Q454" s="7" t="s">
        <v>1480</v>
      </c>
      <c r="R454" s="7" t="s">
        <v>1152</v>
      </c>
      <c r="S454" s="8"/>
      <c r="T454" s="12"/>
      <c r="U454" s="12"/>
    </row>
    <row r="455" customFormat="false" ht="23.85" hidden="false" customHeight="false" outlineLevel="0" collapsed="false">
      <c r="A455" s="7" t="s">
        <v>5899</v>
      </c>
      <c r="B455" s="14" t="s">
        <v>5896</v>
      </c>
      <c r="C455" s="7" t="s">
        <v>91</v>
      </c>
      <c r="D455" s="7" t="s">
        <v>471</v>
      </c>
      <c r="E455" s="7" t="s">
        <v>91</v>
      </c>
      <c r="F455" s="7" t="s">
        <v>5900</v>
      </c>
      <c r="G455" s="7" t="s">
        <v>5617</v>
      </c>
      <c r="H455" s="7" t="s">
        <v>928</v>
      </c>
      <c r="I455" s="7" t="s">
        <v>1148</v>
      </c>
      <c r="J455" s="8" t="s">
        <v>5901</v>
      </c>
      <c r="K455" s="8" t="s">
        <v>94</v>
      </c>
      <c r="L455" s="7" t="s">
        <v>1009</v>
      </c>
      <c r="M455" s="7" t="s">
        <v>5902</v>
      </c>
      <c r="N455" s="7" t="n">
        <v>4</v>
      </c>
      <c r="O455" s="7" t="s">
        <v>5898</v>
      </c>
      <c r="P455" s="7" t="s">
        <v>1150</v>
      </c>
      <c r="Q455" s="7" t="s">
        <v>1480</v>
      </c>
      <c r="R455" s="7" t="s">
        <v>1152</v>
      </c>
      <c r="S455" s="8" t="s">
        <v>5624</v>
      </c>
      <c r="T455" s="12"/>
      <c r="U455" s="12"/>
    </row>
    <row r="456" customFormat="false" ht="23.85" hidden="false" customHeight="false" outlineLevel="0" collapsed="false">
      <c r="A456" s="7" t="s">
        <v>5903</v>
      </c>
      <c r="B456" s="14" t="s">
        <v>5896</v>
      </c>
      <c r="C456" s="7" t="s">
        <v>91</v>
      </c>
      <c r="D456" s="7" t="s">
        <v>471</v>
      </c>
      <c r="E456" s="7" t="s">
        <v>91</v>
      </c>
      <c r="F456" s="7" t="s">
        <v>5904</v>
      </c>
      <c r="G456" s="7" t="s">
        <v>5617</v>
      </c>
      <c r="H456" s="7" t="s">
        <v>943</v>
      </c>
      <c r="I456" s="7" t="s">
        <v>1424</v>
      </c>
      <c r="J456" s="8" t="s">
        <v>5905</v>
      </c>
      <c r="K456" s="8" t="s">
        <v>94</v>
      </c>
      <c r="L456" s="7" t="s">
        <v>1016</v>
      </c>
      <c r="M456" s="7" t="s">
        <v>5906</v>
      </c>
      <c r="N456" s="7" t="s">
        <v>952</v>
      </c>
      <c r="O456" s="7" t="s">
        <v>5898</v>
      </c>
      <c r="P456" s="7" t="s">
        <v>1150</v>
      </c>
      <c r="Q456" s="7" t="s">
        <v>1480</v>
      </c>
      <c r="R456" s="7" t="s">
        <v>1152</v>
      </c>
      <c r="S456" s="8" t="s">
        <v>5629</v>
      </c>
      <c r="T456" s="12"/>
      <c r="U456" s="12"/>
    </row>
    <row r="457" customFormat="false" ht="23.85" hidden="false" customHeight="false" outlineLevel="0" collapsed="false">
      <c r="A457" s="7" t="s">
        <v>5907</v>
      </c>
      <c r="B457" s="14" t="s">
        <v>5896</v>
      </c>
      <c r="C457" s="7" t="s">
        <v>91</v>
      </c>
      <c r="D457" s="7" t="s">
        <v>471</v>
      </c>
      <c r="E457" s="7" t="s">
        <v>91</v>
      </c>
      <c r="F457" s="7" t="s">
        <v>5908</v>
      </c>
      <c r="G457" s="7" t="s">
        <v>5617</v>
      </c>
      <c r="H457" s="7" t="s">
        <v>1029</v>
      </c>
      <c r="I457" s="7" t="s">
        <v>3572</v>
      </c>
      <c r="J457" s="8" t="s">
        <v>5909</v>
      </c>
      <c r="K457" s="8" t="s">
        <v>94</v>
      </c>
      <c r="L457" s="7" t="s">
        <v>1016</v>
      </c>
      <c r="M457" s="7" t="s">
        <v>5910</v>
      </c>
      <c r="N457" s="7" t="s">
        <v>952</v>
      </c>
      <c r="O457" s="7" t="s">
        <v>5898</v>
      </c>
      <c r="P457" s="7" t="s">
        <v>1150</v>
      </c>
      <c r="Q457" s="7" t="s">
        <v>1480</v>
      </c>
      <c r="R457" s="7" t="s">
        <v>1152</v>
      </c>
      <c r="S457" s="8" t="s">
        <v>5634</v>
      </c>
      <c r="T457" s="12"/>
      <c r="U457" s="12"/>
    </row>
    <row r="458" customFormat="false" ht="23.85" hidden="false" customHeight="false" outlineLevel="0" collapsed="false">
      <c r="A458" s="7" t="s">
        <v>5911</v>
      </c>
      <c r="B458" s="14" t="s">
        <v>5896</v>
      </c>
      <c r="C458" s="7" t="s">
        <v>91</v>
      </c>
      <c r="D458" s="7" t="s">
        <v>471</v>
      </c>
      <c r="E458" s="7" t="s">
        <v>91</v>
      </c>
      <c r="F458" s="7" t="s">
        <v>5912</v>
      </c>
      <c r="G458" s="7" t="s">
        <v>5617</v>
      </c>
      <c r="H458" s="7" t="s">
        <v>943</v>
      </c>
      <c r="I458" s="7" t="s">
        <v>1424</v>
      </c>
      <c r="J458" s="8" t="s">
        <v>5913</v>
      </c>
      <c r="K458" s="8" t="s">
        <v>94</v>
      </c>
      <c r="L458" s="7" t="s">
        <v>1016</v>
      </c>
      <c r="M458" s="7" t="s">
        <v>5914</v>
      </c>
      <c r="N458" s="7" t="s">
        <v>952</v>
      </c>
      <c r="O458" s="7" t="s">
        <v>5898</v>
      </c>
      <c r="P458" s="7" t="s">
        <v>1150</v>
      </c>
      <c r="Q458" s="7" t="s">
        <v>1480</v>
      </c>
      <c r="R458" s="7" t="s">
        <v>1152</v>
      </c>
      <c r="S458" s="8" t="s">
        <v>5890</v>
      </c>
      <c r="T458" s="12"/>
      <c r="U458" s="12"/>
    </row>
    <row r="459" customFormat="false" ht="23.85" hidden="false" customHeight="false" outlineLevel="0" collapsed="false">
      <c r="A459" s="7" t="s">
        <v>5915</v>
      </c>
      <c r="B459" s="14" t="s">
        <v>5896</v>
      </c>
      <c r="C459" s="7" t="s">
        <v>91</v>
      </c>
      <c r="D459" s="7" t="s">
        <v>471</v>
      </c>
      <c r="E459" s="7" t="s">
        <v>91</v>
      </c>
      <c r="F459" s="7" t="s">
        <v>5916</v>
      </c>
      <c r="G459" s="7" t="s">
        <v>5617</v>
      </c>
      <c r="H459" s="7" t="s">
        <v>1029</v>
      </c>
      <c r="I459" s="7" t="s">
        <v>3572</v>
      </c>
      <c r="J459" s="8" t="s">
        <v>5917</v>
      </c>
      <c r="K459" s="8" t="s">
        <v>94</v>
      </c>
      <c r="L459" s="7" t="s">
        <v>720</v>
      </c>
      <c r="M459" s="7" t="s">
        <v>5918</v>
      </c>
      <c r="N459" s="7" t="n">
        <v>2</v>
      </c>
      <c r="O459" s="7" t="s">
        <v>5898</v>
      </c>
      <c r="P459" s="7" t="s">
        <v>1150</v>
      </c>
      <c r="Q459" s="7" t="s">
        <v>1480</v>
      </c>
      <c r="R459" s="7" t="s">
        <v>1152</v>
      </c>
      <c r="S459" s="8" t="s">
        <v>5649</v>
      </c>
      <c r="T459" s="12"/>
      <c r="U459" s="12"/>
    </row>
    <row r="460" customFormat="false" ht="35.05" hidden="false" customHeight="false" outlineLevel="0" collapsed="false">
      <c r="A460" s="7" t="s">
        <v>5919</v>
      </c>
      <c r="B460" s="14" t="s">
        <v>5920</v>
      </c>
      <c r="C460" s="7" t="s">
        <v>91</v>
      </c>
      <c r="D460" s="7" t="s">
        <v>471</v>
      </c>
      <c r="E460" s="7" t="s">
        <v>91</v>
      </c>
      <c r="F460" s="7" t="s">
        <v>5920</v>
      </c>
      <c r="G460" s="7" t="s">
        <v>5617</v>
      </c>
      <c r="H460" s="7" t="s">
        <v>928</v>
      </c>
      <c r="I460" s="7" t="s">
        <v>1148</v>
      </c>
      <c r="J460" s="8" t="s">
        <v>5921</v>
      </c>
      <c r="K460" s="8" t="s">
        <v>94</v>
      </c>
      <c r="L460" s="7" t="s">
        <v>601</v>
      </c>
      <c r="M460" s="7" t="s">
        <v>5922</v>
      </c>
      <c r="N460" s="7" t="n">
        <v>3</v>
      </c>
      <c r="O460" s="7" t="s">
        <v>596</v>
      </c>
      <c r="P460" s="7" t="s">
        <v>1150</v>
      </c>
      <c r="Q460" s="7" t="s">
        <v>1480</v>
      </c>
      <c r="R460" s="7" t="s">
        <v>1152</v>
      </c>
      <c r="S460" s="8"/>
      <c r="T460" s="12"/>
      <c r="U460" s="12"/>
    </row>
    <row r="461" customFormat="false" ht="23.85" hidden="false" customHeight="false" outlineLevel="0" collapsed="false">
      <c r="A461" s="7" t="s">
        <v>5923</v>
      </c>
      <c r="B461" s="14" t="s">
        <v>5920</v>
      </c>
      <c r="C461" s="7" t="s">
        <v>91</v>
      </c>
      <c r="D461" s="7" t="s">
        <v>471</v>
      </c>
      <c r="E461" s="7" t="s">
        <v>91</v>
      </c>
      <c r="F461" s="7" t="s">
        <v>5924</v>
      </c>
      <c r="G461" s="7" t="s">
        <v>5617</v>
      </c>
      <c r="H461" s="7" t="s">
        <v>928</v>
      </c>
      <c r="I461" s="7" t="s">
        <v>1148</v>
      </c>
      <c r="J461" s="8" t="s">
        <v>5925</v>
      </c>
      <c r="K461" s="8" t="s">
        <v>94</v>
      </c>
      <c r="L461" s="7" t="s">
        <v>1009</v>
      </c>
      <c r="M461" s="7" t="s">
        <v>5926</v>
      </c>
      <c r="N461" s="7" t="n">
        <v>4</v>
      </c>
      <c r="O461" s="7" t="s">
        <v>5922</v>
      </c>
      <c r="P461" s="7" t="s">
        <v>1150</v>
      </c>
      <c r="Q461" s="7" t="s">
        <v>1480</v>
      </c>
      <c r="R461" s="7" t="s">
        <v>1152</v>
      </c>
      <c r="S461" s="8" t="s">
        <v>5624</v>
      </c>
      <c r="T461" s="12"/>
      <c r="U461" s="12"/>
    </row>
    <row r="462" customFormat="false" ht="23.85" hidden="false" customHeight="false" outlineLevel="0" collapsed="false">
      <c r="A462" s="7" t="s">
        <v>5927</v>
      </c>
      <c r="B462" s="14" t="s">
        <v>5920</v>
      </c>
      <c r="C462" s="7" t="s">
        <v>91</v>
      </c>
      <c r="D462" s="7" t="s">
        <v>471</v>
      </c>
      <c r="E462" s="7" t="s">
        <v>91</v>
      </c>
      <c r="F462" s="7" t="s">
        <v>5928</v>
      </c>
      <c r="G462" s="7" t="s">
        <v>5617</v>
      </c>
      <c r="H462" s="7" t="s">
        <v>943</v>
      </c>
      <c r="I462" s="7" t="s">
        <v>1424</v>
      </c>
      <c r="J462" s="8" t="s">
        <v>5929</v>
      </c>
      <c r="K462" s="8" t="s">
        <v>94</v>
      </c>
      <c r="L462" s="7" t="s">
        <v>1016</v>
      </c>
      <c r="M462" s="7" t="s">
        <v>5930</v>
      </c>
      <c r="N462" s="7" t="s">
        <v>952</v>
      </c>
      <c r="O462" s="7" t="s">
        <v>5922</v>
      </c>
      <c r="P462" s="7" t="s">
        <v>1150</v>
      </c>
      <c r="Q462" s="7" t="s">
        <v>1480</v>
      </c>
      <c r="R462" s="7" t="s">
        <v>1152</v>
      </c>
      <c r="S462" s="8" t="s">
        <v>5629</v>
      </c>
      <c r="T462" s="12"/>
      <c r="U462" s="12"/>
    </row>
    <row r="463" customFormat="false" ht="23.85" hidden="false" customHeight="false" outlineLevel="0" collapsed="false">
      <c r="A463" s="7" t="s">
        <v>5931</v>
      </c>
      <c r="B463" s="14" t="s">
        <v>5920</v>
      </c>
      <c r="C463" s="7" t="s">
        <v>91</v>
      </c>
      <c r="D463" s="7" t="s">
        <v>471</v>
      </c>
      <c r="E463" s="7" t="s">
        <v>91</v>
      </c>
      <c r="F463" s="7" t="s">
        <v>5932</v>
      </c>
      <c r="G463" s="7" t="s">
        <v>5617</v>
      </c>
      <c r="H463" s="7" t="s">
        <v>1029</v>
      </c>
      <c r="I463" s="7" t="s">
        <v>3572</v>
      </c>
      <c r="J463" s="8" t="s">
        <v>5933</v>
      </c>
      <c r="K463" s="8" t="s">
        <v>94</v>
      </c>
      <c r="L463" s="7" t="s">
        <v>1016</v>
      </c>
      <c r="M463" s="7" t="s">
        <v>5934</v>
      </c>
      <c r="N463" s="7" t="s">
        <v>952</v>
      </c>
      <c r="O463" s="7" t="s">
        <v>5922</v>
      </c>
      <c r="P463" s="7" t="s">
        <v>1150</v>
      </c>
      <c r="Q463" s="7" t="s">
        <v>1480</v>
      </c>
      <c r="R463" s="7" t="s">
        <v>1152</v>
      </c>
      <c r="S463" s="8" t="s">
        <v>5634</v>
      </c>
      <c r="T463" s="12"/>
      <c r="U463" s="12"/>
    </row>
    <row r="464" customFormat="false" ht="23.85" hidden="false" customHeight="false" outlineLevel="0" collapsed="false">
      <c r="A464" s="7" t="s">
        <v>5935</v>
      </c>
      <c r="B464" s="14" t="s">
        <v>5920</v>
      </c>
      <c r="C464" s="7" t="s">
        <v>91</v>
      </c>
      <c r="D464" s="7" t="s">
        <v>471</v>
      </c>
      <c r="E464" s="7" t="s">
        <v>91</v>
      </c>
      <c r="F464" s="7" t="s">
        <v>5936</v>
      </c>
      <c r="G464" s="7" t="s">
        <v>5617</v>
      </c>
      <c r="H464" s="7" t="s">
        <v>943</v>
      </c>
      <c r="I464" s="7" t="s">
        <v>1424</v>
      </c>
      <c r="J464" s="8" t="s">
        <v>5937</v>
      </c>
      <c r="K464" s="8" t="s">
        <v>94</v>
      </c>
      <c r="L464" s="7" t="s">
        <v>1016</v>
      </c>
      <c r="M464" s="7" t="s">
        <v>5938</v>
      </c>
      <c r="N464" s="7" t="s">
        <v>952</v>
      </c>
      <c r="O464" s="7" t="s">
        <v>5922</v>
      </c>
      <c r="P464" s="7" t="s">
        <v>1150</v>
      </c>
      <c r="Q464" s="7" t="s">
        <v>1480</v>
      </c>
      <c r="R464" s="7" t="s">
        <v>1152</v>
      </c>
      <c r="S464" s="8" t="s">
        <v>5639</v>
      </c>
      <c r="T464" s="12"/>
      <c r="U464" s="12"/>
    </row>
    <row r="465" customFormat="false" ht="23.85" hidden="false" customHeight="false" outlineLevel="0" collapsed="false">
      <c r="A465" s="7" t="s">
        <v>5939</v>
      </c>
      <c r="B465" s="14" t="s">
        <v>5920</v>
      </c>
      <c r="C465" s="7" t="s">
        <v>91</v>
      </c>
      <c r="D465" s="7" t="s">
        <v>471</v>
      </c>
      <c r="E465" s="7" t="s">
        <v>91</v>
      </c>
      <c r="F465" s="7" t="s">
        <v>5940</v>
      </c>
      <c r="G465" s="7" t="s">
        <v>5617</v>
      </c>
      <c r="H465" s="7" t="s">
        <v>928</v>
      </c>
      <c r="I465" s="7" t="s">
        <v>1148</v>
      </c>
      <c r="J465" s="8" t="s">
        <v>5941</v>
      </c>
      <c r="K465" s="8" t="s">
        <v>94</v>
      </c>
      <c r="L465" s="7" t="s">
        <v>1016</v>
      </c>
      <c r="M465" s="7" t="s">
        <v>5942</v>
      </c>
      <c r="N465" s="7" t="s">
        <v>952</v>
      </c>
      <c r="O465" s="7" t="s">
        <v>5922</v>
      </c>
      <c r="P465" s="7" t="s">
        <v>1150</v>
      </c>
      <c r="Q465" s="7" t="s">
        <v>1480</v>
      </c>
      <c r="R465" s="7" t="s">
        <v>1152</v>
      </c>
      <c r="S465" s="8" t="s">
        <v>5644</v>
      </c>
      <c r="T465" s="12"/>
      <c r="U465" s="12"/>
    </row>
    <row r="466" customFormat="false" ht="23.85" hidden="false" customHeight="false" outlineLevel="0" collapsed="false">
      <c r="A466" s="7" t="s">
        <v>5943</v>
      </c>
      <c r="B466" s="14" t="s">
        <v>5920</v>
      </c>
      <c r="C466" s="7" t="s">
        <v>91</v>
      </c>
      <c r="D466" s="7" t="s">
        <v>471</v>
      </c>
      <c r="E466" s="7" t="s">
        <v>91</v>
      </c>
      <c r="F466" s="7" t="s">
        <v>5944</v>
      </c>
      <c r="G466" s="7" t="s">
        <v>5617</v>
      </c>
      <c r="H466" s="7" t="s">
        <v>1029</v>
      </c>
      <c r="I466" s="7" t="s">
        <v>3572</v>
      </c>
      <c r="J466" s="8" t="s">
        <v>5945</v>
      </c>
      <c r="K466" s="8" t="s">
        <v>94</v>
      </c>
      <c r="L466" s="7" t="s">
        <v>720</v>
      </c>
      <c r="M466" s="7" t="s">
        <v>5946</v>
      </c>
      <c r="N466" s="7" t="n">
        <v>2</v>
      </c>
      <c r="O466" s="7" t="s">
        <v>5922</v>
      </c>
      <c r="P466" s="7" t="s">
        <v>1150</v>
      </c>
      <c r="Q466" s="7" t="s">
        <v>1480</v>
      </c>
      <c r="R466" s="7" t="s">
        <v>1152</v>
      </c>
      <c r="S466" s="8" t="s">
        <v>5649</v>
      </c>
      <c r="T466" s="12"/>
      <c r="U466" s="12"/>
    </row>
    <row r="467" customFormat="false" ht="35.05" hidden="false" customHeight="false" outlineLevel="0" collapsed="false">
      <c r="A467" s="7" t="s">
        <v>5947</v>
      </c>
      <c r="B467" s="14" t="s">
        <v>5948</v>
      </c>
      <c r="C467" s="7" t="s">
        <v>91</v>
      </c>
      <c r="D467" s="7" t="s">
        <v>471</v>
      </c>
      <c r="E467" s="7" t="s">
        <v>91</v>
      </c>
      <c r="F467" s="7" t="s">
        <v>5948</v>
      </c>
      <c r="G467" s="7" t="s">
        <v>5617</v>
      </c>
      <c r="H467" s="7" t="s">
        <v>928</v>
      </c>
      <c r="I467" s="7" t="s">
        <v>1148</v>
      </c>
      <c r="J467" s="8" t="s">
        <v>5949</v>
      </c>
      <c r="K467" s="8" t="s">
        <v>94</v>
      </c>
      <c r="L467" s="7" t="s">
        <v>601</v>
      </c>
      <c r="M467" s="7" t="s">
        <v>5950</v>
      </c>
      <c r="N467" s="7" t="n">
        <v>3</v>
      </c>
      <c r="O467" s="7" t="s">
        <v>596</v>
      </c>
      <c r="P467" s="7" t="s">
        <v>1150</v>
      </c>
      <c r="Q467" s="7" t="s">
        <v>1183</v>
      </c>
      <c r="R467" s="7" t="s">
        <v>1152</v>
      </c>
      <c r="S467" s="8"/>
      <c r="T467" s="12"/>
      <c r="U467" s="12"/>
    </row>
    <row r="468" customFormat="false" ht="23.85" hidden="false" customHeight="false" outlineLevel="0" collapsed="false">
      <c r="A468" s="7" t="s">
        <v>5951</v>
      </c>
      <c r="B468" s="14" t="s">
        <v>5948</v>
      </c>
      <c r="C468" s="7" t="s">
        <v>91</v>
      </c>
      <c r="D468" s="7" t="s">
        <v>471</v>
      </c>
      <c r="E468" s="7" t="s">
        <v>91</v>
      </c>
      <c r="F468" s="7" t="s">
        <v>5952</v>
      </c>
      <c r="G468" s="7" t="s">
        <v>5617</v>
      </c>
      <c r="H468" s="7" t="s">
        <v>928</v>
      </c>
      <c r="I468" s="7" t="s">
        <v>1148</v>
      </c>
      <c r="J468" s="8" t="s">
        <v>5953</v>
      </c>
      <c r="K468" s="8" t="s">
        <v>94</v>
      </c>
      <c r="L468" s="7" t="s">
        <v>1009</v>
      </c>
      <c r="M468" s="7" t="s">
        <v>5954</v>
      </c>
      <c r="N468" s="7" t="n">
        <v>4</v>
      </c>
      <c r="O468" s="7" t="s">
        <v>5950</v>
      </c>
      <c r="P468" s="7" t="s">
        <v>1150</v>
      </c>
      <c r="Q468" s="7" t="s">
        <v>1183</v>
      </c>
      <c r="R468" s="7" t="s">
        <v>1152</v>
      </c>
      <c r="S468" s="8" t="s">
        <v>5624</v>
      </c>
      <c r="T468" s="12"/>
      <c r="U468" s="12"/>
    </row>
    <row r="469" customFormat="false" ht="23.85" hidden="false" customHeight="false" outlineLevel="0" collapsed="false">
      <c r="A469" s="7" t="s">
        <v>5955</v>
      </c>
      <c r="B469" s="14" t="s">
        <v>5948</v>
      </c>
      <c r="C469" s="7" t="s">
        <v>91</v>
      </c>
      <c r="D469" s="7" t="s">
        <v>471</v>
      </c>
      <c r="E469" s="7" t="s">
        <v>91</v>
      </c>
      <c r="F469" s="7" t="s">
        <v>5956</v>
      </c>
      <c r="G469" s="7" t="s">
        <v>5617</v>
      </c>
      <c r="H469" s="7" t="s">
        <v>943</v>
      </c>
      <c r="I469" s="7" t="s">
        <v>1424</v>
      </c>
      <c r="J469" s="8" t="s">
        <v>5957</v>
      </c>
      <c r="K469" s="8" t="s">
        <v>94</v>
      </c>
      <c r="L469" s="7" t="s">
        <v>1016</v>
      </c>
      <c r="M469" s="7" t="s">
        <v>5958</v>
      </c>
      <c r="N469" s="7" t="s">
        <v>952</v>
      </c>
      <c r="O469" s="7" t="s">
        <v>5950</v>
      </c>
      <c r="P469" s="7" t="s">
        <v>1150</v>
      </c>
      <c r="Q469" s="7" t="s">
        <v>1480</v>
      </c>
      <c r="R469" s="7" t="s">
        <v>1152</v>
      </c>
      <c r="S469" s="8" t="s">
        <v>5629</v>
      </c>
      <c r="T469" s="12"/>
      <c r="U469" s="12"/>
    </row>
    <row r="470" customFormat="false" ht="23.85" hidden="false" customHeight="false" outlineLevel="0" collapsed="false">
      <c r="A470" s="7" t="s">
        <v>5959</v>
      </c>
      <c r="B470" s="14" t="s">
        <v>5948</v>
      </c>
      <c r="C470" s="7" t="s">
        <v>91</v>
      </c>
      <c r="D470" s="7" t="s">
        <v>471</v>
      </c>
      <c r="E470" s="7" t="s">
        <v>91</v>
      </c>
      <c r="F470" s="7" t="s">
        <v>5960</v>
      </c>
      <c r="G470" s="7" t="s">
        <v>5617</v>
      </c>
      <c r="H470" s="7" t="s">
        <v>1029</v>
      </c>
      <c r="I470" s="7" t="s">
        <v>3572</v>
      </c>
      <c r="J470" s="8" t="s">
        <v>5961</v>
      </c>
      <c r="K470" s="8" t="s">
        <v>94</v>
      </c>
      <c r="L470" s="7" t="s">
        <v>1016</v>
      </c>
      <c r="M470" s="7" t="s">
        <v>5962</v>
      </c>
      <c r="N470" s="7" t="s">
        <v>952</v>
      </c>
      <c r="O470" s="7" t="s">
        <v>5950</v>
      </c>
      <c r="P470" s="7" t="s">
        <v>1150</v>
      </c>
      <c r="Q470" s="7" t="s">
        <v>1480</v>
      </c>
      <c r="R470" s="7" t="s">
        <v>1152</v>
      </c>
      <c r="S470" s="8" t="s">
        <v>5634</v>
      </c>
      <c r="T470" s="12"/>
      <c r="U470" s="12"/>
    </row>
    <row r="471" customFormat="false" ht="23.85" hidden="false" customHeight="false" outlineLevel="0" collapsed="false">
      <c r="A471" s="7" t="s">
        <v>5963</v>
      </c>
      <c r="B471" s="14" t="s">
        <v>5948</v>
      </c>
      <c r="C471" s="7" t="s">
        <v>91</v>
      </c>
      <c r="D471" s="7" t="s">
        <v>471</v>
      </c>
      <c r="E471" s="7" t="s">
        <v>91</v>
      </c>
      <c r="F471" s="7" t="s">
        <v>5964</v>
      </c>
      <c r="G471" s="7" t="s">
        <v>5617</v>
      </c>
      <c r="H471" s="7" t="s">
        <v>943</v>
      </c>
      <c r="I471" s="7" t="s">
        <v>1424</v>
      </c>
      <c r="J471" s="8" t="s">
        <v>5965</v>
      </c>
      <c r="K471" s="8" t="s">
        <v>94</v>
      </c>
      <c r="L471" s="7" t="s">
        <v>1016</v>
      </c>
      <c r="M471" s="7" t="s">
        <v>5966</v>
      </c>
      <c r="N471" s="7" t="s">
        <v>952</v>
      </c>
      <c r="O471" s="7" t="s">
        <v>5950</v>
      </c>
      <c r="P471" s="7" t="s">
        <v>1150</v>
      </c>
      <c r="Q471" s="7" t="s">
        <v>1480</v>
      </c>
      <c r="R471" s="7" t="s">
        <v>1152</v>
      </c>
      <c r="S471" s="8" t="s">
        <v>5639</v>
      </c>
      <c r="T471" s="12"/>
      <c r="U471" s="12"/>
    </row>
    <row r="472" customFormat="false" ht="23.85" hidden="false" customHeight="false" outlineLevel="0" collapsed="false">
      <c r="A472" s="7" t="s">
        <v>5967</v>
      </c>
      <c r="B472" s="14" t="s">
        <v>5948</v>
      </c>
      <c r="C472" s="7" t="s">
        <v>91</v>
      </c>
      <c r="D472" s="7" t="s">
        <v>471</v>
      </c>
      <c r="E472" s="7" t="s">
        <v>91</v>
      </c>
      <c r="F472" s="7" t="s">
        <v>5968</v>
      </c>
      <c r="G472" s="7" t="s">
        <v>5617</v>
      </c>
      <c r="H472" s="7" t="s">
        <v>928</v>
      </c>
      <c r="I472" s="7" t="s">
        <v>1148</v>
      </c>
      <c r="J472" s="8" t="s">
        <v>5969</v>
      </c>
      <c r="K472" s="8" t="s">
        <v>94</v>
      </c>
      <c r="L472" s="7" t="s">
        <v>1016</v>
      </c>
      <c r="M472" s="7" t="s">
        <v>5970</v>
      </c>
      <c r="N472" s="7" t="s">
        <v>952</v>
      </c>
      <c r="O472" s="7" t="s">
        <v>5950</v>
      </c>
      <c r="P472" s="7" t="s">
        <v>1150</v>
      </c>
      <c r="Q472" s="7" t="s">
        <v>1480</v>
      </c>
      <c r="R472" s="7" t="s">
        <v>1152</v>
      </c>
      <c r="S472" s="8" t="s">
        <v>5644</v>
      </c>
      <c r="T472" s="12"/>
      <c r="U472" s="12"/>
    </row>
    <row r="473" customFormat="false" ht="23.85" hidden="false" customHeight="false" outlineLevel="0" collapsed="false">
      <c r="A473" s="7" t="s">
        <v>5971</v>
      </c>
      <c r="B473" s="14" t="s">
        <v>5948</v>
      </c>
      <c r="C473" s="7" t="s">
        <v>91</v>
      </c>
      <c r="D473" s="7" t="s">
        <v>471</v>
      </c>
      <c r="E473" s="7" t="s">
        <v>91</v>
      </c>
      <c r="F473" s="7" t="s">
        <v>5972</v>
      </c>
      <c r="G473" s="7" t="s">
        <v>5617</v>
      </c>
      <c r="H473" s="7" t="s">
        <v>1029</v>
      </c>
      <c r="I473" s="7" t="s">
        <v>3572</v>
      </c>
      <c r="J473" s="8" t="s">
        <v>5973</v>
      </c>
      <c r="K473" s="8" t="s">
        <v>94</v>
      </c>
      <c r="L473" s="7" t="s">
        <v>720</v>
      </c>
      <c r="M473" s="7" t="s">
        <v>5974</v>
      </c>
      <c r="N473" s="7" t="n">
        <v>2</v>
      </c>
      <c r="O473" s="7" t="s">
        <v>5950</v>
      </c>
      <c r="P473" s="7" t="s">
        <v>1150</v>
      </c>
      <c r="Q473" s="7" t="s">
        <v>1480</v>
      </c>
      <c r="R473" s="7" t="s">
        <v>1152</v>
      </c>
      <c r="S473" s="8" t="s">
        <v>5649</v>
      </c>
      <c r="T473" s="12"/>
      <c r="U473" s="12"/>
    </row>
    <row r="474" customFormat="false" ht="35.05" hidden="false" customHeight="false" outlineLevel="0" collapsed="false">
      <c r="A474" s="7" t="s">
        <v>5975</v>
      </c>
      <c r="B474" s="14" t="s">
        <v>5976</v>
      </c>
      <c r="C474" s="7" t="s">
        <v>91</v>
      </c>
      <c r="D474" s="7" t="s">
        <v>471</v>
      </c>
      <c r="E474" s="7" t="s">
        <v>91</v>
      </c>
      <c r="F474" s="7" t="s">
        <v>5976</v>
      </c>
      <c r="G474" s="7" t="s">
        <v>5617</v>
      </c>
      <c r="H474" s="7" t="s">
        <v>928</v>
      </c>
      <c r="I474" s="7" t="s">
        <v>1148</v>
      </c>
      <c r="J474" s="8" t="s">
        <v>5977</v>
      </c>
      <c r="K474" s="8" t="s">
        <v>94</v>
      </c>
      <c r="L474" s="7" t="s">
        <v>601</v>
      </c>
      <c r="M474" s="7" t="s">
        <v>5978</v>
      </c>
      <c r="N474" s="7" t="n">
        <v>3</v>
      </c>
      <c r="O474" s="7" t="s">
        <v>596</v>
      </c>
      <c r="P474" s="7" t="s">
        <v>1150</v>
      </c>
      <c r="Q474" s="7" t="s">
        <v>1480</v>
      </c>
      <c r="R474" s="7" t="s">
        <v>1152</v>
      </c>
      <c r="S474" s="8"/>
      <c r="T474" s="12"/>
      <c r="U474" s="12"/>
    </row>
    <row r="475" customFormat="false" ht="23.85" hidden="false" customHeight="false" outlineLevel="0" collapsed="false">
      <c r="A475" s="7" t="s">
        <v>5979</v>
      </c>
      <c r="B475" s="14" t="s">
        <v>5976</v>
      </c>
      <c r="C475" s="7" t="s">
        <v>91</v>
      </c>
      <c r="D475" s="7" t="s">
        <v>471</v>
      </c>
      <c r="E475" s="7" t="s">
        <v>91</v>
      </c>
      <c r="F475" s="7" t="s">
        <v>5980</v>
      </c>
      <c r="G475" s="7" t="s">
        <v>5617</v>
      </c>
      <c r="H475" s="7" t="s">
        <v>928</v>
      </c>
      <c r="I475" s="7" t="s">
        <v>1148</v>
      </c>
      <c r="J475" s="8" t="s">
        <v>5981</v>
      </c>
      <c r="K475" s="8" t="s">
        <v>94</v>
      </c>
      <c r="L475" s="7" t="s">
        <v>1009</v>
      </c>
      <c r="M475" s="7" t="s">
        <v>5982</v>
      </c>
      <c r="N475" s="7" t="n">
        <v>4</v>
      </c>
      <c r="O475" s="7" t="s">
        <v>5978</v>
      </c>
      <c r="P475" s="7" t="s">
        <v>1150</v>
      </c>
      <c r="Q475" s="7" t="s">
        <v>1480</v>
      </c>
      <c r="R475" s="7" t="s">
        <v>1152</v>
      </c>
      <c r="S475" s="8" t="s">
        <v>5624</v>
      </c>
      <c r="T475" s="12"/>
      <c r="U475" s="12"/>
    </row>
    <row r="476" customFormat="false" ht="23.85" hidden="false" customHeight="false" outlineLevel="0" collapsed="false">
      <c r="A476" s="7" t="s">
        <v>5983</v>
      </c>
      <c r="B476" s="14" t="s">
        <v>5976</v>
      </c>
      <c r="C476" s="7" t="s">
        <v>91</v>
      </c>
      <c r="D476" s="7" t="s">
        <v>471</v>
      </c>
      <c r="E476" s="7" t="s">
        <v>91</v>
      </c>
      <c r="F476" s="7" t="s">
        <v>5984</v>
      </c>
      <c r="G476" s="7" t="s">
        <v>5617</v>
      </c>
      <c r="H476" s="7" t="s">
        <v>943</v>
      </c>
      <c r="I476" s="7" t="s">
        <v>1424</v>
      </c>
      <c r="J476" s="8" t="s">
        <v>5985</v>
      </c>
      <c r="K476" s="8" t="s">
        <v>94</v>
      </c>
      <c r="L476" s="7" t="s">
        <v>1016</v>
      </c>
      <c r="M476" s="7" t="s">
        <v>5986</v>
      </c>
      <c r="N476" s="7" t="s">
        <v>952</v>
      </c>
      <c r="O476" s="7" t="s">
        <v>5978</v>
      </c>
      <c r="P476" s="7" t="s">
        <v>1150</v>
      </c>
      <c r="Q476" s="7" t="s">
        <v>1480</v>
      </c>
      <c r="R476" s="7" t="s">
        <v>1152</v>
      </c>
      <c r="S476" s="8" t="s">
        <v>5629</v>
      </c>
      <c r="T476" s="12"/>
      <c r="U476" s="12"/>
    </row>
    <row r="477" customFormat="false" ht="23.85" hidden="false" customHeight="false" outlineLevel="0" collapsed="false">
      <c r="A477" s="7" t="s">
        <v>5987</v>
      </c>
      <c r="B477" s="14" t="s">
        <v>5976</v>
      </c>
      <c r="C477" s="7" t="s">
        <v>91</v>
      </c>
      <c r="D477" s="7" t="s">
        <v>471</v>
      </c>
      <c r="E477" s="7" t="s">
        <v>91</v>
      </c>
      <c r="F477" s="7" t="s">
        <v>5988</v>
      </c>
      <c r="G477" s="7" t="s">
        <v>5617</v>
      </c>
      <c r="H477" s="7" t="s">
        <v>1029</v>
      </c>
      <c r="I477" s="7" t="s">
        <v>3572</v>
      </c>
      <c r="J477" s="8" t="s">
        <v>5989</v>
      </c>
      <c r="K477" s="8" t="s">
        <v>94</v>
      </c>
      <c r="L477" s="7" t="s">
        <v>1016</v>
      </c>
      <c r="M477" s="7" t="s">
        <v>5990</v>
      </c>
      <c r="N477" s="7" t="s">
        <v>952</v>
      </c>
      <c r="O477" s="7" t="s">
        <v>5978</v>
      </c>
      <c r="P477" s="7" t="s">
        <v>1150</v>
      </c>
      <c r="Q477" s="7" t="s">
        <v>1480</v>
      </c>
      <c r="R477" s="7" t="s">
        <v>1152</v>
      </c>
      <c r="S477" s="8" t="s">
        <v>5634</v>
      </c>
      <c r="T477" s="12"/>
      <c r="U477" s="12"/>
    </row>
    <row r="478" customFormat="false" ht="23.85" hidden="false" customHeight="false" outlineLevel="0" collapsed="false">
      <c r="A478" s="7" t="s">
        <v>5991</v>
      </c>
      <c r="B478" s="14" t="s">
        <v>5976</v>
      </c>
      <c r="C478" s="7" t="s">
        <v>91</v>
      </c>
      <c r="D478" s="7" t="s">
        <v>471</v>
      </c>
      <c r="E478" s="7" t="s">
        <v>91</v>
      </c>
      <c r="F478" s="7" t="s">
        <v>5992</v>
      </c>
      <c r="G478" s="7" t="s">
        <v>5617</v>
      </c>
      <c r="H478" s="7" t="s">
        <v>943</v>
      </c>
      <c r="I478" s="7" t="s">
        <v>1424</v>
      </c>
      <c r="J478" s="8" t="s">
        <v>5993</v>
      </c>
      <c r="K478" s="8" t="s">
        <v>94</v>
      </c>
      <c r="L478" s="7" t="s">
        <v>1016</v>
      </c>
      <c r="M478" s="7" t="s">
        <v>5994</v>
      </c>
      <c r="N478" s="7" t="s">
        <v>952</v>
      </c>
      <c r="O478" s="7" t="s">
        <v>5978</v>
      </c>
      <c r="P478" s="7" t="s">
        <v>1150</v>
      </c>
      <c r="Q478" s="7" t="s">
        <v>1480</v>
      </c>
      <c r="R478" s="7" t="s">
        <v>1152</v>
      </c>
      <c r="S478" s="8" t="s">
        <v>5639</v>
      </c>
      <c r="T478" s="12"/>
      <c r="U478" s="12"/>
    </row>
    <row r="479" customFormat="false" ht="23.85" hidden="false" customHeight="false" outlineLevel="0" collapsed="false">
      <c r="A479" s="7" t="s">
        <v>5995</v>
      </c>
      <c r="B479" s="14" t="s">
        <v>5976</v>
      </c>
      <c r="C479" s="7" t="s">
        <v>91</v>
      </c>
      <c r="D479" s="7" t="s">
        <v>471</v>
      </c>
      <c r="E479" s="7" t="s">
        <v>91</v>
      </c>
      <c r="F479" s="7" t="s">
        <v>5996</v>
      </c>
      <c r="G479" s="7" t="s">
        <v>5617</v>
      </c>
      <c r="H479" s="7" t="s">
        <v>928</v>
      </c>
      <c r="I479" s="7" t="s">
        <v>1148</v>
      </c>
      <c r="J479" s="8" t="s">
        <v>5997</v>
      </c>
      <c r="K479" s="8" t="s">
        <v>94</v>
      </c>
      <c r="L479" s="7" t="s">
        <v>1016</v>
      </c>
      <c r="M479" s="7" t="s">
        <v>5998</v>
      </c>
      <c r="N479" s="7" t="s">
        <v>952</v>
      </c>
      <c r="O479" s="7" t="s">
        <v>5978</v>
      </c>
      <c r="P479" s="7" t="s">
        <v>1150</v>
      </c>
      <c r="Q479" s="7" t="s">
        <v>1480</v>
      </c>
      <c r="R479" s="7" t="s">
        <v>1152</v>
      </c>
      <c r="S479" s="8" t="s">
        <v>5644</v>
      </c>
      <c r="T479" s="12"/>
      <c r="U479" s="12"/>
    </row>
    <row r="480" customFormat="false" ht="23.85" hidden="false" customHeight="false" outlineLevel="0" collapsed="false">
      <c r="A480" s="7" t="s">
        <v>5999</v>
      </c>
      <c r="B480" s="14" t="s">
        <v>5976</v>
      </c>
      <c r="C480" s="7" t="s">
        <v>91</v>
      </c>
      <c r="D480" s="7" t="s">
        <v>471</v>
      </c>
      <c r="E480" s="7" t="s">
        <v>91</v>
      </c>
      <c r="F480" s="7" t="s">
        <v>6000</v>
      </c>
      <c r="G480" s="7" t="s">
        <v>5617</v>
      </c>
      <c r="H480" s="7" t="s">
        <v>1029</v>
      </c>
      <c r="I480" s="7" t="s">
        <v>3572</v>
      </c>
      <c r="J480" s="8" t="s">
        <v>6001</v>
      </c>
      <c r="K480" s="8" t="s">
        <v>94</v>
      </c>
      <c r="L480" s="7" t="s">
        <v>720</v>
      </c>
      <c r="M480" s="7" t="s">
        <v>6002</v>
      </c>
      <c r="N480" s="7" t="n">
        <v>2</v>
      </c>
      <c r="O480" s="7" t="s">
        <v>5978</v>
      </c>
      <c r="P480" s="7" t="s">
        <v>1150</v>
      </c>
      <c r="Q480" s="7" t="s">
        <v>1480</v>
      </c>
      <c r="R480" s="7" t="s">
        <v>1152</v>
      </c>
      <c r="S480" s="8" t="s">
        <v>5649</v>
      </c>
      <c r="T480" s="12"/>
      <c r="U480" s="12"/>
    </row>
    <row r="481" customFormat="false" ht="35.05" hidden="false" customHeight="false" outlineLevel="0" collapsed="false">
      <c r="A481" s="7" t="s">
        <v>6003</v>
      </c>
      <c r="B481" s="14" t="s">
        <v>6004</v>
      </c>
      <c r="C481" s="7" t="s">
        <v>91</v>
      </c>
      <c r="D481" s="7" t="s">
        <v>471</v>
      </c>
      <c r="E481" s="7" t="s">
        <v>91</v>
      </c>
      <c r="F481" s="7" t="s">
        <v>6004</v>
      </c>
      <c r="G481" s="7" t="s">
        <v>5617</v>
      </c>
      <c r="H481" s="7" t="s">
        <v>928</v>
      </c>
      <c r="I481" s="7" t="s">
        <v>1148</v>
      </c>
      <c r="J481" s="8" t="s">
        <v>6005</v>
      </c>
      <c r="K481" s="8" t="s">
        <v>94</v>
      </c>
      <c r="L481" s="7" t="s">
        <v>601</v>
      </c>
      <c r="M481" s="7" t="s">
        <v>6006</v>
      </c>
      <c r="N481" s="7" t="n">
        <v>3</v>
      </c>
      <c r="O481" s="7" t="s">
        <v>596</v>
      </c>
      <c r="P481" s="7" t="s">
        <v>1150</v>
      </c>
      <c r="Q481" s="7" t="s">
        <v>1480</v>
      </c>
      <c r="R481" s="7" t="s">
        <v>1152</v>
      </c>
      <c r="S481" s="8"/>
      <c r="T481" s="12"/>
      <c r="U481" s="12"/>
    </row>
    <row r="482" customFormat="false" ht="23.85" hidden="false" customHeight="false" outlineLevel="0" collapsed="false">
      <c r="A482" s="7" t="s">
        <v>6007</v>
      </c>
      <c r="B482" s="14" t="s">
        <v>6004</v>
      </c>
      <c r="C482" s="7" t="s">
        <v>91</v>
      </c>
      <c r="D482" s="7" t="s">
        <v>471</v>
      </c>
      <c r="E482" s="7" t="s">
        <v>91</v>
      </c>
      <c r="F482" s="7" t="s">
        <v>6008</v>
      </c>
      <c r="G482" s="7" t="s">
        <v>5617</v>
      </c>
      <c r="H482" s="7" t="s">
        <v>928</v>
      </c>
      <c r="I482" s="7" t="s">
        <v>1148</v>
      </c>
      <c r="J482" s="8" t="s">
        <v>6009</v>
      </c>
      <c r="K482" s="8" t="s">
        <v>94</v>
      </c>
      <c r="L482" s="7" t="s">
        <v>1009</v>
      </c>
      <c r="M482" s="7" t="s">
        <v>6010</v>
      </c>
      <c r="N482" s="7" t="n">
        <v>4</v>
      </c>
      <c r="O482" s="7" t="s">
        <v>6006</v>
      </c>
      <c r="P482" s="7" t="s">
        <v>1150</v>
      </c>
      <c r="Q482" s="7" t="s">
        <v>1480</v>
      </c>
      <c r="R482" s="7" t="s">
        <v>1152</v>
      </c>
      <c r="S482" s="8" t="s">
        <v>5624</v>
      </c>
      <c r="T482" s="12"/>
      <c r="U482" s="12"/>
    </row>
    <row r="483" customFormat="false" ht="23.85" hidden="false" customHeight="false" outlineLevel="0" collapsed="false">
      <c r="A483" s="7" t="s">
        <v>6011</v>
      </c>
      <c r="B483" s="14" t="s">
        <v>6004</v>
      </c>
      <c r="C483" s="7" t="s">
        <v>91</v>
      </c>
      <c r="D483" s="7" t="s">
        <v>471</v>
      </c>
      <c r="E483" s="7" t="s">
        <v>91</v>
      </c>
      <c r="F483" s="7" t="s">
        <v>6012</v>
      </c>
      <c r="G483" s="7" t="s">
        <v>5617</v>
      </c>
      <c r="H483" s="7" t="s">
        <v>943</v>
      </c>
      <c r="I483" s="7" t="s">
        <v>1424</v>
      </c>
      <c r="J483" s="8" t="s">
        <v>6013</v>
      </c>
      <c r="K483" s="8" t="s">
        <v>94</v>
      </c>
      <c r="L483" s="7" t="s">
        <v>1016</v>
      </c>
      <c r="M483" s="7" t="s">
        <v>6014</v>
      </c>
      <c r="N483" s="7" t="s">
        <v>952</v>
      </c>
      <c r="O483" s="7" t="s">
        <v>6006</v>
      </c>
      <c r="P483" s="7" t="s">
        <v>1150</v>
      </c>
      <c r="Q483" s="7" t="s">
        <v>1480</v>
      </c>
      <c r="R483" s="7" t="s">
        <v>1152</v>
      </c>
      <c r="S483" s="8" t="s">
        <v>5629</v>
      </c>
      <c r="T483" s="12"/>
      <c r="U483" s="12"/>
    </row>
    <row r="484" customFormat="false" ht="23.85" hidden="false" customHeight="false" outlineLevel="0" collapsed="false">
      <c r="A484" s="7" t="s">
        <v>6015</v>
      </c>
      <c r="B484" s="14" t="s">
        <v>6004</v>
      </c>
      <c r="C484" s="7" t="s">
        <v>91</v>
      </c>
      <c r="D484" s="7" t="s">
        <v>471</v>
      </c>
      <c r="E484" s="7" t="s">
        <v>91</v>
      </c>
      <c r="F484" s="7" t="s">
        <v>6016</v>
      </c>
      <c r="G484" s="7" t="s">
        <v>5617</v>
      </c>
      <c r="H484" s="7" t="s">
        <v>1029</v>
      </c>
      <c r="I484" s="7" t="s">
        <v>3572</v>
      </c>
      <c r="J484" s="8" t="s">
        <v>6017</v>
      </c>
      <c r="K484" s="8" t="s">
        <v>94</v>
      </c>
      <c r="L484" s="7" t="s">
        <v>1016</v>
      </c>
      <c r="M484" s="7" t="s">
        <v>6018</v>
      </c>
      <c r="N484" s="7" t="s">
        <v>952</v>
      </c>
      <c r="O484" s="7" t="s">
        <v>6006</v>
      </c>
      <c r="P484" s="7" t="s">
        <v>1150</v>
      </c>
      <c r="Q484" s="7" t="s">
        <v>1480</v>
      </c>
      <c r="R484" s="7" t="s">
        <v>1152</v>
      </c>
      <c r="S484" s="8" t="s">
        <v>5634</v>
      </c>
      <c r="T484" s="12"/>
      <c r="U484" s="12"/>
    </row>
    <row r="485" customFormat="false" ht="23.85" hidden="false" customHeight="false" outlineLevel="0" collapsed="false">
      <c r="A485" s="7" t="s">
        <v>6019</v>
      </c>
      <c r="B485" s="14" t="s">
        <v>6004</v>
      </c>
      <c r="C485" s="7" t="s">
        <v>91</v>
      </c>
      <c r="D485" s="7" t="s">
        <v>471</v>
      </c>
      <c r="E485" s="7" t="s">
        <v>91</v>
      </c>
      <c r="F485" s="7" t="s">
        <v>6020</v>
      </c>
      <c r="G485" s="7" t="s">
        <v>5617</v>
      </c>
      <c r="H485" s="7" t="s">
        <v>943</v>
      </c>
      <c r="I485" s="7" t="s">
        <v>1424</v>
      </c>
      <c r="J485" s="8" t="s">
        <v>6021</v>
      </c>
      <c r="K485" s="8" t="s">
        <v>94</v>
      </c>
      <c r="L485" s="7" t="s">
        <v>1016</v>
      </c>
      <c r="M485" s="7" t="s">
        <v>6022</v>
      </c>
      <c r="N485" s="7" t="s">
        <v>952</v>
      </c>
      <c r="O485" s="7" t="s">
        <v>6006</v>
      </c>
      <c r="P485" s="7" t="s">
        <v>1150</v>
      </c>
      <c r="Q485" s="7" t="s">
        <v>1480</v>
      </c>
      <c r="R485" s="7" t="s">
        <v>1152</v>
      </c>
      <c r="S485" s="8" t="s">
        <v>5639</v>
      </c>
      <c r="T485" s="12"/>
      <c r="U485" s="12"/>
    </row>
    <row r="486" customFormat="false" ht="23.85" hidden="false" customHeight="false" outlineLevel="0" collapsed="false">
      <c r="A486" s="7" t="s">
        <v>6023</v>
      </c>
      <c r="B486" s="14" t="s">
        <v>6004</v>
      </c>
      <c r="C486" s="7" t="s">
        <v>91</v>
      </c>
      <c r="D486" s="7" t="s">
        <v>471</v>
      </c>
      <c r="E486" s="7" t="s">
        <v>91</v>
      </c>
      <c r="F486" s="7" t="s">
        <v>6024</v>
      </c>
      <c r="G486" s="7" t="s">
        <v>5617</v>
      </c>
      <c r="H486" s="7" t="s">
        <v>928</v>
      </c>
      <c r="I486" s="7" t="s">
        <v>1148</v>
      </c>
      <c r="J486" s="8" t="s">
        <v>6025</v>
      </c>
      <c r="K486" s="8" t="s">
        <v>94</v>
      </c>
      <c r="L486" s="7" t="s">
        <v>1016</v>
      </c>
      <c r="M486" s="7" t="s">
        <v>6026</v>
      </c>
      <c r="N486" s="7" t="s">
        <v>952</v>
      </c>
      <c r="O486" s="7" t="s">
        <v>6006</v>
      </c>
      <c r="P486" s="7" t="s">
        <v>1150</v>
      </c>
      <c r="Q486" s="7" t="s">
        <v>1480</v>
      </c>
      <c r="R486" s="7" t="s">
        <v>1152</v>
      </c>
      <c r="S486" s="8" t="s">
        <v>5644</v>
      </c>
      <c r="T486" s="12"/>
      <c r="U486" s="12"/>
    </row>
    <row r="487" customFormat="false" ht="23.85" hidden="false" customHeight="false" outlineLevel="0" collapsed="false">
      <c r="A487" s="7" t="s">
        <v>6027</v>
      </c>
      <c r="B487" s="14" t="s">
        <v>6004</v>
      </c>
      <c r="C487" s="7" t="s">
        <v>91</v>
      </c>
      <c r="D487" s="7" t="s">
        <v>471</v>
      </c>
      <c r="E487" s="7" t="s">
        <v>91</v>
      </c>
      <c r="F487" s="7" t="s">
        <v>6028</v>
      </c>
      <c r="G487" s="7" t="s">
        <v>5617</v>
      </c>
      <c r="H487" s="7" t="s">
        <v>1029</v>
      </c>
      <c r="I487" s="7" t="s">
        <v>3572</v>
      </c>
      <c r="J487" s="8" t="s">
        <v>6029</v>
      </c>
      <c r="K487" s="8" t="s">
        <v>94</v>
      </c>
      <c r="L487" s="7" t="s">
        <v>720</v>
      </c>
      <c r="M487" s="7" t="s">
        <v>6030</v>
      </c>
      <c r="N487" s="7" t="n">
        <v>2</v>
      </c>
      <c r="O487" s="7" t="s">
        <v>6006</v>
      </c>
      <c r="P487" s="7" t="s">
        <v>1150</v>
      </c>
      <c r="Q487" s="7" t="s">
        <v>1480</v>
      </c>
      <c r="R487" s="7" t="s">
        <v>1152</v>
      </c>
      <c r="S487" s="8" t="s">
        <v>5649</v>
      </c>
      <c r="T487" s="12"/>
      <c r="U487" s="12"/>
    </row>
    <row r="488" customFormat="false" ht="35.05" hidden="false" customHeight="false" outlineLevel="0" collapsed="false">
      <c r="A488" s="7" t="s">
        <v>6031</v>
      </c>
      <c r="B488" s="14" t="s">
        <v>6032</v>
      </c>
      <c r="C488" s="7" t="s">
        <v>91</v>
      </c>
      <c r="D488" s="7" t="s">
        <v>471</v>
      </c>
      <c r="E488" s="7" t="s">
        <v>91</v>
      </c>
      <c r="F488" s="7" t="s">
        <v>6032</v>
      </c>
      <c r="G488" s="7" t="s">
        <v>5617</v>
      </c>
      <c r="H488" s="7" t="s">
        <v>928</v>
      </c>
      <c r="I488" s="7" t="s">
        <v>1148</v>
      </c>
      <c r="J488" s="8" t="s">
        <v>6033</v>
      </c>
      <c r="K488" s="8" t="s">
        <v>94</v>
      </c>
      <c r="L488" s="7" t="s">
        <v>601</v>
      </c>
      <c r="M488" s="7" t="s">
        <v>6034</v>
      </c>
      <c r="N488" s="7" t="n">
        <v>3</v>
      </c>
      <c r="O488" s="7" t="s">
        <v>596</v>
      </c>
      <c r="P488" s="7" t="s">
        <v>1150</v>
      </c>
      <c r="Q488" s="7" t="s">
        <v>1480</v>
      </c>
      <c r="R488" s="7" t="s">
        <v>1152</v>
      </c>
      <c r="S488" s="8"/>
      <c r="T488" s="12"/>
      <c r="U488" s="12"/>
    </row>
    <row r="489" customFormat="false" ht="23.85" hidden="false" customHeight="false" outlineLevel="0" collapsed="false">
      <c r="A489" s="7" t="s">
        <v>6035</v>
      </c>
      <c r="B489" s="14" t="s">
        <v>6032</v>
      </c>
      <c r="C489" s="7" t="s">
        <v>91</v>
      </c>
      <c r="D489" s="7" t="s">
        <v>471</v>
      </c>
      <c r="E489" s="7" t="s">
        <v>91</v>
      </c>
      <c r="F489" s="7" t="s">
        <v>6036</v>
      </c>
      <c r="G489" s="7" t="s">
        <v>5617</v>
      </c>
      <c r="H489" s="7" t="s">
        <v>928</v>
      </c>
      <c r="I489" s="7" t="s">
        <v>1148</v>
      </c>
      <c r="J489" s="8" t="s">
        <v>6037</v>
      </c>
      <c r="K489" s="8" t="s">
        <v>94</v>
      </c>
      <c r="L489" s="7" t="s">
        <v>1009</v>
      </c>
      <c r="M489" s="7" t="s">
        <v>6038</v>
      </c>
      <c r="N489" s="7" t="n">
        <v>4</v>
      </c>
      <c r="O489" s="7" t="s">
        <v>6034</v>
      </c>
      <c r="P489" s="7" t="s">
        <v>1150</v>
      </c>
      <c r="Q489" s="7" t="s">
        <v>1480</v>
      </c>
      <c r="R489" s="7" t="s">
        <v>1152</v>
      </c>
      <c r="S489" s="8" t="s">
        <v>5624</v>
      </c>
      <c r="T489" s="12"/>
      <c r="U489" s="12"/>
    </row>
    <row r="490" customFormat="false" ht="23.85" hidden="false" customHeight="false" outlineLevel="0" collapsed="false">
      <c r="A490" s="7" t="s">
        <v>6039</v>
      </c>
      <c r="B490" s="14" t="s">
        <v>6032</v>
      </c>
      <c r="C490" s="7" t="s">
        <v>91</v>
      </c>
      <c r="D490" s="7" t="s">
        <v>471</v>
      </c>
      <c r="E490" s="7" t="s">
        <v>91</v>
      </c>
      <c r="F490" s="7" t="s">
        <v>6040</v>
      </c>
      <c r="G490" s="7" t="s">
        <v>5617</v>
      </c>
      <c r="H490" s="7" t="s">
        <v>943</v>
      </c>
      <c r="I490" s="7" t="s">
        <v>1424</v>
      </c>
      <c r="J490" s="8" t="s">
        <v>6041</v>
      </c>
      <c r="K490" s="8" t="s">
        <v>94</v>
      </c>
      <c r="L490" s="7" t="s">
        <v>1016</v>
      </c>
      <c r="M490" s="7" t="s">
        <v>6042</v>
      </c>
      <c r="N490" s="7" t="s">
        <v>952</v>
      </c>
      <c r="O490" s="7" t="s">
        <v>6034</v>
      </c>
      <c r="P490" s="7" t="s">
        <v>1150</v>
      </c>
      <c r="Q490" s="7" t="s">
        <v>1480</v>
      </c>
      <c r="R490" s="7" t="s">
        <v>1152</v>
      </c>
      <c r="S490" s="8" t="s">
        <v>5629</v>
      </c>
      <c r="T490" s="12"/>
      <c r="U490" s="12"/>
    </row>
    <row r="491" customFormat="false" ht="23.85" hidden="false" customHeight="false" outlineLevel="0" collapsed="false">
      <c r="A491" s="7" t="s">
        <v>6043</v>
      </c>
      <c r="B491" s="14" t="s">
        <v>6032</v>
      </c>
      <c r="C491" s="7" t="s">
        <v>91</v>
      </c>
      <c r="D491" s="7" t="s">
        <v>471</v>
      </c>
      <c r="E491" s="7" t="s">
        <v>91</v>
      </c>
      <c r="F491" s="7" t="s">
        <v>6044</v>
      </c>
      <c r="G491" s="7" t="s">
        <v>5617</v>
      </c>
      <c r="H491" s="7" t="s">
        <v>1029</v>
      </c>
      <c r="I491" s="7" t="s">
        <v>3572</v>
      </c>
      <c r="J491" s="8" t="s">
        <v>6045</v>
      </c>
      <c r="K491" s="8" t="s">
        <v>94</v>
      </c>
      <c r="L491" s="7" t="s">
        <v>1016</v>
      </c>
      <c r="M491" s="7" t="s">
        <v>6046</v>
      </c>
      <c r="N491" s="7" t="s">
        <v>952</v>
      </c>
      <c r="O491" s="7" t="s">
        <v>6034</v>
      </c>
      <c r="P491" s="7" t="s">
        <v>1150</v>
      </c>
      <c r="Q491" s="7" t="s">
        <v>1480</v>
      </c>
      <c r="R491" s="7" t="s">
        <v>1152</v>
      </c>
      <c r="S491" s="8" t="s">
        <v>5634</v>
      </c>
      <c r="T491" s="12"/>
      <c r="U491" s="12"/>
    </row>
    <row r="492" customFormat="false" ht="23.85" hidden="false" customHeight="false" outlineLevel="0" collapsed="false">
      <c r="A492" s="7" t="s">
        <v>6047</v>
      </c>
      <c r="B492" s="14" t="s">
        <v>6032</v>
      </c>
      <c r="C492" s="7" t="s">
        <v>91</v>
      </c>
      <c r="D492" s="7" t="s">
        <v>471</v>
      </c>
      <c r="E492" s="7" t="s">
        <v>91</v>
      </c>
      <c r="F492" s="7" t="s">
        <v>6048</v>
      </c>
      <c r="G492" s="7" t="s">
        <v>5617</v>
      </c>
      <c r="H492" s="7" t="s">
        <v>943</v>
      </c>
      <c r="I492" s="7" t="s">
        <v>1424</v>
      </c>
      <c r="J492" s="8" t="s">
        <v>6049</v>
      </c>
      <c r="K492" s="8" t="s">
        <v>94</v>
      </c>
      <c r="L492" s="7" t="s">
        <v>1016</v>
      </c>
      <c r="M492" s="7" t="s">
        <v>6050</v>
      </c>
      <c r="N492" s="7" t="s">
        <v>952</v>
      </c>
      <c r="O492" s="7" t="s">
        <v>6034</v>
      </c>
      <c r="P492" s="7" t="s">
        <v>1150</v>
      </c>
      <c r="Q492" s="7" t="s">
        <v>1480</v>
      </c>
      <c r="R492" s="7" t="s">
        <v>1152</v>
      </c>
      <c r="S492" s="8" t="s">
        <v>5639</v>
      </c>
      <c r="T492" s="12"/>
      <c r="U492" s="12"/>
    </row>
    <row r="493" customFormat="false" ht="23.85" hidden="false" customHeight="false" outlineLevel="0" collapsed="false">
      <c r="A493" s="7" t="s">
        <v>6051</v>
      </c>
      <c r="B493" s="14" t="s">
        <v>6032</v>
      </c>
      <c r="C493" s="7" t="s">
        <v>91</v>
      </c>
      <c r="D493" s="7" t="s">
        <v>471</v>
      </c>
      <c r="E493" s="7" t="s">
        <v>91</v>
      </c>
      <c r="F493" s="7" t="s">
        <v>6052</v>
      </c>
      <c r="G493" s="7" t="s">
        <v>5617</v>
      </c>
      <c r="H493" s="7" t="s">
        <v>928</v>
      </c>
      <c r="I493" s="7" t="s">
        <v>1148</v>
      </c>
      <c r="J493" s="8" t="s">
        <v>6053</v>
      </c>
      <c r="K493" s="8" t="s">
        <v>94</v>
      </c>
      <c r="L493" s="7" t="s">
        <v>1016</v>
      </c>
      <c r="M493" s="7" t="s">
        <v>6054</v>
      </c>
      <c r="N493" s="7" t="s">
        <v>952</v>
      </c>
      <c r="O493" s="7" t="s">
        <v>6034</v>
      </c>
      <c r="P493" s="7" t="s">
        <v>1150</v>
      </c>
      <c r="Q493" s="7" t="s">
        <v>1480</v>
      </c>
      <c r="R493" s="7" t="s">
        <v>1152</v>
      </c>
      <c r="S493" s="8" t="s">
        <v>5644</v>
      </c>
      <c r="T493" s="12"/>
      <c r="U493" s="12"/>
    </row>
    <row r="494" customFormat="false" ht="23.85" hidden="false" customHeight="false" outlineLevel="0" collapsed="false">
      <c r="A494" s="7" t="s">
        <v>6055</v>
      </c>
      <c r="B494" s="14" t="s">
        <v>6032</v>
      </c>
      <c r="C494" s="7" t="s">
        <v>91</v>
      </c>
      <c r="D494" s="7" t="s">
        <v>471</v>
      </c>
      <c r="E494" s="7" t="s">
        <v>91</v>
      </c>
      <c r="F494" s="7" t="s">
        <v>6056</v>
      </c>
      <c r="G494" s="7" t="s">
        <v>5617</v>
      </c>
      <c r="H494" s="7" t="s">
        <v>1029</v>
      </c>
      <c r="I494" s="7" t="s">
        <v>3572</v>
      </c>
      <c r="J494" s="8" t="s">
        <v>6057</v>
      </c>
      <c r="K494" s="8" t="s">
        <v>94</v>
      </c>
      <c r="L494" s="7" t="s">
        <v>720</v>
      </c>
      <c r="M494" s="7" t="s">
        <v>6058</v>
      </c>
      <c r="N494" s="7" t="n">
        <v>2</v>
      </c>
      <c r="O494" s="7" t="s">
        <v>6034</v>
      </c>
      <c r="P494" s="7" t="s">
        <v>1150</v>
      </c>
      <c r="Q494" s="7" t="s">
        <v>1480</v>
      </c>
      <c r="R494" s="7" t="s">
        <v>1152</v>
      </c>
      <c r="S494" s="8" t="s">
        <v>5649</v>
      </c>
      <c r="T494" s="12"/>
      <c r="U494" s="12"/>
    </row>
    <row r="495" customFormat="false" ht="35.05" hidden="false" customHeight="false" outlineLevel="0" collapsed="false">
      <c r="A495" s="7" t="s">
        <v>6059</v>
      </c>
      <c r="B495" s="14" t="s">
        <v>6060</v>
      </c>
      <c r="C495" s="7" t="s">
        <v>91</v>
      </c>
      <c r="D495" s="7" t="s">
        <v>471</v>
      </c>
      <c r="E495" s="7" t="s">
        <v>91</v>
      </c>
      <c r="F495" s="7" t="s">
        <v>6060</v>
      </c>
      <c r="G495" s="7" t="s">
        <v>5617</v>
      </c>
      <c r="H495" s="7" t="s">
        <v>928</v>
      </c>
      <c r="I495" s="7" t="s">
        <v>1148</v>
      </c>
      <c r="J495" s="8" t="s">
        <v>6061</v>
      </c>
      <c r="K495" s="8" t="s">
        <v>94</v>
      </c>
      <c r="L495" s="7" t="s">
        <v>601</v>
      </c>
      <c r="M495" s="7" t="s">
        <v>6062</v>
      </c>
      <c r="N495" s="7" t="n">
        <v>3</v>
      </c>
      <c r="O495" s="7" t="s">
        <v>596</v>
      </c>
      <c r="P495" s="7" t="s">
        <v>1150</v>
      </c>
      <c r="Q495" s="7" t="s">
        <v>1183</v>
      </c>
      <c r="R495" s="7" t="s">
        <v>1152</v>
      </c>
      <c r="S495" s="8"/>
      <c r="T495" s="12"/>
      <c r="U495" s="12"/>
    </row>
    <row r="496" customFormat="false" ht="23.85" hidden="false" customHeight="false" outlineLevel="0" collapsed="false">
      <c r="A496" s="7" t="s">
        <v>6063</v>
      </c>
      <c r="B496" s="14" t="s">
        <v>6060</v>
      </c>
      <c r="C496" s="7" t="s">
        <v>91</v>
      </c>
      <c r="D496" s="7" t="s">
        <v>471</v>
      </c>
      <c r="E496" s="7" t="s">
        <v>91</v>
      </c>
      <c r="F496" s="7" t="s">
        <v>6064</v>
      </c>
      <c r="G496" s="7" t="s">
        <v>5617</v>
      </c>
      <c r="H496" s="7" t="s">
        <v>928</v>
      </c>
      <c r="I496" s="7" t="s">
        <v>1148</v>
      </c>
      <c r="J496" s="8" t="s">
        <v>6065</v>
      </c>
      <c r="K496" s="8" t="s">
        <v>94</v>
      </c>
      <c r="L496" s="7" t="s">
        <v>1009</v>
      </c>
      <c r="M496" s="7" t="s">
        <v>6066</v>
      </c>
      <c r="N496" s="7" t="n">
        <v>4</v>
      </c>
      <c r="O496" s="7" t="s">
        <v>6062</v>
      </c>
      <c r="P496" s="7" t="s">
        <v>1150</v>
      </c>
      <c r="Q496" s="7" t="s">
        <v>1183</v>
      </c>
      <c r="R496" s="7" t="s">
        <v>1152</v>
      </c>
      <c r="S496" s="8" t="s">
        <v>5624</v>
      </c>
      <c r="T496" s="12"/>
      <c r="U496" s="12"/>
    </row>
    <row r="497" customFormat="false" ht="23.85" hidden="false" customHeight="false" outlineLevel="0" collapsed="false">
      <c r="A497" s="7" t="s">
        <v>6067</v>
      </c>
      <c r="B497" s="14" t="s">
        <v>6060</v>
      </c>
      <c r="C497" s="7" t="s">
        <v>91</v>
      </c>
      <c r="D497" s="7" t="s">
        <v>471</v>
      </c>
      <c r="E497" s="7" t="s">
        <v>91</v>
      </c>
      <c r="F497" s="7" t="s">
        <v>6068</v>
      </c>
      <c r="G497" s="7" t="s">
        <v>5617</v>
      </c>
      <c r="H497" s="7" t="s">
        <v>943</v>
      </c>
      <c r="I497" s="7" t="s">
        <v>1424</v>
      </c>
      <c r="J497" s="8" t="s">
        <v>6069</v>
      </c>
      <c r="K497" s="8" t="s">
        <v>94</v>
      </c>
      <c r="L497" s="7" t="s">
        <v>1016</v>
      </c>
      <c r="M497" s="7" t="s">
        <v>6070</v>
      </c>
      <c r="N497" s="7" t="s">
        <v>952</v>
      </c>
      <c r="O497" s="7" t="s">
        <v>6062</v>
      </c>
      <c r="P497" s="7" t="s">
        <v>1150</v>
      </c>
      <c r="Q497" s="7" t="s">
        <v>1480</v>
      </c>
      <c r="R497" s="7" t="s">
        <v>1152</v>
      </c>
      <c r="S497" s="8" t="s">
        <v>5629</v>
      </c>
      <c r="T497" s="12"/>
      <c r="U497" s="12"/>
    </row>
    <row r="498" customFormat="false" ht="23.85" hidden="false" customHeight="false" outlineLevel="0" collapsed="false">
      <c r="A498" s="7" t="s">
        <v>6071</v>
      </c>
      <c r="B498" s="14" t="s">
        <v>6060</v>
      </c>
      <c r="C498" s="7" t="s">
        <v>91</v>
      </c>
      <c r="D498" s="7" t="s">
        <v>471</v>
      </c>
      <c r="E498" s="7" t="s">
        <v>91</v>
      </c>
      <c r="F498" s="7" t="s">
        <v>6072</v>
      </c>
      <c r="G498" s="7" t="s">
        <v>5617</v>
      </c>
      <c r="H498" s="7" t="s">
        <v>1029</v>
      </c>
      <c r="I498" s="7" t="s">
        <v>3572</v>
      </c>
      <c r="J498" s="8" t="s">
        <v>6073</v>
      </c>
      <c r="K498" s="8" t="s">
        <v>94</v>
      </c>
      <c r="L498" s="7" t="s">
        <v>1016</v>
      </c>
      <c r="M498" s="7" t="s">
        <v>6074</v>
      </c>
      <c r="N498" s="7" t="s">
        <v>952</v>
      </c>
      <c r="O498" s="7" t="s">
        <v>6062</v>
      </c>
      <c r="P498" s="7" t="s">
        <v>1150</v>
      </c>
      <c r="Q498" s="7" t="s">
        <v>1480</v>
      </c>
      <c r="R498" s="7" t="s">
        <v>1152</v>
      </c>
      <c r="S498" s="8" t="s">
        <v>5634</v>
      </c>
      <c r="T498" s="12"/>
      <c r="U498" s="12"/>
    </row>
    <row r="499" customFormat="false" ht="23.85" hidden="false" customHeight="false" outlineLevel="0" collapsed="false">
      <c r="A499" s="7" t="s">
        <v>6075</v>
      </c>
      <c r="B499" s="14" t="s">
        <v>6060</v>
      </c>
      <c r="C499" s="7" t="s">
        <v>91</v>
      </c>
      <c r="D499" s="7" t="s">
        <v>471</v>
      </c>
      <c r="E499" s="7" t="s">
        <v>91</v>
      </c>
      <c r="F499" s="7" t="s">
        <v>6076</v>
      </c>
      <c r="G499" s="7" t="s">
        <v>5617</v>
      </c>
      <c r="H499" s="7" t="s">
        <v>943</v>
      </c>
      <c r="I499" s="7" t="s">
        <v>1424</v>
      </c>
      <c r="J499" s="8" t="s">
        <v>6077</v>
      </c>
      <c r="K499" s="8" t="s">
        <v>94</v>
      </c>
      <c r="L499" s="7" t="s">
        <v>1016</v>
      </c>
      <c r="M499" s="7" t="s">
        <v>6078</v>
      </c>
      <c r="N499" s="7" t="s">
        <v>952</v>
      </c>
      <c r="O499" s="7" t="s">
        <v>6062</v>
      </c>
      <c r="P499" s="7" t="s">
        <v>1150</v>
      </c>
      <c r="Q499" s="7" t="s">
        <v>1480</v>
      </c>
      <c r="R499" s="7" t="s">
        <v>1152</v>
      </c>
      <c r="S499" s="8" t="s">
        <v>5890</v>
      </c>
      <c r="T499" s="12"/>
      <c r="U499" s="12"/>
    </row>
    <row r="500" customFormat="false" ht="23.85" hidden="false" customHeight="false" outlineLevel="0" collapsed="false">
      <c r="A500" s="7" t="s">
        <v>6079</v>
      </c>
      <c r="B500" s="14" t="s">
        <v>6060</v>
      </c>
      <c r="C500" s="7" t="s">
        <v>91</v>
      </c>
      <c r="D500" s="7" t="s">
        <v>471</v>
      </c>
      <c r="E500" s="7" t="s">
        <v>91</v>
      </c>
      <c r="F500" s="7" t="s">
        <v>6080</v>
      </c>
      <c r="G500" s="7" t="s">
        <v>5617</v>
      </c>
      <c r="H500" s="7" t="s">
        <v>1029</v>
      </c>
      <c r="I500" s="7" t="s">
        <v>3572</v>
      </c>
      <c r="J500" s="8" t="s">
        <v>6081</v>
      </c>
      <c r="K500" s="8" t="s">
        <v>94</v>
      </c>
      <c r="L500" s="7" t="s">
        <v>720</v>
      </c>
      <c r="M500" s="7" t="s">
        <v>6082</v>
      </c>
      <c r="N500" s="7" t="n">
        <v>2</v>
      </c>
      <c r="O500" s="7" t="s">
        <v>6062</v>
      </c>
      <c r="P500" s="7" t="s">
        <v>1150</v>
      </c>
      <c r="Q500" s="7" t="s">
        <v>1480</v>
      </c>
      <c r="R500" s="7" t="s">
        <v>1152</v>
      </c>
      <c r="S500" s="8" t="s">
        <v>5649</v>
      </c>
      <c r="T500" s="12"/>
      <c r="U500" s="12"/>
    </row>
    <row r="501" customFormat="false" ht="35.05" hidden="false" customHeight="false" outlineLevel="0" collapsed="false">
      <c r="A501" s="7" t="s">
        <v>6083</v>
      </c>
      <c r="B501" s="14" t="s">
        <v>6084</v>
      </c>
      <c r="C501" s="7" t="s">
        <v>91</v>
      </c>
      <c r="D501" s="7" t="s">
        <v>471</v>
      </c>
      <c r="E501" s="7" t="s">
        <v>91</v>
      </c>
      <c r="F501" s="7" t="s">
        <v>6084</v>
      </c>
      <c r="G501" s="7" t="s">
        <v>5617</v>
      </c>
      <c r="H501" s="7" t="s">
        <v>928</v>
      </c>
      <c r="I501" s="7" t="s">
        <v>1148</v>
      </c>
      <c r="J501" s="8" t="s">
        <v>6085</v>
      </c>
      <c r="K501" s="8" t="s">
        <v>94</v>
      </c>
      <c r="L501" s="7" t="s">
        <v>601</v>
      </c>
      <c r="M501" s="7" t="s">
        <v>6086</v>
      </c>
      <c r="N501" s="7" t="n">
        <v>3</v>
      </c>
      <c r="O501" s="7" t="s">
        <v>596</v>
      </c>
      <c r="P501" s="7" t="s">
        <v>1150</v>
      </c>
      <c r="Q501" s="7" t="s">
        <v>1480</v>
      </c>
      <c r="R501" s="7" t="s">
        <v>1152</v>
      </c>
      <c r="S501" s="8"/>
      <c r="T501" s="12"/>
      <c r="U501" s="12"/>
    </row>
    <row r="502" customFormat="false" ht="23.85" hidden="false" customHeight="false" outlineLevel="0" collapsed="false">
      <c r="A502" s="7" t="s">
        <v>6087</v>
      </c>
      <c r="B502" s="14" t="s">
        <v>6084</v>
      </c>
      <c r="C502" s="7" t="s">
        <v>91</v>
      </c>
      <c r="D502" s="7" t="s">
        <v>471</v>
      </c>
      <c r="E502" s="7" t="s">
        <v>91</v>
      </c>
      <c r="F502" s="7" t="s">
        <v>6088</v>
      </c>
      <c r="G502" s="7" t="s">
        <v>5617</v>
      </c>
      <c r="H502" s="7" t="s">
        <v>928</v>
      </c>
      <c r="I502" s="7" t="s">
        <v>1148</v>
      </c>
      <c r="J502" s="8" t="s">
        <v>6089</v>
      </c>
      <c r="K502" s="8" t="s">
        <v>94</v>
      </c>
      <c r="L502" s="7" t="s">
        <v>1009</v>
      </c>
      <c r="M502" s="7" t="s">
        <v>6090</v>
      </c>
      <c r="N502" s="7" t="n">
        <v>4</v>
      </c>
      <c r="O502" s="7" t="s">
        <v>6086</v>
      </c>
      <c r="P502" s="7" t="s">
        <v>1150</v>
      </c>
      <c r="Q502" s="7" t="s">
        <v>1480</v>
      </c>
      <c r="R502" s="7" t="s">
        <v>1152</v>
      </c>
      <c r="S502" s="8" t="s">
        <v>5624</v>
      </c>
      <c r="T502" s="12"/>
      <c r="U502" s="12"/>
    </row>
    <row r="503" customFormat="false" ht="23.85" hidden="false" customHeight="false" outlineLevel="0" collapsed="false">
      <c r="A503" s="7" t="s">
        <v>6091</v>
      </c>
      <c r="B503" s="14" t="s">
        <v>6084</v>
      </c>
      <c r="C503" s="7" t="s">
        <v>91</v>
      </c>
      <c r="D503" s="7" t="s">
        <v>471</v>
      </c>
      <c r="E503" s="7" t="s">
        <v>91</v>
      </c>
      <c r="F503" s="7" t="s">
        <v>6092</v>
      </c>
      <c r="G503" s="7" t="s">
        <v>5617</v>
      </c>
      <c r="H503" s="7" t="s">
        <v>943</v>
      </c>
      <c r="I503" s="7" t="s">
        <v>1424</v>
      </c>
      <c r="J503" s="8" t="s">
        <v>6093</v>
      </c>
      <c r="K503" s="8" t="s">
        <v>94</v>
      </c>
      <c r="L503" s="7" t="s">
        <v>1016</v>
      </c>
      <c r="M503" s="7" t="s">
        <v>6094</v>
      </c>
      <c r="N503" s="7" t="s">
        <v>952</v>
      </c>
      <c r="O503" s="7" t="s">
        <v>6086</v>
      </c>
      <c r="P503" s="7" t="s">
        <v>1150</v>
      </c>
      <c r="Q503" s="7" t="s">
        <v>1480</v>
      </c>
      <c r="R503" s="7" t="s">
        <v>1152</v>
      </c>
      <c r="S503" s="8" t="s">
        <v>5629</v>
      </c>
      <c r="T503" s="12"/>
      <c r="U503" s="12"/>
    </row>
    <row r="504" customFormat="false" ht="23.85" hidden="false" customHeight="false" outlineLevel="0" collapsed="false">
      <c r="A504" s="7" t="s">
        <v>6095</v>
      </c>
      <c r="B504" s="14" t="s">
        <v>6084</v>
      </c>
      <c r="C504" s="7" t="s">
        <v>91</v>
      </c>
      <c r="D504" s="7" t="s">
        <v>471</v>
      </c>
      <c r="E504" s="7" t="s">
        <v>91</v>
      </c>
      <c r="F504" s="7" t="s">
        <v>6096</v>
      </c>
      <c r="G504" s="7" t="s">
        <v>5617</v>
      </c>
      <c r="H504" s="7" t="s">
        <v>1029</v>
      </c>
      <c r="I504" s="7" t="s">
        <v>3572</v>
      </c>
      <c r="J504" s="8" t="s">
        <v>6097</v>
      </c>
      <c r="K504" s="8" t="s">
        <v>94</v>
      </c>
      <c r="L504" s="7" t="s">
        <v>1016</v>
      </c>
      <c r="M504" s="7" t="s">
        <v>6098</v>
      </c>
      <c r="N504" s="7" t="s">
        <v>952</v>
      </c>
      <c r="O504" s="7" t="s">
        <v>6086</v>
      </c>
      <c r="P504" s="7" t="s">
        <v>1150</v>
      </c>
      <c r="Q504" s="7" t="s">
        <v>1480</v>
      </c>
      <c r="R504" s="7" t="s">
        <v>1152</v>
      </c>
      <c r="S504" s="8" t="s">
        <v>5634</v>
      </c>
      <c r="T504" s="12"/>
      <c r="U504" s="12"/>
    </row>
    <row r="505" customFormat="false" ht="23.85" hidden="false" customHeight="false" outlineLevel="0" collapsed="false">
      <c r="A505" s="7" t="s">
        <v>6099</v>
      </c>
      <c r="B505" s="14" t="s">
        <v>6084</v>
      </c>
      <c r="C505" s="7" t="s">
        <v>91</v>
      </c>
      <c r="D505" s="7" t="s">
        <v>471</v>
      </c>
      <c r="E505" s="7" t="s">
        <v>91</v>
      </c>
      <c r="F505" s="7" t="s">
        <v>6100</v>
      </c>
      <c r="G505" s="7" t="s">
        <v>5617</v>
      </c>
      <c r="H505" s="7" t="s">
        <v>943</v>
      </c>
      <c r="I505" s="7" t="s">
        <v>1424</v>
      </c>
      <c r="J505" s="8" t="s">
        <v>6101</v>
      </c>
      <c r="K505" s="8" t="s">
        <v>94</v>
      </c>
      <c r="L505" s="7" t="s">
        <v>1016</v>
      </c>
      <c r="M505" s="7" t="s">
        <v>6102</v>
      </c>
      <c r="N505" s="7" t="s">
        <v>952</v>
      </c>
      <c r="O505" s="7" t="s">
        <v>6086</v>
      </c>
      <c r="P505" s="7" t="s">
        <v>1150</v>
      </c>
      <c r="Q505" s="7" t="s">
        <v>1480</v>
      </c>
      <c r="R505" s="7" t="s">
        <v>1152</v>
      </c>
      <c r="S505" s="8" t="s">
        <v>5890</v>
      </c>
      <c r="T505" s="12"/>
      <c r="U505" s="12"/>
    </row>
    <row r="506" customFormat="false" ht="23.85" hidden="false" customHeight="false" outlineLevel="0" collapsed="false">
      <c r="A506" s="7" t="s">
        <v>6103</v>
      </c>
      <c r="B506" s="14" t="s">
        <v>6084</v>
      </c>
      <c r="C506" s="7" t="s">
        <v>91</v>
      </c>
      <c r="D506" s="7" t="s">
        <v>471</v>
      </c>
      <c r="E506" s="7" t="s">
        <v>91</v>
      </c>
      <c r="F506" s="7" t="s">
        <v>6104</v>
      </c>
      <c r="G506" s="7" t="s">
        <v>5617</v>
      </c>
      <c r="H506" s="7" t="s">
        <v>1029</v>
      </c>
      <c r="I506" s="7" t="s">
        <v>3572</v>
      </c>
      <c r="J506" s="8" t="s">
        <v>6105</v>
      </c>
      <c r="K506" s="8" t="s">
        <v>94</v>
      </c>
      <c r="L506" s="7" t="s">
        <v>720</v>
      </c>
      <c r="M506" s="7" t="s">
        <v>6106</v>
      </c>
      <c r="N506" s="7" t="n">
        <v>2</v>
      </c>
      <c r="O506" s="7" t="s">
        <v>6086</v>
      </c>
      <c r="P506" s="7" t="s">
        <v>1150</v>
      </c>
      <c r="Q506" s="7" t="s">
        <v>1480</v>
      </c>
      <c r="R506" s="7" t="s">
        <v>1152</v>
      </c>
      <c r="S506" s="8" t="s">
        <v>5649</v>
      </c>
      <c r="T506" s="12"/>
      <c r="U506" s="12"/>
    </row>
    <row r="507" customFormat="false" ht="35.05" hidden="false" customHeight="false" outlineLevel="0" collapsed="false">
      <c r="A507" s="7" t="s">
        <v>6107</v>
      </c>
      <c r="B507" s="14" t="s">
        <v>6108</v>
      </c>
      <c r="C507" s="7" t="s">
        <v>91</v>
      </c>
      <c r="D507" s="7" t="s">
        <v>471</v>
      </c>
      <c r="E507" s="7" t="s">
        <v>91</v>
      </c>
      <c r="F507" s="7" t="s">
        <v>6108</v>
      </c>
      <c r="G507" s="7" t="s">
        <v>5617</v>
      </c>
      <c r="H507" s="7" t="s">
        <v>928</v>
      </c>
      <c r="I507" s="7" t="s">
        <v>1148</v>
      </c>
      <c r="J507" s="8" t="s">
        <v>6109</v>
      </c>
      <c r="K507" s="8" t="s">
        <v>94</v>
      </c>
      <c r="L507" s="7" t="s">
        <v>601</v>
      </c>
      <c r="M507" s="7" t="s">
        <v>6110</v>
      </c>
      <c r="N507" s="7" t="n">
        <v>3</v>
      </c>
      <c r="O507" s="7" t="s">
        <v>596</v>
      </c>
      <c r="P507" s="7" t="s">
        <v>1150</v>
      </c>
      <c r="Q507" s="7" t="s">
        <v>1480</v>
      </c>
      <c r="R507" s="7" t="s">
        <v>1152</v>
      </c>
      <c r="S507" s="8"/>
      <c r="T507" s="12"/>
      <c r="U507" s="12"/>
    </row>
    <row r="508" customFormat="false" ht="23.85" hidden="false" customHeight="false" outlineLevel="0" collapsed="false">
      <c r="A508" s="7" t="s">
        <v>6111</v>
      </c>
      <c r="B508" s="14" t="s">
        <v>6108</v>
      </c>
      <c r="C508" s="7" t="s">
        <v>91</v>
      </c>
      <c r="D508" s="7" t="s">
        <v>471</v>
      </c>
      <c r="E508" s="7" t="s">
        <v>91</v>
      </c>
      <c r="F508" s="7" t="s">
        <v>6112</v>
      </c>
      <c r="G508" s="7" t="s">
        <v>5617</v>
      </c>
      <c r="H508" s="7" t="s">
        <v>928</v>
      </c>
      <c r="I508" s="7" t="s">
        <v>1148</v>
      </c>
      <c r="J508" s="8" t="s">
        <v>6113</v>
      </c>
      <c r="K508" s="8" t="s">
        <v>94</v>
      </c>
      <c r="L508" s="7" t="s">
        <v>1009</v>
      </c>
      <c r="M508" s="7" t="s">
        <v>6114</v>
      </c>
      <c r="N508" s="7" t="n">
        <v>4</v>
      </c>
      <c r="O508" s="7" t="s">
        <v>6110</v>
      </c>
      <c r="P508" s="7" t="s">
        <v>1150</v>
      </c>
      <c r="Q508" s="7" t="s">
        <v>1480</v>
      </c>
      <c r="R508" s="7" t="s">
        <v>1152</v>
      </c>
      <c r="S508" s="8" t="s">
        <v>5624</v>
      </c>
      <c r="T508" s="12"/>
      <c r="U508" s="12"/>
    </row>
    <row r="509" customFormat="false" ht="23.85" hidden="false" customHeight="false" outlineLevel="0" collapsed="false">
      <c r="A509" s="7" t="s">
        <v>6115</v>
      </c>
      <c r="B509" s="14" t="s">
        <v>6108</v>
      </c>
      <c r="C509" s="7" t="s">
        <v>91</v>
      </c>
      <c r="D509" s="7" t="s">
        <v>471</v>
      </c>
      <c r="E509" s="7" t="s">
        <v>91</v>
      </c>
      <c r="F509" s="7" t="s">
        <v>6116</v>
      </c>
      <c r="G509" s="7" t="s">
        <v>5617</v>
      </c>
      <c r="H509" s="7" t="s">
        <v>943</v>
      </c>
      <c r="I509" s="7" t="s">
        <v>1424</v>
      </c>
      <c r="J509" s="8" t="s">
        <v>6117</v>
      </c>
      <c r="K509" s="8" t="s">
        <v>94</v>
      </c>
      <c r="L509" s="7" t="s">
        <v>1016</v>
      </c>
      <c r="M509" s="7" t="s">
        <v>6118</v>
      </c>
      <c r="N509" s="7" t="s">
        <v>952</v>
      </c>
      <c r="O509" s="7" t="s">
        <v>6110</v>
      </c>
      <c r="P509" s="7" t="s">
        <v>1150</v>
      </c>
      <c r="Q509" s="7" t="s">
        <v>1480</v>
      </c>
      <c r="R509" s="7" t="s">
        <v>1152</v>
      </c>
      <c r="S509" s="8" t="s">
        <v>5629</v>
      </c>
      <c r="T509" s="12"/>
      <c r="U509" s="12"/>
    </row>
    <row r="510" customFormat="false" ht="23.85" hidden="false" customHeight="false" outlineLevel="0" collapsed="false">
      <c r="A510" s="7" t="s">
        <v>6119</v>
      </c>
      <c r="B510" s="14" t="s">
        <v>6108</v>
      </c>
      <c r="C510" s="7" t="s">
        <v>91</v>
      </c>
      <c r="D510" s="7" t="s">
        <v>471</v>
      </c>
      <c r="E510" s="7" t="s">
        <v>91</v>
      </c>
      <c r="F510" s="7" t="s">
        <v>6120</v>
      </c>
      <c r="G510" s="7" t="s">
        <v>5617</v>
      </c>
      <c r="H510" s="7" t="s">
        <v>1029</v>
      </c>
      <c r="I510" s="7" t="s">
        <v>3572</v>
      </c>
      <c r="J510" s="8" t="s">
        <v>6121</v>
      </c>
      <c r="K510" s="8" t="s">
        <v>94</v>
      </c>
      <c r="L510" s="7" t="s">
        <v>1016</v>
      </c>
      <c r="M510" s="7" t="s">
        <v>6122</v>
      </c>
      <c r="N510" s="7" t="s">
        <v>952</v>
      </c>
      <c r="O510" s="7" t="s">
        <v>6110</v>
      </c>
      <c r="P510" s="7" t="s">
        <v>1150</v>
      </c>
      <c r="Q510" s="7" t="s">
        <v>1480</v>
      </c>
      <c r="R510" s="7" t="s">
        <v>1152</v>
      </c>
      <c r="S510" s="8" t="s">
        <v>5634</v>
      </c>
      <c r="T510" s="12"/>
      <c r="U510" s="12"/>
    </row>
    <row r="511" customFormat="false" ht="23.85" hidden="false" customHeight="false" outlineLevel="0" collapsed="false">
      <c r="A511" s="7" t="s">
        <v>6123</v>
      </c>
      <c r="B511" s="14" t="s">
        <v>6108</v>
      </c>
      <c r="C511" s="7" t="s">
        <v>91</v>
      </c>
      <c r="D511" s="7" t="s">
        <v>471</v>
      </c>
      <c r="E511" s="7" t="s">
        <v>91</v>
      </c>
      <c r="F511" s="7" t="s">
        <v>6124</v>
      </c>
      <c r="G511" s="7" t="s">
        <v>5617</v>
      </c>
      <c r="H511" s="7" t="s">
        <v>943</v>
      </c>
      <c r="I511" s="7" t="s">
        <v>1424</v>
      </c>
      <c r="J511" s="8" t="s">
        <v>6125</v>
      </c>
      <c r="K511" s="8" t="s">
        <v>94</v>
      </c>
      <c r="L511" s="7" t="s">
        <v>1016</v>
      </c>
      <c r="M511" s="7" t="s">
        <v>6126</v>
      </c>
      <c r="N511" s="7" t="s">
        <v>952</v>
      </c>
      <c r="O511" s="7" t="s">
        <v>6110</v>
      </c>
      <c r="P511" s="7" t="s">
        <v>1150</v>
      </c>
      <c r="Q511" s="7" t="s">
        <v>1480</v>
      </c>
      <c r="R511" s="7" t="s">
        <v>1152</v>
      </c>
      <c r="S511" s="8" t="s">
        <v>5890</v>
      </c>
      <c r="T511" s="12"/>
      <c r="U511" s="12"/>
    </row>
    <row r="512" customFormat="false" ht="23.85" hidden="false" customHeight="false" outlineLevel="0" collapsed="false">
      <c r="A512" s="7" t="s">
        <v>6127</v>
      </c>
      <c r="B512" s="14" t="s">
        <v>6108</v>
      </c>
      <c r="C512" s="7" t="s">
        <v>91</v>
      </c>
      <c r="D512" s="7" t="s">
        <v>471</v>
      </c>
      <c r="E512" s="7" t="s">
        <v>91</v>
      </c>
      <c r="F512" s="7" t="s">
        <v>6128</v>
      </c>
      <c r="G512" s="7" t="s">
        <v>5617</v>
      </c>
      <c r="H512" s="7" t="s">
        <v>1029</v>
      </c>
      <c r="I512" s="7" t="s">
        <v>3572</v>
      </c>
      <c r="J512" s="8" t="s">
        <v>6129</v>
      </c>
      <c r="K512" s="8" t="s">
        <v>94</v>
      </c>
      <c r="L512" s="7" t="s">
        <v>720</v>
      </c>
      <c r="M512" s="7" t="s">
        <v>6130</v>
      </c>
      <c r="N512" s="7" t="n">
        <v>2</v>
      </c>
      <c r="O512" s="7" t="s">
        <v>6110</v>
      </c>
      <c r="P512" s="7" t="s">
        <v>1150</v>
      </c>
      <c r="Q512" s="7" t="s">
        <v>1480</v>
      </c>
      <c r="R512" s="7" t="s">
        <v>1152</v>
      </c>
      <c r="S512" s="8" t="s">
        <v>5649</v>
      </c>
      <c r="T512" s="12"/>
      <c r="U512" s="12"/>
    </row>
    <row r="513" customFormat="false" ht="35.05" hidden="false" customHeight="false" outlineLevel="0" collapsed="false">
      <c r="A513" s="7" t="s">
        <v>6131</v>
      </c>
      <c r="B513" s="14" t="s">
        <v>6132</v>
      </c>
      <c r="C513" s="7" t="s">
        <v>91</v>
      </c>
      <c r="D513" s="7" t="s">
        <v>471</v>
      </c>
      <c r="E513" s="7" t="s">
        <v>91</v>
      </c>
      <c r="F513" s="7" t="s">
        <v>6132</v>
      </c>
      <c r="G513" s="7" t="s">
        <v>5617</v>
      </c>
      <c r="H513" s="7" t="s">
        <v>928</v>
      </c>
      <c r="I513" s="7" t="s">
        <v>1148</v>
      </c>
      <c r="J513" s="8" t="s">
        <v>6133</v>
      </c>
      <c r="K513" s="8" t="s">
        <v>94</v>
      </c>
      <c r="L513" s="7" t="s">
        <v>601</v>
      </c>
      <c r="M513" s="7" t="s">
        <v>6134</v>
      </c>
      <c r="N513" s="7" t="n">
        <v>3</v>
      </c>
      <c r="O513" s="7" t="s">
        <v>596</v>
      </c>
      <c r="P513" s="7" t="s">
        <v>1150</v>
      </c>
      <c r="Q513" s="7" t="s">
        <v>1480</v>
      </c>
      <c r="R513" s="7" t="s">
        <v>1152</v>
      </c>
      <c r="S513" s="8"/>
      <c r="T513" s="12"/>
      <c r="U513" s="12"/>
    </row>
    <row r="514" customFormat="false" ht="23.85" hidden="false" customHeight="false" outlineLevel="0" collapsed="false">
      <c r="A514" s="7" t="s">
        <v>6135</v>
      </c>
      <c r="B514" s="14" t="s">
        <v>6132</v>
      </c>
      <c r="C514" s="7" t="s">
        <v>91</v>
      </c>
      <c r="D514" s="7" t="s">
        <v>471</v>
      </c>
      <c r="E514" s="7" t="s">
        <v>91</v>
      </c>
      <c r="F514" s="7" t="s">
        <v>6136</v>
      </c>
      <c r="G514" s="7" t="s">
        <v>5617</v>
      </c>
      <c r="H514" s="7" t="s">
        <v>928</v>
      </c>
      <c r="I514" s="7" t="s">
        <v>1148</v>
      </c>
      <c r="J514" s="8" t="s">
        <v>6137</v>
      </c>
      <c r="K514" s="8" t="s">
        <v>94</v>
      </c>
      <c r="L514" s="7" t="s">
        <v>1009</v>
      </c>
      <c r="M514" s="7" t="s">
        <v>6138</v>
      </c>
      <c r="N514" s="7" t="n">
        <v>4</v>
      </c>
      <c r="O514" s="7" t="s">
        <v>6134</v>
      </c>
      <c r="P514" s="7" t="s">
        <v>1150</v>
      </c>
      <c r="Q514" s="7" t="s">
        <v>1480</v>
      </c>
      <c r="R514" s="7" t="s">
        <v>1152</v>
      </c>
      <c r="S514" s="8" t="s">
        <v>5624</v>
      </c>
      <c r="T514" s="12"/>
      <c r="U514" s="12"/>
    </row>
    <row r="515" customFormat="false" ht="23.85" hidden="false" customHeight="false" outlineLevel="0" collapsed="false">
      <c r="A515" s="7" t="s">
        <v>6139</v>
      </c>
      <c r="B515" s="14" t="s">
        <v>6132</v>
      </c>
      <c r="C515" s="7" t="s">
        <v>91</v>
      </c>
      <c r="D515" s="7" t="s">
        <v>471</v>
      </c>
      <c r="E515" s="7" t="s">
        <v>91</v>
      </c>
      <c r="F515" s="7" t="s">
        <v>6140</v>
      </c>
      <c r="G515" s="7" t="s">
        <v>5617</v>
      </c>
      <c r="H515" s="7" t="s">
        <v>943</v>
      </c>
      <c r="I515" s="7" t="s">
        <v>1424</v>
      </c>
      <c r="J515" s="8" t="s">
        <v>6141</v>
      </c>
      <c r="K515" s="8" t="s">
        <v>94</v>
      </c>
      <c r="L515" s="7" t="s">
        <v>1016</v>
      </c>
      <c r="M515" s="7" t="s">
        <v>6142</v>
      </c>
      <c r="N515" s="7" t="s">
        <v>952</v>
      </c>
      <c r="O515" s="7" t="s">
        <v>6134</v>
      </c>
      <c r="P515" s="7" t="s">
        <v>1150</v>
      </c>
      <c r="Q515" s="7" t="s">
        <v>1480</v>
      </c>
      <c r="R515" s="7" t="s">
        <v>1152</v>
      </c>
      <c r="S515" s="8" t="s">
        <v>5629</v>
      </c>
      <c r="T515" s="12"/>
      <c r="U515" s="12"/>
    </row>
    <row r="516" customFormat="false" ht="23.85" hidden="false" customHeight="false" outlineLevel="0" collapsed="false">
      <c r="A516" s="7" t="s">
        <v>6143</v>
      </c>
      <c r="B516" s="14" t="s">
        <v>6132</v>
      </c>
      <c r="C516" s="7" t="s">
        <v>91</v>
      </c>
      <c r="D516" s="7" t="s">
        <v>471</v>
      </c>
      <c r="E516" s="7" t="s">
        <v>91</v>
      </c>
      <c r="F516" s="7" t="s">
        <v>6144</v>
      </c>
      <c r="G516" s="7" t="s">
        <v>5617</v>
      </c>
      <c r="H516" s="7" t="s">
        <v>1029</v>
      </c>
      <c r="I516" s="7" t="s">
        <v>3572</v>
      </c>
      <c r="J516" s="8" t="s">
        <v>6145</v>
      </c>
      <c r="K516" s="8" t="s">
        <v>94</v>
      </c>
      <c r="L516" s="7" t="s">
        <v>1016</v>
      </c>
      <c r="M516" s="7" t="s">
        <v>6146</v>
      </c>
      <c r="N516" s="7" t="s">
        <v>952</v>
      </c>
      <c r="O516" s="7" t="s">
        <v>6134</v>
      </c>
      <c r="P516" s="7" t="s">
        <v>1150</v>
      </c>
      <c r="Q516" s="7" t="s">
        <v>1480</v>
      </c>
      <c r="R516" s="7" t="s">
        <v>1152</v>
      </c>
      <c r="S516" s="8" t="s">
        <v>5634</v>
      </c>
      <c r="T516" s="12"/>
      <c r="U516" s="12"/>
    </row>
    <row r="517" customFormat="false" ht="23.85" hidden="false" customHeight="false" outlineLevel="0" collapsed="false">
      <c r="A517" s="7" t="s">
        <v>6147</v>
      </c>
      <c r="B517" s="14" t="s">
        <v>6132</v>
      </c>
      <c r="C517" s="7" t="s">
        <v>91</v>
      </c>
      <c r="D517" s="7" t="s">
        <v>471</v>
      </c>
      <c r="E517" s="7" t="s">
        <v>91</v>
      </c>
      <c r="F517" s="7" t="s">
        <v>6148</v>
      </c>
      <c r="G517" s="7" t="s">
        <v>5617</v>
      </c>
      <c r="H517" s="7" t="s">
        <v>943</v>
      </c>
      <c r="I517" s="7" t="s">
        <v>1424</v>
      </c>
      <c r="J517" s="8" t="s">
        <v>6149</v>
      </c>
      <c r="K517" s="8" t="s">
        <v>94</v>
      </c>
      <c r="L517" s="7" t="s">
        <v>1016</v>
      </c>
      <c r="M517" s="7" t="s">
        <v>6150</v>
      </c>
      <c r="N517" s="7" t="s">
        <v>952</v>
      </c>
      <c r="O517" s="7" t="s">
        <v>6134</v>
      </c>
      <c r="P517" s="7" t="s">
        <v>1150</v>
      </c>
      <c r="Q517" s="7" t="s">
        <v>1480</v>
      </c>
      <c r="R517" s="7" t="s">
        <v>1152</v>
      </c>
      <c r="S517" s="8" t="s">
        <v>5890</v>
      </c>
      <c r="T517" s="12"/>
      <c r="U517" s="12"/>
    </row>
    <row r="518" customFormat="false" ht="23.85" hidden="false" customHeight="false" outlineLevel="0" collapsed="false">
      <c r="A518" s="7" t="s">
        <v>6151</v>
      </c>
      <c r="B518" s="14" t="s">
        <v>6132</v>
      </c>
      <c r="C518" s="7" t="s">
        <v>91</v>
      </c>
      <c r="D518" s="7" t="s">
        <v>471</v>
      </c>
      <c r="E518" s="7" t="s">
        <v>91</v>
      </c>
      <c r="F518" s="7" t="s">
        <v>6152</v>
      </c>
      <c r="G518" s="7" t="s">
        <v>5617</v>
      </c>
      <c r="H518" s="7" t="s">
        <v>1029</v>
      </c>
      <c r="I518" s="7" t="s">
        <v>3572</v>
      </c>
      <c r="J518" s="8" t="s">
        <v>6153</v>
      </c>
      <c r="K518" s="8" t="s">
        <v>94</v>
      </c>
      <c r="L518" s="7" t="s">
        <v>720</v>
      </c>
      <c r="M518" s="7" t="s">
        <v>6154</v>
      </c>
      <c r="N518" s="7" t="n">
        <v>2</v>
      </c>
      <c r="O518" s="7" t="s">
        <v>6134</v>
      </c>
      <c r="P518" s="7" t="s">
        <v>1150</v>
      </c>
      <c r="Q518" s="7" t="s">
        <v>1480</v>
      </c>
      <c r="R518" s="7" t="s">
        <v>1152</v>
      </c>
      <c r="S518" s="8" t="s">
        <v>5649</v>
      </c>
      <c r="T518" s="12"/>
      <c r="U518" s="12"/>
    </row>
    <row r="519" customFormat="false" ht="35.05" hidden="false" customHeight="false" outlineLevel="0" collapsed="false">
      <c r="A519" s="7" t="s">
        <v>6155</v>
      </c>
      <c r="B519" s="14" t="s">
        <v>6156</v>
      </c>
      <c r="C519" s="7" t="s">
        <v>6157</v>
      </c>
      <c r="D519" s="7" t="s">
        <v>231</v>
      </c>
      <c r="E519" s="7" t="s">
        <v>3913</v>
      </c>
      <c r="F519" s="7" t="s">
        <v>6158</v>
      </c>
      <c r="G519" s="7" t="s">
        <v>3915</v>
      </c>
      <c r="H519" s="7" t="s">
        <v>943</v>
      </c>
      <c r="I519" s="7" t="s">
        <v>1424</v>
      </c>
      <c r="J519" s="8" t="s">
        <v>6159</v>
      </c>
      <c r="K519" s="8" t="s">
        <v>250</v>
      </c>
      <c r="L519" s="7" t="s">
        <v>483</v>
      </c>
      <c r="M519" s="7" t="s">
        <v>6160</v>
      </c>
      <c r="N519" s="7" t="n">
        <v>4</v>
      </c>
      <c r="O519" s="7" t="s">
        <v>2368</v>
      </c>
      <c r="P519" s="7" t="s">
        <v>1150</v>
      </c>
      <c r="Q519" s="7" t="s">
        <v>1183</v>
      </c>
      <c r="R519" s="13" t="s">
        <v>1790</v>
      </c>
      <c r="S519" s="8" t="s">
        <v>3984</v>
      </c>
      <c r="T519" s="12"/>
      <c r="U519" s="12"/>
    </row>
    <row r="520" customFormat="false" ht="35.05" hidden="false" customHeight="false" outlineLevel="0" collapsed="false">
      <c r="A520" s="7" t="s">
        <v>6161</v>
      </c>
      <c r="B520" s="14" t="s">
        <v>6162</v>
      </c>
      <c r="C520" s="7" t="s">
        <v>6157</v>
      </c>
      <c r="D520" s="7" t="s">
        <v>231</v>
      </c>
      <c r="E520" s="7" t="s">
        <v>3913</v>
      </c>
      <c r="F520" s="7" t="s">
        <v>6163</v>
      </c>
      <c r="G520" s="7" t="s">
        <v>3915</v>
      </c>
      <c r="H520" s="7" t="s">
        <v>943</v>
      </c>
      <c r="I520" s="7" t="s">
        <v>1424</v>
      </c>
      <c r="J520" s="8" t="s">
        <v>6164</v>
      </c>
      <c r="K520" s="8" t="s">
        <v>250</v>
      </c>
      <c r="L520" s="7" t="s">
        <v>483</v>
      </c>
      <c r="M520" s="7" t="s">
        <v>6165</v>
      </c>
      <c r="N520" s="7" t="n">
        <v>4</v>
      </c>
      <c r="O520" s="7" t="s">
        <v>2368</v>
      </c>
      <c r="P520" s="7" t="s">
        <v>1150</v>
      </c>
      <c r="Q520" s="7" t="s">
        <v>1183</v>
      </c>
      <c r="R520" s="13" t="s">
        <v>1790</v>
      </c>
      <c r="S520" s="8" t="s">
        <v>3984</v>
      </c>
      <c r="T520" s="12"/>
      <c r="U520" s="12"/>
    </row>
    <row r="521" customFormat="false" ht="35.05" hidden="false" customHeight="false" outlineLevel="0" collapsed="false">
      <c r="A521" s="7" t="s">
        <v>6166</v>
      </c>
      <c r="B521" s="14" t="s">
        <v>6167</v>
      </c>
      <c r="C521" s="7" t="s">
        <v>6157</v>
      </c>
      <c r="D521" s="7" t="s">
        <v>231</v>
      </c>
      <c r="E521" s="7" t="s">
        <v>3913</v>
      </c>
      <c r="F521" s="7" t="s">
        <v>6168</v>
      </c>
      <c r="G521" s="7" t="s">
        <v>3915</v>
      </c>
      <c r="H521" s="7" t="s">
        <v>943</v>
      </c>
      <c r="I521" s="7" t="s">
        <v>1424</v>
      </c>
      <c r="J521" s="8" t="s">
        <v>6169</v>
      </c>
      <c r="K521" s="8" t="s">
        <v>250</v>
      </c>
      <c r="L521" s="7" t="s">
        <v>483</v>
      </c>
      <c r="M521" s="7" t="s">
        <v>6170</v>
      </c>
      <c r="N521" s="7" t="n">
        <v>4</v>
      </c>
      <c r="O521" s="7" t="s">
        <v>2368</v>
      </c>
      <c r="P521" s="7" t="s">
        <v>1150</v>
      </c>
      <c r="Q521" s="7" t="s">
        <v>1183</v>
      </c>
      <c r="R521" s="13" t="s">
        <v>1790</v>
      </c>
      <c r="S521" s="8" t="s">
        <v>3984</v>
      </c>
      <c r="T521" s="12"/>
      <c r="U521" s="12"/>
    </row>
    <row r="522" customFormat="false" ht="35.05" hidden="false" customHeight="false" outlineLevel="0" collapsed="false">
      <c r="A522" s="7" t="s">
        <v>6171</v>
      </c>
      <c r="B522" s="14" t="s">
        <v>6172</v>
      </c>
      <c r="C522" s="7" t="s">
        <v>6157</v>
      </c>
      <c r="D522" s="7" t="s">
        <v>231</v>
      </c>
      <c r="E522" s="7" t="s">
        <v>3913</v>
      </c>
      <c r="F522" s="7" t="s">
        <v>6173</v>
      </c>
      <c r="G522" s="7" t="s">
        <v>3915</v>
      </c>
      <c r="H522" s="7" t="s">
        <v>943</v>
      </c>
      <c r="I522" s="7" t="s">
        <v>1424</v>
      </c>
      <c r="J522" s="8" t="s">
        <v>6174</v>
      </c>
      <c r="K522" s="8" t="s">
        <v>250</v>
      </c>
      <c r="L522" s="7" t="s">
        <v>483</v>
      </c>
      <c r="M522" s="7" t="s">
        <v>6175</v>
      </c>
      <c r="N522" s="7" t="n">
        <v>4</v>
      </c>
      <c r="O522" s="7" t="s">
        <v>2368</v>
      </c>
      <c r="P522" s="7" t="s">
        <v>1150</v>
      </c>
      <c r="Q522" s="7" t="s">
        <v>1183</v>
      </c>
      <c r="R522" s="13" t="s">
        <v>1790</v>
      </c>
      <c r="S522" s="8" t="s">
        <v>3984</v>
      </c>
      <c r="T522" s="12"/>
      <c r="U522" s="12"/>
    </row>
    <row r="523" customFormat="false" ht="35.05" hidden="false" customHeight="false" outlineLevel="0" collapsed="false">
      <c r="A523" s="7" t="s">
        <v>6176</v>
      </c>
      <c r="B523" s="14" t="s">
        <v>6177</v>
      </c>
      <c r="C523" s="7" t="s">
        <v>6157</v>
      </c>
      <c r="D523" s="7" t="s">
        <v>231</v>
      </c>
      <c r="E523" s="7" t="s">
        <v>3913</v>
      </c>
      <c r="F523" s="7" t="s">
        <v>6178</v>
      </c>
      <c r="G523" s="7" t="s">
        <v>3915</v>
      </c>
      <c r="H523" s="7" t="s">
        <v>943</v>
      </c>
      <c r="I523" s="7" t="s">
        <v>1424</v>
      </c>
      <c r="J523" s="8" t="s">
        <v>6179</v>
      </c>
      <c r="K523" s="8" t="s">
        <v>250</v>
      </c>
      <c r="L523" s="7" t="s">
        <v>483</v>
      </c>
      <c r="M523" s="7" t="s">
        <v>6180</v>
      </c>
      <c r="N523" s="7" t="n">
        <v>4</v>
      </c>
      <c r="O523" s="7" t="s">
        <v>2368</v>
      </c>
      <c r="P523" s="7" t="s">
        <v>1150</v>
      </c>
      <c r="Q523" s="7" t="s">
        <v>1183</v>
      </c>
      <c r="R523" s="13" t="s">
        <v>1790</v>
      </c>
      <c r="S523" s="8" t="s">
        <v>3984</v>
      </c>
      <c r="T523" s="12"/>
      <c r="U523" s="12"/>
    </row>
    <row r="524" customFormat="false" ht="35.05" hidden="false" customHeight="false" outlineLevel="0" collapsed="false">
      <c r="A524" s="7" t="s">
        <v>6181</v>
      </c>
      <c r="B524" s="14" t="s">
        <v>6182</v>
      </c>
      <c r="C524" s="7" t="s">
        <v>6157</v>
      </c>
      <c r="D524" s="7" t="s">
        <v>231</v>
      </c>
      <c r="E524" s="7" t="s">
        <v>3913</v>
      </c>
      <c r="F524" s="7" t="s">
        <v>6183</v>
      </c>
      <c r="G524" s="7" t="s">
        <v>3915</v>
      </c>
      <c r="H524" s="7" t="s">
        <v>943</v>
      </c>
      <c r="I524" s="7" t="s">
        <v>1424</v>
      </c>
      <c r="J524" s="8" t="s">
        <v>6184</v>
      </c>
      <c r="K524" s="8" t="s">
        <v>250</v>
      </c>
      <c r="L524" s="7" t="s">
        <v>483</v>
      </c>
      <c r="M524" s="7" t="s">
        <v>6185</v>
      </c>
      <c r="N524" s="7" t="n">
        <v>4</v>
      </c>
      <c r="O524" s="7" t="s">
        <v>2368</v>
      </c>
      <c r="P524" s="7" t="s">
        <v>1150</v>
      </c>
      <c r="Q524" s="7" t="s">
        <v>1480</v>
      </c>
      <c r="R524" s="13" t="s">
        <v>1790</v>
      </c>
      <c r="S524" s="8" t="s">
        <v>3984</v>
      </c>
      <c r="T524" s="12"/>
      <c r="U524" s="12"/>
    </row>
    <row r="525" customFormat="false" ht="35.05" hidden="false" customHeight="false" outlineLevel="0" collapsed="false">
      <c r="A525" s="7" t="s">
        <v>6186</v>
      </c>
      <c r="B525" s="14" t="s">
        <v>6187</v>
      </c>
      <c r="C525" s="7" t="s">
        <v>6157</v>
      </c>
      <c r="D525" s="7" t="s">
        <v>231</v>
      </c>
      <c r="E525" s="7" t="s">
        <v>3913</v>
      </c>
      <c r="F525" s="7" t="s">
        <v>6188</v>
      </c>
      <c r="G525" s="7" t="s">
        <v>3915</v>
      </c>
      <c r="H525" s="7" t="s">
        <v>943</v>
      </c>
      <c r="I525" s="7" t="s">
        <v>1424</v>
      </c>
      <c r="J525" s="8" t="s">
        <v>6189</v>
      </c>
      <c r="K525" s="8" t="s">
        <v>250</v>
      </c>
      <c r="L525" s="7" t="s">
        <v>483</v>
      </c>
      <c r="M525" s="7" t="s">
        <v>6190</v>
      </c>
      <c r="N525" s="7" t="n">
        <v>4</v>
      </c>
      <c r="O525" s="7" t="s">
        <v>2368</v>
      </c>
      <c r="P525" s="7" t="s">
        <v>1150</v>
      </c>
      <c r="Q525" s="7" t="s">
        <v>1183</v>
      </c>
      <c r="R525" s="13" t="s">
        <v>1790</v>
      </c>
      <c r="S525" s="8" t="s">
        <v>3984</v>
      </c>
      <c r="T525" s="12"/>
      <c r="U525" s="12"/>
    </row>
    <row r="526" customFormat="false" ht="35.05" hidden="false" customHeight="false" outlineLevel="0" collapsed="false">
      <c r="A526" s="7" t="s">
        <v>6191</v>
      </c>
      <c r="B526" s="14" t="s">
        <v>6192</v>
      </c>
      <c r="C526" s="7" t="s">
        <v>6157</v>
      </c>
      <c r="D526" s="7" t="s">
        <v>231</v>
      </c>
      <c r="E526" s="7" t="s">
        <v>3913</v>
      </c>
      <c r="F526" s="7" t="s">
        <v>6193</v>
      </c>
      <c r="G526" s="7" t="s">
        <v>3915</v>
      </c>
      <c r="H526" s="7" t="s">
        <v>943</v>
      </c>
      <c r="I526" s="7" t="s">
        <v>1424</v>
      </c>
      <c r="J526" s="8" t="s">
        <v>6194</v>
      </c>
      <c r="K526" s="8" t="s">
        <v>250</v>
      </c>
      <c r="L526" s="7" t="s">
        <v>483</v>
      </c>
      <c r="M526" s="7" t="s">
        <v>6195</v>
      </c>
      <c r="N526" s="7" t="n">
        <v>4</v>
      </c>
      <c r="O526" s="7" t="s">
        <v>2368</v>
      </c>
      <c r="P526" s="7" t="s">
        <v>1150</v>
      </c>
      <c r="Q526" s="7" t="s">
        <v>1480</v>
      </c>
      <c r="R526" s="13" t="s">
        <v>1790</v>
      </c>
      <c r="S526" s="8" t="s">
        <v>3984</v>
      </c>
      <c r="T526" s="12"/>
      <c r="U526" s="12"/>
    </row>
    <row r="527" customFormat="false" ht="35.05" hidden="false" customHeight="false" outlineLevel="0" collapsed="false">
      <c r="A527" s="7" t="s">
        <v>6196</v>
      </c>
      <c r="B527" s="14" t="s">
        <v>6197</v>
      </c>
      <c r="C527" s="7" t="s">
        <v>6157</v>
      </c>
      <c r="D527" s="7" t="s">
        <v>231</v>
      </c>
      <c r="E527" s="7" t="s">
        <v>3913</v>
      </c>
      <c r="F527" s="7" t="s">
        <v>6198</v>
      </c>
      <c r="G527" s="7" t="s">
        <v>3915</v>
      </c>
      <c r="H527" s="7" t="s">
        <v>943</v>
      </c>
      <c r="I527" s="7" t="s">
        <v>1424</v>
      </c>
      <c r="J527" s="8" t="s">
        <v>6199</v>
      </c>
      <c r="K527" s="8" t="s">
        <v>250</v>
      </c>
      <c r="L527" s="7" t="s">
        <v>483</v>
      </c>
      <c r="M527" s="7" t="s">
        <v>6200</v>
      </c>
      <c r="N527" s="7" t="n">
        <v>4</v>
      </c>
      <c r="O527" s="7" t="s">
        <v>2368</v>
      </c>
      <c r="P527" s="7" t="s">
        <v>1150</v>
      </c>
      <c r="Q527" s="7" t="s">
        <v>1183</v>
      </c>
      <c r="R527" s="13" t="s">
        <v>1790</v>
      </c>
      <c r="S527" s="8" t="s">
        <v>3984</v>
      </c>
      <c r="T527" s="12"/>
      <c r="U527" s="12"/>
    </row>
    <row r="528" customFormat="false" ht="35.05" hidden="false" customHeight="false" outlineLevel="0" collapsed="false">
      <c r="A528" s="7" t="s">
        <v>6201</v>
      </c>
      <c r="B528" s="14" t="s">
        <v>6202</v>
      </c>
      <c r="C528" s="7" t="s">
        <v>6157</v>
      </c>
      <c r="D528" s="7" t="s">
        <v>231</v>
      </c>
      <c r="E528" s="7" t="s">
        <v>3913</v>
      </c>
      <c r="F528" s="7" t="s">
        <v>6203</v>
      </c>
      <c r="G528" s="7" t="s">
        <v>3915</v>
      </c>
      <c r="H528" s="7" t="s">
        <v>943</v>
      </c>
      <c r="I528" s="7" t="s">
        <v>1424</v>
      </c>
      <c r="J528" s="8" t="s">
        <v>6204</v>
      </c>
      <c r="K528" s="8" t="s">
        <v>250</v>
      </c>
      <c r="L528" s="7" t="s">
        <v>483</v>
      </c>
      <c r="M528" s="7" t="s">
        <v>6205</v>
      </c>
      <c r="N528" s="7" t="n">
        <v>4</v>
      </c>
      <c r="O528" s="7" t="s">
        <v>2368</v>
      </c>
      <c r="P528" s="7" t="s">
        <v>1150</v>
      </c>
      <c r="Q528" s="7" t="s">
        <v>1183</v>
      </c>
      <c r="R528" s="13" t="s">
        <v>1790</v>
      </c>
      <c r="S528" s="8" t="s">
        <v>3984</v>
      </c>
      <c r="T528" s="12"/>
      <c r="U528" s="12"/>
    </row>
    <row r="529" customFormat="false" ht="35.05" hidden="false" customHeight="false" outlineLevel="0" collapsed="false">
      <c r="A529" s="7" t="s">
        <v>6206</v>
      </c>
      <c r="B529" s="14" t="s">
        <v>6207</v>
      </c>
      <c r="C529" s="7" t="s">
        <v>6157</v>
      </c>
      <c r="D529" s="7" t="s">
        <v>231</v>
      </c>
      <c r="E529" s="7" t="s">
        <v>3913</v>
      </c>
      <c r="F529" s="7" t="s">
        <v>6208</v>
      </c>
      <c r="G529" s="7" t="s">
        <v>3915</v>
      </c>
      <c r="H529" s="7" t="s">
        <v>943</v>
      </c>
      <c r="I529" s="7" t="s">
        <v>1424</v>
      </c>
      <c r="J529" s="8" t="s">
        <v>6209</v>
      </c>
      <c r="K529" s="8" t="s">
        <v>250</v>
      </c>
      <c r="L529" s="7" t="s">
        <v>483</v>
      </c>
      <c r="M529" s="7" t="s">
        <v>6210</v>
      </c>
      <c r="N529" s="7" t="n">
        <v>4</v>
      </c>
      <c r="O529" s="7" t="s">
        <v>2368</v>
      </c>
      <c r="P529" s="7" t="s">
        <v>1150</v>
      </c>
      <c r="Q529" s="7" t="s">
        <v>1183</v>
      </c>
      <c r="R529" s="13" t="s">
        <v>1790</v>
      </c>
      <c r="S529" s="8" t="s">
        <v>3984</v>
      </c>
      <c r="T529" s="12"/>
      <c r="U529" s="12"/>
    </row>
    <row r="530" customFormat="false" ht="35.05" hidden="false" customHeight="false" outlineLevel="0" collapsed="false">
      <c r="A530" s="7" t="s">
        <v>6211</v>
      </c>
      <c r="B530" s="14" t="s">
        <v>6212</v>
      </c>
      <c r="C530" s="7" t="s">
        <v>6157</v>
      </c>
      <c r="D530" s="7" t="s">
        <v>231</v>
      </c>
      <c r="E530" s="7" t="s">
        <v>3913</v>
      </c>
      <c r="F530" s="7" t="s">
        <v>6213</v>
      </c>
      <c r="G530" s="7" t="s">
        <v>3915</v>
      </c>
      <c r="H530" s="7" t="s">
        <v>943</v>
      </c>
      <c r="I530" s="7" t="s">
        <v>1424</v>
      </c>
      <c r="J530" s="8" t="s">
        <v>6214</v>
      </c>
      <c r="K530" s="8" t="s">
        <v>250</v>
      </c>
      <c r="L530" s="7" t="s">
        <v>483</v>
      </c>
      <c r="M530" s="7" t="s">
        <v>6215</v>
      </c>
      <c r="N530" s="7" t="n">
        <v>4</v>
      </c>
      <c r="O530" s="7" t="s">
        <v>2368</v>
      </c>
      <c r="P530" s="7" t="s">
        <v>1150</v>
      </c>
      <c r="Q530" s="7" t="s">
        <v>1480</v>
      </c>
      <c r="R530" s="13" t="s">
        <v>1790</v>
      </c>
      <c r="S530" s="8" t="s">
        <v>3984</v>
      </c>
      <c r="T530" s="12"/>
      <c r="U530" s="12"/>
    </row>
    <row r="531" customFormat="false" ht="35.05" hidden="false" customHeight="false" outlineLevel="0" collapsed="false">
      <c r="A531" s="7" t="s">
        <v>6216</v>
      </c>
      <c r="B531" s="14" t="s">
        <v>6217</v>
      </c>
      <c r="C531" s="7" t="s">
        <v>6157</v>
      </c>
      <c r="D531" s="7" t="s">
        <v>231</v>
      </c>
      <c r="E531" s="7" t="s">
        <v>3913</v>
      </c>
      <c r="F531" s="7" t="s">
        <v>6218</v>
      </c>
      <c r="G531" s="7" t="s">
        <v>3915</v>
      </c>
      <c r="H531" s="7" t="s">
        <v>943</v>
      </c>
      <c r="I531" s="7" t="s">
        <v>1424</v>
      </c>
      <c r="J531" s="8" t="s">
        <v>6219</v>
      </c>
      <c r="K531" s="8" t="s">
        <v>250</v>
      </c>
      <c r="L531" s="7" t="s">
        <v>483</v>
      </c>
      <c r="M531" s="7" t="s">
        <v>6220</v>
      </c>
      <c r="N531" s="7" t="n">
        <v>4</v>
      </c>
      <c r="O531" s="7" t="s">
        <v>2368</v>
      </c>
      <c r="P531" s="7" t="s">
        <v>1150</v>
      </c>
      <c r="Q531" s="7" t="s">
        <v>1480</v>
      </c>
      <c r="R531" s="13" t="s">
        <v>1790</v>
      </c>
      <c r="S531" s="8" t="s">
        <v>3984</v>
      </c>
      <c r="T531" s="12"/>
      <c r="U531" s="12"/>
    </row>
    <row r="532" customFormat="false" ht="35.05" hidden="false" customHeight="false" outlineLevel="0" collapsed="false">
      <c r="A532" s="7" t="s">
        <v>6221</v>
      </c>
      <c r="B532" s="14" t="s">
        <v>6222</v>
      </c>
      <c r="C532" s="7" t="s">
        <v>6157</v>
      </c>
      <c r="D532" s="7" t="s">
        <v>231</v>
      </c>
      <c r="E532" s="7" t="s">
        <v>3913</v>
      </c>
      <c r="F532" s="7" t="s">
        <v>6223</v>
      </c>
      <c r="G532" s="7" t="s">
        <v>3915</v>
      </c>
      <c r="H532" s="7" t="s">
        <v>943</v>
      </c>
      <c r="I532" s="7" t="s">
        <v>1424</v>
      </c>
      <c r="J532" s="8" t="s">
        <v>6224</v>
      </c>
      <c r="K532" s="8" t="s">
        <v>250</v>
      </c>
      <c r="L532" s="7" t="s">
        <v>483</v>
      </c>
      <c r="M532" s="7" t="s">
        <v>6225</v>
      </c>
      <c r="N532" s="7" t="n">
        <v>4</v>
      </c>
      <c r="O532" s="7" t="s">
        <v>2368</v>
      </c>
      <c r="P532" s="7" t="s">
        <v>1150</v>
      </c>
      <c r="Q532" s="7" t="s">
        <v>1183</v>
      </c>
      <c r="R532" s="13" t="s">
        <v>1790</v>
      </c>
      <c r="S532" s="8" t="s">
        <v>3984</v>
      </c>
      <c r="T532" s="12"/>
      <c r="U532" s="12"/>
    </row>
    <row r="533" customFormat="false" ht="35.05" hidden="false" customHeight="false" outlineLevel="0" collapsed="false">
      <c r="A533" s="7" t="s">
        <v>6226</v>
      </c>
      <c r="B533" s="14" t="s">
        <v>6227</v>
      </c>
      <c r="C533" s="7" t="s">
        <v>6157</v>
      </c>
      <c r="D533" s="7" t="s">
        <v>231</v>
      </c>
      <c r="E533" s="7" t="s">
        <v>3913</v>
      </c>
      <c r="F533" s="7" t="s">
        <v>6228</v>
      </c>
      <c r="G533" s="7" t="s">
        <v>3915</v>
      </c>
      <c r="H533" s="7" t="s">
        <v>943</v>
      </c>
      <c r="I533" s="7" t="s">
        <v>1424</v>
      </c>
      <c r="J533" s="8" t="s">
        <v>6229</v>
      </c>
      <c r="K533" s="8" t="s">
        <v>250</v>
      </c>
      <c r="L533" s="7" t="s">
        <v>483</v>
      </c>
      <c r="M533" s="7" t="s">
        <v>6230</v>
      </c>
      <c r="N533" s="7" t="n">
        <v>4</v>
      </c>
      <c r="O533" s="7" t="s">
        <v>2368</v>
      </c>
      <c r="P533" s="7" t="s">
        <v>1150</v>
      </c>
      <c r="Q533" s="7" t="s">
        <v>1480</v>
      </c>
      <c r="R533" s="13" t="s">
        <v>1790</v>
      </c>
      <c r="S533" s="8" t="s">
        <v>3984</v>
      </c>
      <c r="T533" s="12"/>
      <c r="U533" s="12"/>
    </row>
    <row r="534" customFormat="false" ht="35.05" hidden="false" customHeight="false" outlineLevel="0" collapsed="false">
      <c r="A534" s="7" t="s">
        <v>6231</v>
      </c>
      <c r="B534" s="14" t="s">
        <v>6232</v>
      </c>
      <c r="C534" s="7" t="s">
        <v>6157</v>
      </c>
      <c r="D534" s="7" t="s">
        <v>231</v>
      </c>
      <c r="E534" s="7" t="s">
        <v>3913</v>
      </c>
      <c r="F534" s="7" t="s">
        <v>6233</v>
      </c>
      <c r="G534" s="7" t="s">
        <v>3915</v>
      </c>
      <c r="H534" s="7" t="s">
        <v>943</v>
      </c>
      <c r="I534" s="7" t="s">
        <v>1424</v>
      </c>
      <c r="J534" s="8" t="s">
        <v>6234</v>
      </c>
      <c r="K534" s="8" t="s">
        <v>250</v>
      </c>
      <c r="L534" s="7" t="s">
        <v>483</v>
      </c>
      <c r="M534" s="7" t="s">
        <v>6235</v>
      </c>
      <c r="N534" s="7" t="n">
        <v>4</v>
      </c>
      <c r="O534" s="7" t="s">
        <v>2368</v>
      </c>
      <c r="P534" s="7" t="s">
        <v>1150</v>
      </c>
      <c r="Q534" s="7" t="s">
        <v>1480</v>
      </c>
      <c r="R534" s="13" t="s">
        <v>1790</v>
      </c>
      <c r="S534" s="8" t="s">
        <v>3984</v>
      </c>
      <c r="T534" s="12"/>
      <c r="U534" s="12"/>
    </row>
    <row r="535" customFormat="false" ht="35.05" hidden="false" customHeight="false" outlineLevel="0" collapsed="false">
      <c r="A535" s="7" t="s">
        <v>6236</v>
      </c>
      <c r="B535" s="14" t="s">
        <v>6237</v>
      </c>
      <c r="C535" s="7" t="s">
        <v>6157</v>
      </c>
      <c r="D535" s="7" t="s">
        <v>231</v>
      </c>
      <c r="E535" s="7" t="s">
        <v>3913</v>
      </c>
      <c r="F535" s="7" t="s">
        <v>6238</v>
      </c>
      <c r="G535" s="7" t="s">
        <v>3915</v>
      </c>
      <c r="H535" s="7" t="s">
        <v>943</v>
      </c>
      <c r="I535" s="7" t="s">
        <v>1424</v>
      </c>
      <c r="J535" s="8" t="s">
        <v>6239</v>
      </c>
      <c r="K535" s="8" t="s">
        <v>250</v>
      </c>
      <c r="L535" s="7" t="s">
        <v>483</v>
      </c>
      <c r="M535" s="7" t="s">
        <v>6240</v>
      </c>
      <c r="N535" s="7" t="n">
        <v>4</v>
      </c>
      <c r="O535" s="7" t="s">
        <v>2368</v>
      </c>
      <c r="P535" s="7" t="s">
        <v>1150</v>
      </c>
      <c r="Q535" s="7" t="s">
        <v>1480</v>
      </c>
      <c r="R535" s="13" t="s">
        <v>1790</v>
      </c>
      <c r="S535" s="8" t="s">
        <v>3984</v>
      </c>
      <c r="T535" s="12"/>
      <c r="U535" s="12"/>
    </row>
    <row r="536" customFormat="false" ht="35.05" hidden="false" customHeight="false" outlineLevel="0" collapsed="false">
      <c r="A536" s="7" t="s">
        <v>6241</v>
      </c>
      <c r="B536" s="14" t="s">
        <v>6242</v>
      </c>
      <c r="C536" s="7" t="s">
        <v>6157</v>
      </c>
      <c r="D536" s="7" t="s">
        <v>231</v>
      </c>
      <c r="E536" s="7" t="s">
        <v>3913</v>
      </c>
      <c r="F536" s="7" t="s">
        <v>6243</v>
      </c>
      <c r="G536" s="7" t="s">
        <v>3915</v>
      </c>
      <c r="H536" s="7" t="s">
        <v>943</v>
      </c>
      <c r="I536" s="7" t="s">
        <v>1424</v>
      </c>
      <c r="J536" s="8" t="s">
        <v>6244</v>
      </c>
      <c r="K536" s="8" t="s">
        <v>250</v>
      </c>
      <c r="L536" s="7" t="s">
        <v>483</v>
      </c>
      <c r="M536" s="7" t="s">
        <v>6245</v>
      </c>
      <c r="N536" s="7" t="n">
        <v>4</v>
      </c>
      <c r="O536" s="7" t="s">
        <v>2368</v>
      </c>
      <c r="P536" s="7" t="s">
        <v>1150</v>
      </c>
      <c r="Q536" s="7" t="s">
        <v>1480</v>
      </c>
      <c r="R536" s="13" t="s">
        <v>1790</v>
      </c>
      <c r="S536" s="8" t="s">
        <v>3984</v>
      </c>
      <c r="T536" s="12"/>
      <c r="U536" s="12"/>
    </row>
    <row r="537" customFormat="false" ht="35.05" hidden="false" customHeight="false" outlineLevel="0" collapsed="false">
      <c r="A537" s="7" t="s">
        <v>6246</v>
      </c>
      <c r="B537" s="14" t="s">
        <v>6247</v>
      </c>
      <c r="C537" s="7" t="s">
        <v>6157</v>
      </c>
      <c r="D537" s="7" t="s">
        <v>231</v>
      </c>
      <c r="E537" s="7" t="s">
        <v>3913</v>
      </c>
      <c r="F537" s="7" t="s">
        <v>6248</v>
      </c>
      <c r="G537" s="7" t="s">
        <v>3915</v>
      </c>
      <c r="H537" s="7" t="s">
        <v>943</v>
      </c>
      <c r="I537" s="7" t="s">
        <v>1424</v>
      </c>
      <c r="J537" s="8" t="s">
        <v>6249</v>
      </c>
      <c r="K537" s="8" t="s">
        <v>250</v>
      </c>
      <c r="L537" s="7" t="s">
        <v>483</v>
      </c>
      <c r="M537" s="7" t="s">
        <v>6250</v>
      </c>
      <c r="N537" s="7" t="n">
        <v>4</v>
      </c>
      <c r="O537" s="7" t="s">
        <v>2368</v>
      </c>
      <c r="P537" s="7" t="s">
        <v>1150</v>
      </c>
      <c r="Q537" s="7" t="s">
        <v>1480</v>
      </c>
      <c r="R537" s="13" t="s">
        <v>1790</v>
      </c>
      <c r="S537" s="8" t="s">
        <v>3984</v>
      </c>
      <c r="T537" s="12"/>
      <c r="U537" s="12"/>
    </row>
    <row r="538" customFormat="false" ht="35.05" hidden="false" customHeight="false" outlineLevel="0" collapsed="false">
      <c r="A538" s="7" t="s">
        <v>6251</v>
      </c>
      <c r="B538" s="14" t="s">
        <v>6252</v>
      </c>
      <c r="C538" s="7" t="s">
        <v>6157</v>
      </c>
      <c r="D538" s="7" t="s">
        <v>231</v>
      </c>
      <c r="E538" s="7" t="s">
        <v>3913</v>
      </c>
      <c r="F538" s="7" t="s">
        <v>6253</v>
      </c>
      <c r="G538" s="7" t="s">
        <v>3915</v>
      </c>
      <c r="H538" s="7" t="s">
        <v>943</v>
      </c>
      <c r="I538" s="7" t="s">
        <v>1424</v>
      </c>
      <c r="J538" s="8" t="s">
        <v>6254</v>
      </c>
      <c r="K538" s="8" t="s">
        <v>250</v>
      </c>
      <c r="L538" s="7" t="s">
        <v>483</v>
      </c>
      <c r="M538" s="7" t="s">
        <v>6255</v>
      </c>
      <c r="N538" s="7" t="n">
        <v>4</v>
      </c>
      <c r="O538" s="7" t="s">
        <v>2368</v>
      </c>
      <c r="P538" s="7" t="s">
        <v>1150</v>
      </c>
      <c r="Q538" s="7" t="s">
        <v>1480</v>
      </c>
      <c r="R538" s="13" t="s">
        <v>1790</v>
      </c>
      <c r="S538" s="8" t="s">
        <v>3984</v>
      </c>
      <c r="T538" s="12"/>
      <c r="U538" s="12"/>
    </row>
    <row r="539" customFormat="false" ht="35.05" hidden="false" customHeight="false" outlineLevel="0" collapsed="false">
      <c r="A539" s="7" t="s">
        <v>6256</v>
      </c>
      <c r="B539" s="14" t="s">
        <v>6257</v>
      </c>
      <c r="C539" s="7" t="s">
        <v>6157</v>
      </c>
      <c r="D539" s="7" t="s">
        <v>231</v>
      </c>
      <c r="E539" s="7" t="s">
        <v>3913</v>
      </c>
      <c r="F539" s="7" t="s">
        <v>6258</v>
      </c>
      <c r="G539" s="7" t="s">
        <v>3915</v>
      </c>
      <c r="H539" s="7" t="s">
        <v>943</v>
      </c>
      <c r="I539" s="7" t="s">
        <v>1424</v>
      </c>
      <c r="J539" s="8" t="s">
        <v>6259</v>
      </c>
      <c r="K539" s="8" t="s">
        <v>250</v>
      </c>
      <c r="L539" s="7" t="s">
        <v>483</v>
      </c>
      <c r="M539" s="7" t="s">
        <v>6260</v>
      </c>
      <c r="N539" s="7" t="n">
        <v>4</v>
      </c>
      <c r="O539" s="7" t="s">
        <v>2368</v>
      </c>
      <c r="P539" s="7" t="s">
        <v>1150</v>
      </c>
      <c r="Q539" s="7" t="s">
        <v>1480</v>
      </c>
      <c r="R539" s="13" t="s">
        <v>1790</v>
      </c>
      <c r="S539" s="8" t="s">
        <v>3984</v>
      </c>
      <c r="T539" s="12"/>
      <c r="U539" s="12"/>
    </row>
    <row r="540" customFormat="false" ht="35.05" hidden="false" customHeight="false" outlineLevel="0" collapsed="false">
      <c r="A540" s="7" t="s">
        <v>6261</v>
      </c>
      <c r="B540" s="14" t="s">
        <v>6262</v>
      </c>
      <c r="C540" s="7" t="s">
        <v>6157</v>
      </c>
      <c r="D540" s="7" t="s">
        <v>231</v>
      </c>
      <c r="E540" s="7" t="s">
        <v>3913</v>
      </c>
      <c r="F540" s="7" t="s">
        <v>6263</v>
      </c>
      <c r="G540" s="7" t="s">
        <v>3915</v>
      </c>
      <c r="H540" s="7" t="s">
        <v>943</v>
      </c>
      <c r="I540" s="7" t="s">
        <v>1424</v>
      </c>
      <c r="J540" s="8" t="s">
        <v>6264</v>
      </c>
      <c r="K540" s="8" t="s">
        <v>250</v>
      </c>
      <c r="L540" s="7" t="s">
        <v>483</v>
      </c>
      <c r="M540" s="7" t="s">
        <v>6265</v>
      </c>
      <c r="N540" s="7" t="n">
        <v>4</v>
      </c>
      <c r="O540" s="7" t="s">
        <v>2368</v>
      </c>
      <c r="P540" s="7" t="s">
        <v>1150</v>
      </c>
      <c r="Q540" s="7" t="s">
        <v>1480</v>
      </c>
      <c r="R540" s="13" t="s">
        <v>1790</v>
      </c>
      <c r="S540" s="8" t="s">
        <v>3984</v>
      </c>
      <c r="T540" s="12"/>
      <c r="U540" s="12"/>
    </row>
    <row r="541" customFormat="false" ht="35.05" hidden="false" customHeight="false" outlineLevel="0" collapsed="false">
      <c r="A541" s="7" t="s">
        <v>6266</v>
      </c>
      <c r="B541" s="14" t="s">
        <v>6267</v>
      </c>
      <c r="C541" s="7" t="s">
        <v>6157</v>
      </c>
      <c r="D541" s="7" t="s">
        <v>231</v>
      </c>
      <c r="E541" s="7" t="s">
        <v>3913</v>
      </c>
      <c r="F541" s="7" t="s">
        <v>6268</v>
      </c>
      <c r="G541" s="7" t="s">
        <v>3915</v>
      </c>
      <c r="H541" s="7" t="s">
        <v>943</v>
      </c>
      <c r="I541" s="7" t="s">
        <v>1424</v>
      </c>
      <c r="J541" s="8" t="s">
        <v>6269</v>
      </c>
      <c r="K541" s="8" t="s">
        <v>250</v>
      </c>
      <c r="L541" s="7" t="s">
        <v>483</v>
      </c>
      <c r="M541" s="7" t="s">
        <v>6270</v>
      </c>
      <c r="N541" s="7" t="n">
        <v>4</v>
      </c>
      <c r="O541" s="7" t="s">
        <v>2368</v>
      </c>
      <c r="P541" s="7" t="s">
        <v>1150</v>
      </c>
      <c r="Q541" s="7" t="s">
        <v>1480</v>
      </c>
      <c r="R541" s="13" t="s">
        <v>1790</v>
      </c>
      <c r="S541" s="8" t="s">
        <v>3984</v>
      </c>
      <c r="T541" s="12"/>
      <c r="U541" s="12"/>
    </row>
    <row r="542" customFormat="false" ht="23.85" hidden="false" customHeight="false" outlineLevel="0" collapsed="false">
      <c r="A542" s="7" t="s">
        <v>6271</v>
      </c>
      <c r="B542" s="14" t="s">
        <v>6272</v>
      </c>
      <c r="C542" s="7" t="s">
        <v>6157</v>
      </c>
      <c r="D542" s="7" t="s">
        <v>231</v>
      </c>
      <c r="E542" s="7" t="s">
        <v>3913</v>
      </c>
      <c r="F542" s="7" t="s">
        <v>6273</v>
      </c>
      <c r="G542" s="7" t="s">
        <v>3915</v>
      </c>
      <c r="H542" s="7" t="s">
        <v>943</v>
      </c>
      <c r="I542" s="7" t="s">
        <v>1424</v>
      </c>
      <c r="J542" s="8" t="s">
        <v>6274</v>
      </c>
      <c r="K542" s="8" t="s">
        <v>6275</v>
      </c>
      <c r="L542" s="7" t="s">
        <v>1021</v>
      </c>
      <c r="M542" s="7" t="s">
        <v>6276</v>
      </c>
      <c r="N542" s="7" t="s">
        <v>952</v>
      </c>
      <c r="O542" s="7" t="s">
        <v>2368</v>
      </c>
      <c r="P542" s="7" t="s">
        <v>1421</v>
      </c>
      <c r="Q542" s="7" t="s">
        <v>1480</v>
      </c>
      <c r="R542" s="13" t="s">
        <v>1790</v>
      </c>
      <c r="S542" s="8" t="s">
        <v>3984</v>
      </c>
      <c r="T542" s="12"/>
      <c r="U542" s="12"/>
    </row>
    <row r="543" customFormat="false" ht="23.85" hidden="false" customHeight="false" outlineLevel="0" collapsed="false">
      <c r="A543" s="7" t="s">
        <v>6277</v>
      </c>
      <c r="B543" s="14" t="s">
        <v>6278</v>
      </c>
      <c r="C543" s="7" t="s">
        <v>6157</v>
      </c>
      <c r="D543" s="7" t="s">
        <v>231</v>
      </c>
      <c r="E543" s="7" t="s">
        <v>3913</v>
      </c>
      <c r="F543" s="7" t="s">
        <v>6279</v>
      </c>
      <c r="G543" s="7" t="s">
        <v>3915</v>
      </c>
      <c r="H543" s="7" t="s">
        <v>943</v>
      </c>
      <c r="I543" s="7" t="s">
        <v>1424</v>
      </c>
      <c r="J543" s="8" t="s">
        <v>6280</v>
      </c>
      <c r="K543" s="8" t="s">
        <v>6275</v>
      </c>
      <c r="L543" s="7" t="s">
        <v>1021</v>
      </c>
      <c r="M543" s="7" t="s">
        <v>6281</v>
      </c>
      <c r="N543" s="7" t="s">
        <v>952</v>
      </c>
      <c r="O543" s="7" t="s">
        <v>2368</v>
      </c>
      <c r="P543" s="7" t="s">
        <v>1421</v>
      </c>
      <c r="Q543" s="7" t="s">
        <v>1480</v>
      </c>
      <c r="R543" s="13" t="s">
        <v>1790</v>
      </c>
      <c r="S543" s="8" t="s">
        <v>3984</v>
      </c>
      <c r="T543" s="12"/>
      <c r="U543" s="12"/>
    </row>
    <row r="544" customFormat="false" ht="23.85" hidden="false" customHeight="false" outlineLevel="0" collapsed="false">
      <c r="A544" s="7" t="s">
        <v>6282</v>
      </c>
      <c r="B544" s="14" t="s">
        <v>6283</v>
      </c>
      <c r="C544" s="7" t="s">
        <v>6284</v>
      </c>
      <c r="D544" s="7" t="s">
        <v>231</v>
      </c>
      <c r="E544" s="7" t="s">
        <v>6285</v>
      </c>
      <c r="F544" s="7" t="s">
        <v>6286</v>
      </c>
      <c r="G544" s="7" t="s">
        <v>6287</v>
      </c>
      <c r="H544" s="7" t="s">
        <v>943</v>
      </c>
      <c r="I544" s="7" t="s">
        <v>1424</v>
      </c>
      <c r="J544" s="8" t="s">
        <v>6288</v>
      </c>
      <c r="K544" s="8" t="s">
        <v>6289</v>
      </c>
      <c r="L544" s="7" t="s">
        <v>720</v>
      </c>
      <c r="M544" s="7" t="s">
        <v>6290</v>
      </c>
      <c r="N544" s="7" t="n">
        <v>2</v>
      </c>
      <c r="O544" s="7" t="s">
        <v>2368</v>
      </c>
      <c r="P544" s="7" t="s">
        <v>1150</v>
      </c>
      <c r="Q544" s="7" t="s">
        <v>1480</v>
      </c>
      <c r="R544" s="7" t="s">
        <v>1152</v>
      </c>
      <c r="S544" s="8" t="s">
        <v>3984</v>
      </c>
      <c r="T544" s="12"/>
      <c r="U544" s="12"/>
    </row>
    <row r="545" customFormat="false" ht="23.85" hidden="false" customHeight="false" outlineLevel="0" collapsed="false">
      <c r="A545" s="7" t="s">
        <v>6291</v>
      </c>
      <c r="B545" s="14" t="s">
        <v>6292</v>
      </c>
      <c r="C545" s="7" t="s">
        <v>6284</v>
      </c>
      <c r="D545" s="7" t="s">
        <v>231</v>
      </c>
      <c r="E545" s="7" t="s">
        <v>6285</v>
      </c>
      <c r="F545" s="7" t="s">
        <v>6293</v>
      </c>
      <c r="G545" s="7" t="s">
        <v>6287</v>
      </c>
      <c r="H545" s="7" t="s">
        <v>943</v>
      </c>
      <c r="I545" s="7" t="s">
        <v>1424</v>
      </c>
      <c r="J545" s="8" t="s">
        <v>6294</v>
      </c>
      <c r="K545" s="8" t="s">
        <v>6289</v>
      </c>
      <c r="L545" s="7" t="s">
        <v>720</v>
      </c>
      <c r="M545" s="7" t="s">
        <v>6295</v>
      </c>
      <c r="N545" s="7" t="n">
        <v>2</v>
      </c>
      <c r="O545" s="7" t="s">
        <v>2368</v>
      </c>
      <c r="P545" s="7" t="s">
        <v>1150</v>
      </c>
      <c r="Q545" s="7" t="s">
        <v>1480</v>
      </c>
      <c r="R545" s="7" t="s">
        <v>1152</v>
      </c>
      <c r="S545" s="8" t="s">
        <v>3984</v>
      </c>
      <c r="T545" s="12"/>
      <c r="U545" s="12"/>
    </row>
    <row r="546" customFormat="false" ht="23.85" hidden="false" customHeight="false" outlineLevel="0" collapsed="false">
      <c r="A546" s="7" t="s">
        <v>6296</v>
      </c>
      <c r="B546" s="14" t="s">
        <v>6297</v>
      </c>
      <c r="C546" s="7" t="s">
        <v>6284</v>
      </c>
      <c r="D546" s="7" t="s">
        <v>231</v>
      </c>
      <c r="E546" s="7" t="s">
        <v>6285</v>
      </c>
      <c r="F546" s="7" t="s">
        <v>6298</v>
      </c>
      <c r="G546" s="7" t="s">
        <v>6287</v>
      </c>
      <c r="H546" s="7" t="s">
        <v>943</v>
      </c>
      <c r="I546" s="7" t="s">
        <v>1424</v>
      </c>
      <c r="J546" s="8" t="s">
        <v>6299</v>
      </c>
      <c r="K546" s="8" t="s">
        <v>6289</v>
      </c>
      <c r="L546" s="7" t="s">
        <v>720</v>
      </c>
      <c r="M546" s="7" t="s">
        <v>6300</v>
      </c>
      <c r="N546" s="7" t="n">
        <v>2</v>
      </c>
      <c r="O546" s="7" t="s">
        <v>2368</v>
      </c>
      <c r="P546" s="7" t="s">
        <v>1150</v>
      </c>
      <c r="Q546" s="7" t="s">
        <v>1480</v>
      </c>
      <c r="R546" s="7" t="s">
        <v>1152</v>
      </c>
      <c r="S546" s="8" t="s">
        <v>3984</v>
      </c>
      <c r="T546" s="12"/>
      <c r="U546" s="12"/>
    </row>
    <row r="547" customFormat="false" ht="23.85" hidden="false" customHeight="false" outlineLevel="0" collapsed="false">
      <c r="A547" s="7" t="s">
        <v>6301</v>
      </c>
      <c r="B547" s="14" t="s">
        <v>6302</v>
      </c>
      <c r="C547" s="7" t="s">
        <v>6303</v>
      </c>
      <c r="D547" s="7" t="s">
        <v>231</v>
      </c>
      <c r="E547" s="7" t="s">
        <v>6304</v>
      </c>
      <c r="F547" s="7" t="s">
        <v>6305</v>
      </c>
      <c r="G547" s="7" t="s">
        <v>6306</v>
      </c>
      <c r="H547" s="7" t="s">
        <v>1029</v>
      </c>
      <c r="I547" s="7" t="s">
        <v>3572</v>
      </c>
      <c r="J547" s="8" t="s">
        <v>6307</v>
      </c>
      <c r="K547" s="8" t="s">
        <v>6289</v>
      </c>
      <c r="L547" s="7" t="s">
        <v>720</v>
      </c>
      <c r="M547" s="7" t="s">
        <v>6308</v>
      </c>
      <c r="N547" s="7" t="n">
        <v>2</v>
      </c>
      <c r="O547" s="7" t="s">
        <v>2368</v>
      </c>
      <c r="P547" s="7" t="s">
        <v>1421</v>
      </c>
      <c r="Q547" s="7" t="s">
        <v>1480</v>
      </c>
      <c r="R547" s="7" t="s">
        <v>1152</v>
      </c>
      <c r="S547" s="8" t="s">
        <v>3984</v>
      </c>
      <c r="T547" s="12"/>
      <c r="U547" s="12"/>
    </row>
    <row r="548" customFormat="false" ht="23.85" hidden="false" customHeight="false" outlineLevel="0" collapsed="false">
      <c r="A548" s="7" t="s">
        <v>6309</v>
      </c>
      <c r="B548" s="14" t="s">
        <v>6310</v>
      </c>
      <c r="C548" s="7" t="s">
        <v>6303</v>
      </c>
      <c r="D548" s="7" t="s">
        <v>231</v>
      </c>
      <c r="E548" s="7" t="s">
        <v>6304</v>
      </c>
      <c r="F548" s="7" t="s">
        <v>6311</v>
      </c>
      <c r="G548" s="7" t="s">
        <v>6306</v>
      </c>
      <c r="H548" s="7" t="s">
        <v>1029</v>
      </c>
      <c r="I548" s="7" t="s">
        <v>3572</v>
      </c>
      <c r="J548" s="8" t="s">
        <v>6312</v>
      </c>
      <c r="K548" s="8" t="s">
        <v>6289</v>
      </c>
      <c r="L548" s="7" t="s">
        <v>720</v>
      </c>
      <c r="M548" s="7" t="s">
        <v>6313</v>
      </c>
      <c r="N548" s="7" t="n">
        <v>2</v>
      </c>
      <c r="O548" s="7" t="s">
        <v>2368</v>
      </c>
      <c r="P548" s="7" t="s">
        <v>1421</v>
      </c>
      <c r="Q548" s="7" t="s">
        <v>1480</v>
      </c>
      <c r="R548" s="7" t="s">
        <v>1152</v>
      </c>
      <c r="S548" s="8" t="s">
        <v>3984</v>
      </c>
      <c r="T548" s="12"/>
      <c r="U548" s="12"/>
    </row>
    <row r="549" customFormat="false" ht="46.25" hidden="false" customHeight="false" outlineLevel="0" collapsed="false">
      <c r="A549" s="7" t="s">
        <v>6314</v>
      </c>
      <c r="B549" s="14" t="s">
        <v>6315</v>
      </c>
      <c r="C549" s="7" t="s">
        <v>6316</v>
      </c>
      <c r="D549" s="7" t="s">
        <v>291</v>
      </c>
      <c r="E549" s="7" t="s">
        <v>3935</v>
      </c>
      <c r="F549" s="7" t="s">
        <v>6317</v>
      </c>
      <c r="G549" s="7" t="s">
        <v>3937</v>
      </c>
      <c r="H549" s="7" t="s">
        <v>943</v>
      </c>
      <c r="I549" s="7" t="s">
        <v>1424</v>
      </c>
      <c r="J549" s="8" t="s">
        <v>6318</v>
      </c>
      <c r="K549" s="8" t="s">
        <v>6319</v>
      </c>
      <c r="L549" s="7" t="s">
        <v>483</v>
      </c>
      <c r="M549" s="7" t="s">
        <v>6320</v>
      </c>
      <c r="N549" s="7" t="n">
        <v>4</v>
      </c>
      <c r="O549" s="7" t="s">
        <v>2696</v>
      </c>
      <c r="P549" s="7" t="s">
        <v>1421</v>
      </c>
      <c r="Q549" s="7" t="s">
        <v>1183</v>
      </c>
      <c r="R549" s="7" t="s">
        <v>1152</v>
      </c>
      <c r="S549" s="8" t="s">
        <v>3984</v>
      </c>
      <c r="T549" s="12"/>
      <c r="U549" s="12"/>
    </row>
    <row r="550" customFormat="false" ht="35.05" hidden="false" customHeight="false" outlineLevel="0" collapsed="false">
      <c r="A550" s="7" t="s">
        <v>6321</v>
      </c>
      <c r="B550" s="14" t="s">
        <v>6322</v>
      </c>
      <c r="C550" s="7" t="s">
        <v>6316</v>
      </c>
      <c r="D550" s="7" t="s">
        <v>291</v>
      </c>
      <c r="E550" s="7" t="s">
        <v>3935</v>
      </c>
      <c r="F550" s="7" t="s">
        <v>6323</v>
      </c>
      <c r="G550" s="7" t="s">
        <v>3937</v>
      </c>
      <c r="H550" s="7" t="s">
        <v>943</v>
      </c>
      <c r="I550" s="7" t="s">
        <v>1424</v>
      </c>
      <c r="J550" s="8" t="s">
        <v>6324</v>
      </c>
      <c r="K550" s="8" t="s">
        <v>6319</v>
      </c>
      <c r="L550" s="7" t="s">
        <v>483</v>
      </c>
      <c r="M550" s="7" t="s">
        <v>6325</v>
      </c>
      <c r="N550" s="7" t="n">
        <v>4</v>
      </c>
      <c r="O550" s="7" t="s">
        <v>2696</v>
      </c>
      <c r="P550" s="7" t="s">
        <v>1421</v>
      </c>
      <c r="Q550" s="7" t="s">
        <v>1480</v>
      </c>
      <c r="R550" s="7" t="s">
        <v>1152</v>
      </c>
      <c r="S550" s="8" t="s">
        <v>3984</v>
      </c>
      <c r="T550" s="12"/>
      <c r="U550" s="12"/>
    </row>
    <row r="551" customFormat="false" ht="35.05" hidden="false" customHeight="false" outlineLevel="0" collapsed="false">
      <c r="A551" s="7" t="s">
        <v>6326</v>
      </c>
      <c r="B551" s="14" t="s">
        <v>6327</v>
      </c>
      <c r="C551" s="7" t="s">
        <v>6316</v>
      </c>
      <c r="D551" s="7" t="s">
        <v>291</v>
      </c>
      <c r="E551" s="7" t="s">
        <v>3935</v>
      </c>
      <c r="F551" s="7" t="s">
        <v>6328</v>
      </c>
      <c r="G551" s="7" t="s">
        <v>3937</v>
      </c>
      <c r="H551" s="7" t="s">
        <v>943</v>
      </c>
      <c r="I551" s="7" t="s">
        <v>1424</v>
      </c>
      <c r="J551" s="8" t="s">
        <v>6329</v>
      </c>
      <c r="K551" s="8" t="s">
        <v>6319</v>
      </c>
      <c r="L551" s="7" t="s">
        <v>483</v>
      </c>
      <c r="M551" s="7" t="s">
        <v>6330</v>
      </c>
      <c r="N551" s="7" t="n">
        <v>4</v>
      </c>
      <c r="O551" s="7" t="s">
        <v>2696</v>
      </c>
      <c r="P551" s="7" t="s">
        <v>1421</v>
      </c>
      <c r="Q551" s="7" t="s">
        <v>1183</v>
      </c>
      <c r="R551" s="7" t="s">
        <v>1152</v>
      </c>
      <c r="S551" s="8" t="s">
        <v>3984</v>
      </c>
      <c r="T551" s="12"/>
      <c r="U551" s="12"/>
    </row>
    <row r="552" customFormat="false" ht="35.05" hidden="false" customHeight="false" outlineLevel="0" collapsed="false">
      <c r="A552" s="7" t="s">
        <v>6331</v>
      </c>
      <c r="B552" s="14" t="s">
        <v>6332</v>
      </c>
      <c r="C552" s="7" t="s">
        <v>6316</v>
      </c>
      <c r="D552" s="7" t="s">
        <v>291</v>
      </c>
      <c r="E552" s="7" t="s">
        <v>3935</v>
      </c>
      <c r="F552" s="7" t="s">
        <v>6333</v>
      </c>
      <c r="G552" s="7" t="s">
        <v>3937</v>
      </c>
      <c r="H552" s="7" t="s">
        <v>943</v>
      </c>
      <c r="I552" s="7" t="s">
        <v>1424</v>
      </c>
      <c r="J552" s="8" t="s">
        <v>6334</v>
      </c>
      <c r="K552" s="8" t="s">
        <v>6319</v>
      </c>
      <c r="L552" s="7" t="s">
        <v>483</v>
      </c>
      <c r="M552" s="7" t="s">
        <v>6335</v>
      </c>
      <c r="N552" s="7" t="n">
        <v>4</v>
      </c>
      <c r="O552" s="7" t="s">
        <v>2696</v>
      </c>
      <c r="P552" s="7" t="s">
        <v>1421</v>
      </c>
      <c r="Q552" s="7" t="s">
        <v>1183</v>
      </c>
      <c r="R552" s="7" t="s">
        <v>1152</v>
      </c>
      <c r="S552" s="8" t="s">
        <v>3984</v>
      </c>
      <c r="T552" s="12"/>
      <c r="U552" s="12"/>
    </row>
    <row r="553" customFormat="false" ht="35.05" hidden="false" customHeight="false" outlineLevel="0" collapsed="false">
      <c r="A553" s="7" t="s">
        <v>6336</v>
      </c>
      <c r="B553" s="14" t="s">
        <v>6337</v>
      </c>
      <c r="C553" s="7" t="s">
        <v>6316</v>
      </c>
      <c r="D553" s="7" t="s">
        <v>291</v>
      </c>
      <c r="E553" s="7" t="s">
        <v>3935</v>
      </c>
      <c r="F553" s="7" t="s">
        <v>6338</v>
      </c>
      <c r="G553" s="7" t="s">
        <v>3937</v>
      </c>
      <c r="H553" s="7" t="s">
        <v>943</v>
      </c>
      <c r="I553" s="7" t="s">
        <v>1424</v>
      </c>
      <c r="J553" s="8" t="s">
        <v>6339</v>
      </c>
      <c r="K553" s="8" t="s">
        <v>6319</v>
      </c>
      <c r="L553" s="7" t="s">
        <v>483</v>
      </c>
      <c r="M553" s="7" t="s">
        <v>6340</v>
      </c>
      <c r="N553" s="7" t="n">
        <v>4</v>
      </c>
      <c r="O553" s="7" t="s">
        <v>2696</v>
      </c>
      <c r="P553" s="7" t="s">
        <v>1421</v>
      </c>
      <c r="Q553" s="7" t="s">
        <v>1183</v>
      </c>
      <c r="R553" s="7" t="s">
        <v>1152</v>
      </c>
      <c r="S553" s="8" t="s">
        <v>3984</v>
      </c>
      <c r="T553" s="12"/>
      <c r="U553" s="12"/>
    </row>
    <row r="554" customFormat="false" ht="35.05" hidden="false" customHeight="false" outlineLevel="0" collapsed="false">
      <c r="A554" s="7" t="s">
        <v>6341</v>
      </c>
      <c r="B554" s="14" t="s">
        <v>6342</v>
      </c>
      <c r="C554" s="7" t="s">
        <v>6316</v>
      </c>
      <c r="D554" s="7" t="s">
        <v>291</v>
      </c>
      <c r="E554" s="7" t="s">
        <v>3935</v>
      </c>
      <c r="F554" s="7" t="s">
        <v>6343</v>
      </c>
      <c r="G554" s="7" t="s">
        <v>3937</v>
      </c>
      <c r="H554" s="7" t="s">
        <v>943</v>
      </c>
      <c r="I554" s="7" t="s">
        <v>1424</v>
      </c>
      <c r="J554" s="8" t="s">
        <v>6344</v>
      </c>
      <c r="K554" s="8" t="s">
        <v>6319</v>
      </c>
      <c r="L554" s="7" t="s">
        <v>483</v>
      </c>
      <c r="M554" s="7" t="s">
        <v>6345</v>
      </c>
      <c r="N554" s="7" t="n">
        <v>4</v>
      </c>
      <c r="O554" s="7" t="s">
        <v>2696</v>
      </c>
      <c r="P554" s="7" t="s">
        <v>1421</v>
      </c>
      <c r="Q554" s="7" t="s">
        <v>1183</v>
      </c>
      <c r="R554" s="7" t="s">
        <v>1152</v>
      </c>
      <c r="S554" s="8" t="s">
        <v>3984</v>
      </c>
      <c r="T554" s="12"/>
      <c r="U554" s="12"/>
    </row>
    <row r="555" customFormat="false" ht="35.05" hidden="false" customHeight="false" outlineLevel="0" collapsed="false">
      <c r="A555" s="7" t="s">
        <v>6346</v>
      </c>
      <c r="B555" s="14" t="s">
        <v>6347</v>
      </c>
      <c r="C555" s="7" t="s">
        <v>6316</v>
      </c>
      <c r="D555" s="7" t="s">
        <v>291</v>
      </c>
      <c r="E555" s="7" t="s">
        <v>3935</v>
      </c>
      <c r="F555" s="7" t="s">
        <v>6348</v>
      </c>
      <c r="G555" s="7" t="s">
        <v>3937</v>
      </c>
      <c r="H555" s="7" t="s">
        <v>943</v>
      </c>
      <c r="I555" s="7" t="s">
        <v>1424</v>
      </c>
      <c r="J555" s="8" t="s">
        <v>6349</v>
      </c>
      <c r="K555" s="8" t="s">
        <v>6319</v>
      </c>
      <c r="L555" s="7" t="s">
        <v>483</v>
      </c>
      <c r="M555" s="7" t="s">
        <v>6350</v>
      </c>
      <c r="N555" s="7" t="n">
        <v>4</v>
      </c>
      <c r="O555" s="7" t="s">
        <v>2696</v>
      </c>
      <c r="P555" s="7" t="s">
        <v>1421</v>
      </c>
      <c r="Q555" s="7" t="s">
        <v>1480</v>
      </c>
      <c r="R555" s="7" t="s">
        <v>1152</v>
      </c>
      <c r="S555" s="8" t="s">
        <v>3984</v>
      </c>
      <c r="T555" s="12"/>
      <c r="U555" s="12"/>
    </row>
    <row r="556" customFormat="false" ht="35.05" hidden="false" customHeight="false" outlineLevel="0" collapsed="false">
      <c r="A556" s="7" t="s">
        <v>6351</v>
      </c>
      <c r="B556" s="14" t="s">
        <v>6352</v>
      </c>
      <c r="C556" s="7" t="s">
        <v>6316</v>
      </c>
      <c r="D556" s="7" t="s">
        <v>291</v>
      </c>
      <c r="E556" s="7" t="s">
        <v>3935</v>
      </c>
      <c r="F556" s="7" t="s">
        <v>6353</v>
      </c>
      <c r="G556" s="7" t="s">
        <v>3937</v>
      </c>
      <c r="H556" s="7" t="s">
        <v>943</v>
      </c>
      <c r="I556" s="7" t="s">
        <v>1424</v>
      </c>
      <c r="J556" s="8" t="s">
        <v>6354</v>
      </c>
      <c r="K556" s="8" t="s">
        <v>6319</v>
      </c>
      <c r="L556" s="7" t="s">
        <v>483</v>
      </c>
      <c r="M556" s="7" t="s">
        <v>6355</v>
      </c>
      <c r="N556" s="7" t="n">
        <v>4</v>
      </c>
      <c r="O556" s="7" t="s">
        <v>2696</v>
      </c>
      <c r="P556" s="7" t="s">
        <v>1421</v>
      </c>
      <c r="Q556" s="7" t="s">
        <v>1480</v>
      </c>
      <c r="R556" s="7" t="s">
        <v>1152</v>
      </c>
      <c r="S556" s="8" t="s">
        <v>3984</v>
      </c>
      <c r="T556" s="12"/>
      <c r="U556" s="12"/>
    </row>
    <row r="557" customFormat="false" ht="35.05" hidden="false" customHeight="false" outlineLevel="0" collapsed="false">
      <c r="A557" s="7" t="s">
        <v>6356</v>
      </c>
      <c r="B557" s="14" t="s">
        <v>6357</v>
      </c>
      <c r="C557" s="7" t="s">
        <v>6316</v>
      </c>
      <c r="D557" s="7" t="s">
        <v>291</v>
      </c>
      <c r="E557" s="7" t="s">
        <v>3935</v>
      </c>
      <c r="F557" s="7" t="s">
        <v>6358</v>
      </c>
      <c r="G557" s="7" t="s">
        <v>3937</v>
      </c>
      <c r="H557" s="7" t="s">
        <v>943</v>
      </c>
      <c r="I557" s="7" t="s">
        <v>1424</v>
      </c>
      <c r="J557" s="8" t="s">
        <v>6359</v>
      </c>
      <c r="K557" s="8" t="s">
        <v>6319</v>
      </c>
      <c r="L557" s="7" t="s">
        <v>483</v>
      </c>
      <c r="M557" s="7" t="s">
        <v>6360</v>
      </c>
      <c r="N557" s="7" t="n">
        <v>4</v>
      </c>
      <c r="O557" s="7" t="s">
        <v>2696</v>
      </c>
      <c r="P557" s="7" t="s">
        <v>1421</v>
      </c>
      <c r="Q557" s="7" t="s">
        <v>1480</v>
      </c>
      <c r="R557" s="7" t="s">
        <v>1152</v>
      </c>
      <c r="S557" s="8" t="s">
        <v>3984</v>
      </c>
      <c r="T557" s="12"/>
      <c r="U557" s="12"/>
    </row>
    <row r="558" customFormat="false" ht="35.05" hidden="false" customHeight="false" outlineLevel="0" collapsed="false">
      <c r="A558" s="7" t="s">
        <v>6361</v>
      </c>
      <c r="B558" s="14" t="s">
        <v>6362</v>
      </c>
      <c r="C558" s="7" t="s">
        <v>6316</v>
      </c>
      <c r="D558" s="7" t="s">
        <v>291</v>
      </c>
      <c r="E558" s="7" t="s">
        <v>3935</v>
      </c>
      <c r="F558" s="7" t="s">
        <v>6363</v>
      </c>
      <c r="G558" s="7" t="s">
        <v>3937</v>
      </c>
      <c r="H558" s="7" t="s">
        <v>943</v>
      </c>
      <c r="I558" s="7" t="s">
        <v>1424</v>
      </c>
      <c r="J558" s="8" t="s">
        <v>6364</v>
      </c>
      <c r="K558" s="8" t="s">
        <v>6319</v>
      </c>
      <c r="L558" s="7" t="s">
        <v>483</v>
      </c>
      <c r="M558" s="7" t="s">
        <v>6365</v>
      </c>
      <c r="N558" s="7" t="n">
        <v>4</v>
      </c>
      <c r="O558" s="7" t="s">
        <v>2696</v>
      </c>
      <c r="P558" s="7" t="s">
        <v>1421</v>
      </c>
      <c r="Q558" s="7" t="s">
        <v>1480</v>
      </c>
      <c r="R558" s="7" t="s">
        <v>1152</v>
      </c>
      <c r="S558" s="8" t="s">
        <v>3984</v>
      </c>
      <c r="T558" s="12"/>
      <c r="U558" s="12"/>
    </row>
    <row r="559" customFormat="false" ht="35.05" hidden="false" customHeight="false" outlineLevel="0" collapsed="false">
      <c r="A559" s="7" t="s">
        <v>6366</v>
      </c>
      <c r="B559" s="14" t="s">
        <v>6367</v>
      </c>
      <c r="C559" s="7" t="s">
        <v>6316</v>
      </c>
      <c r="D559" s="7" t="s">
        <v>291</v>
      </c>
      <c r="E559" s="7" t="s">
        <v>3935</v>
      </c>
      <c r="F559" s="7" t="s">
        <v>6368</v>
      </c>
      <c r="G559" s="7" t="s">
        <v>3937</v>
      </c>
      <c r="H559" s="7" t="s">
        <v>943</v>
      </c>
      <c r="I559" s="7" t="s">
        <v>1424</v>
      </c>
      <c r="J559" s="8" t="s">
        <v>6369</v>
      </c>
      <c r="K559" s="8" t="s">
        <v>6319</v>
      </c>
      <c r="L559" s="7" t="s">
        <v>483</v>
      </c>
      <c r="M559" s="7" t="s">
        <v>6370</v>
      </c>
      <c r="N559" s="7" t="n">
        <v>4</v>
      </c>
      <c r="O559" s="7" t="s">
        <v>2696</v>
      </c>
      <c r="P559" s="7" t="s">
        <v>1421</v>
      </c>
      <c r="Q559" s="7" t="s">
        <v>1480</v>
      </c>
      <c r="R559" s="7" t="s">
        <v>1152</v>
      </c>
      <c r="S559" s="8" t="s">
        <v>3984</v>
      </c>
      <c r="T559" s="12"/>
      <c r="U559" s="12"/>
    </row>
    <row r="560" customFormat="false" ht="23.85" hidden="false" customHeight="false" outlineLevel="0" collapsed="false">
      <c r="A560" s="7" t="s">
        <v>6371</v>
      </c>
      <c r="B560" s="14" t="s">
        <v>6315</v>
      </c>
      <c r="C560" s="7" t="s">
        <v>6316</v>
      </c>
      <c r="D560" s="7" t="s">
        <v>309</v>
      </c>
      <c r="E560" s="7" t="s">
        <v>3935</v>
      </c>
      <c r="F560" s="7" t="s">
        <v>6372</v>
      </c>
      <c r="G560" s="7" t="s">
        <v>3937</v>
      </c>
      <c r="H560" s="7" t="s">
        <v>943</v>
      </c>
      <c r="I560" s="7" t="s">
        <v>1424</v>
      </c>
      <c r="J560" s="8" t="s">
        <v>6373</v>
      </c>
      <c r="K560" s="8" t="s">
        <v>6374</v>
      </c>
      <c r="L560" s="7" t="s">
        <v>1021</v>
      </c>
      <c r="M560" s="7" t="s">
        <v>6375</v>
      </c>
      <c r="N560" s="7" t="s">
        <v>952</v>
      </c>
      <c r="O560" s="7" t="s">
        <v>2768</v>
      </c>
      <c r="P560" s="7" t="s">
        <v>1150</v>
      </c>
      <c r="Q560" s="7" t="s">
        <v>1480</v>
      </c>
      <c r="R560" s="7" t="s">
        <v>1152</v>
      </c>
      <c r="S560" s="8" t="s">
        <v>3984</v>
      </c>
      <c r="T560" s="12"/>
      <c r="U560" s="12"/>
    </row>
    <row r="561" customFormat="false" ht="23.85" hidden="false" customHeight="false" outlineLevel="0" collapsed="false">
      <c r="A561" s="7" t="s">
        <v>6376</v>
      </c>
      <c r="B561" s="14" t="s">
        <v>6322</v>
      </c>
      <c r="C561" s="7" t="s">
        <v>6316</v>
      </c>
      <c r="D561" s="7" t="s">
        <v>309</v>
      </c>
      <c r="E561" s="7" t="s">
        <v>3935</v>
      </c>
      <c r="F561" s="7" t="s">
        <v>6377</v>
      </c>
      <c r="G561" s="7" t="s">
        <v>3937</v>
      </c>
      <c r="H561" s="7" t="s">
        <v>943</v>
      </c>
      <c r="I561" s="7" t="s">
        <v>1424</v>
      </c>
      <c r="J561" s="8" t="s">
        <v>6378</v>
      </c>
      <c r="K561" s="8" t="s">
        <v>6374</v>
      </c>
      <c r="L561" s="7" t="s">
        <v>1021</v>
      </c>
      <c r="M561" s="7" t="s">
        <v>6379</v>
      </c>
      <c r="N561" s="7" t="s">
        <v>952</v>
      </c>
      <c r="O561" s="7" t="s">
        <v>2768</v>
      </c>
      <c r="P561" s="7" t="s">
        <v>1150</v>
      </c>
      <c r="Q561" s="7" t="s">
        <v>1480</v>
      </c>
      <c r="R561" s="7" t="s">
        <v>1152</v>
      </c>
      <c r="S561" s="8" t="s">
        <v>3984</v>
      </c>
      <c r="T561" s="12"/>
      <c r="U561" s="12"/>
    </row>
    <row r="562" customFormat="false" ht="23.85" hidden="false" customHeight="false" outlineLevel="0" collapsed="false">
      <c r="A562" s="7" t="s">
        <v>6380</v>
      </c>
      <c r="B562" s="14" t="s">
        <v>6342</v>
      </c>
      <c r="C562" s="7" t="s">
        <v>6316</v>
      </c>
      <c r="D562" s="7" t="s">
        <v>309</v>
      </c>
      <c r="E562" s="7" t="s">
        <v>3935</v>
      </c>
      <c r="F562" s="7" t="s">
        <v>6381</v>
      </c>
      <c r="G562" s="7" t="s">
        <v>3937</v>
      </c>
      <c r="H562" s="7" t="s">
        <v>943</v>
      </c>
      <c r="I562" s="7" t="s">
        <v>1424</v>
      </c>
      <c r="J562" s="8" t="s">
        <v>6382</v>
      </c>
      <c r="K562" s="8" t="s">
        <v>6374</v>
      </c>
      <c r="L562" s="7" t="s">
        <v>1021</v>
      </c>
      <c r="M562" s="7" t="s">
        <v>6383</v>
      </c>
      <c r="N562" s="7" t="s">
        <v>952</v>
      </c>
      <c r="O562" s="7" t="s">
        <v>2768</v>
      </c>
      <c r="P562" s="7" t="s">
        <v>1150</v>
      </c>
      <c r="Q562" s="7" t="s">
        <v>1480</v>
      </c>
      <c r="R562" s="7" t="s">
        <v>1152</v>
      </c>
      <c r="S562" s="8" t="s">
        <v>3984</v>
      </c>
      <c r="T562" s="12"/>
      <c r="U562" s="12"/>
    </row>
    <row r="563" customFormat="false" ht="23.85" hidden="false" customHeight="false" outlineLevel="0" collapsed="false">
      <c r="A563" s="7" t="s">
        <v>6384</v>
      </c>
      <c r="B563" s="14" t="s">
        <v>6347</v>
      </c>
      <c r="C563" s="7" t="s">
        <v>6316</v>
      </c>
      <c r="D563" s="7" t="s">
        <v>309</v>
      </c>
      <c r="E563" s="7" t="s">
        <v>3935</v>
      </c>
      <c r="F563" s="7" t="s">
        <v>6385</v>
      </c>
      <c r="G563" s="7" t="s">
        <v>3937</v>
      </c>
      <c r="H563" s="7" t="s">
        <v>943</v>
      </c>
      <c r="I563" s="7" t="s">
        <v>1424</v>
      </c>
      <c r="J563" s="8" t="s">
        <v>6386</v>
      </c>
      <c r="K563" s="8" t="s">
        <v>6374</v>
      </c>
      <c r="L563" s="7" t="s">
        <v>1021</v>
      </c>
      <c r="M563" s="7" t="s">
        <v>6387</v>
      </c>
      <c r="N563" s="7" t="s">
        <v>952</v>
      </c>
      <c r="O563" s="7" t="s">
        <v>2768</v>
      </c>
      <c r="P563" s="7" t="s">
        <v>1150</v>
      </c>
      <c r="Q563" s="7" t="s">
        <v>1480</v>
      </c>
      <c r="R563" s="7" t="s">
        <v>1152</v>
      </c>
      <c r="S563" s="8" t="s">
        <v>3984</v>
      </c>
      <c r="T563" s="12"/>
      <c r="U563" s="12"/>
    </row>
    <row r="564" customFormat="false" ht="23.85" hidden="false" customHeight="false" outlineLevel="0" collapsed="false">
      <c r="A564" s="7" t="s">
        <v>6388</v>
      </c>
      <c r="B564" s="14" t="s">
        <v>6389</v>
      </c>
      <c r="C564" s="7" t="s">
        <v>6316</v>
      </c>
      <c r="D564" s="7" t="s">
        <v>309</v>
      </c>
      <c r="E564" s="7" t="s">
        <v>3935</v>
      </c>
      <c r="F564" s="7" t="s">
        <v>6390</v>
      </c>
      <c r="G564" s="7" t="s">
        <v>3937</v>
      </c>
      <c r="H564" s="7" t="s">
        <v>943</v>
      </c>
      <c r="I564" s="7" t="s">
        <v>1424</v>
      </c>
      <c r="J564" s="8" t="s">
        <v>6391</v>
      </c>
      <c r="K564" s="8" t="s">
        <v>6374</v>
      </c>
      <c r="L564" s="7" t="s">
        <v>1021</v>
      </c>
      <c r="M564" s="7" t="s">
        <v>6392</v>
      </c>
      <c r="N564" s="7" t="s">
        <v>952</v>
      </c>
      <c r="O564" s="7" t="s">
        <v>2768</v>
      </c>
      <c r="P564" s="7" t="s">
        <v>1150</v>
      </c>
      <c r="Q564" s="7" t="s">
        <v>1480</v>
      </c>
      <c r="R564" s="7" t="s">
        <v>1152</v>
      </c>
      <c r="S564" s="8" t="s">
        <v>3984</v>
      </c>
      <c r="T564" s="12"/>
      <c r="U564" s="12"/>
    </row>
    <row r="565" customFormat="false" ht="23.85" hidden="false" customHeight="false" outlineLevel="0" collapsed="false">
      <c r="A565" s="7" t="s">
        <v>6393</v>
      </c>
      <c r="B565" s="14" t="s">
        <v>6394</v>
      </c>
      <c r="C565" s="7" t="s">
        <v>6316</v>
      </c>
      <c r="D565" s="7" t="s">
        <v>309</v>
      </c>
      <c r="E565" s="7" t="s">
        <v>3935</v>
      </c>
      <c r="F565" s="7" t="s">
        <v>6395</v>
      </c>
      <c r="G565" s="7" t="s">
        <v>3937</v>
      </c>
      <c r="H565" s="7" t="s">
        <v>943</v>
      </c>
      <c r="I565" s="7" t="s">
        <v>1424</v>
      </c>
      <c r="J565" s="8" t="s">
        <v>6396</v>
      </c>
      <c r="K565" s="8" t="s">
        <v>6374</v>
      </c>
      <c r="L565" s="7" t="s">
        <v>1021</v>
      </c>
      <c r="M565" s="7" t="s">
        <v>6397</v>
      </c>
      <c r="N565" s="7" t="s">
        <v>952</v>
      </c>
      <c r="O565" s="7" t="s">
        <v>2768</v>
      </c>
      <c r="P565" s="7" t="s">
        <v>1150</v>
      </c>
      <c r="Q565" s="7" t="s">
        <v>1480</v>
      </c>
      <c r="R565" s="7" t="s">
        <v>1152</v>
      </c>
      <c r="S565" s="8" t="s">
        <v>3984</v>
      </c>
      <c r="T565" s="12"/>
      <c r="U565" s="12"/>
    </row>
    <row r="566" customFormat="false" ht="23.85" hidden="false" customHeight="false" outlineLevel="0" collapsed="false">
      <c r="A566" s="7" t="s">
        <v>6398</v>
      </c>
      <c r="B566" s="14" t="s">
        <v>6399</v>
      </c>
      <c r="C566" s="7" t="s">
        <v>6400</v>
      </c>
      <c r="D566" s="7" t="s">
        <v>265</v>
      </c>
      <c r="E566" s="7" t="s">
        <v>6401</v>
      </c>
      <c r="F566" s="7" t="s">
        <v>6402</v>
      </c>
      <c r="G566" s="7" t="s">
        <v>6403</v>
      </c>
      <c r="H566" s="7" t="s">
        <v>943</v>
      </c>
      <c r="I566" s="7" t="s">
        <v>1424</v>
      </c>
      <c r="J566" s="8" t="s">
        <v>6404</v>
      </c>
      <c r="K566" s="8" t="s">
        <v>6405</v>
      </c>
      <c r="L566" s="7" t="s">
        <v>483</v>
      </c>
      <c r="M566" s="7" t="s">
        <v>6406</v>
      </c>
      <c r="N566" s="7" t="n">
        <v>4</v>
      </c>
      <c r="O566" s="7" t="s">
        <v>2440</v>
      </c>
      <c r="P566" s="7" t="s">
        <v>1150</v>
      </c>
      <c r="Q566" s="7" t="s">
        <v>1183</v>
      </c>
      <c r="R566" s="7" t="s">
        <v>1152</v>
      </c>
      <c r="S566" s="8" t="s">
        <v>3984</v>
      </c>
      <c r="T566" s="12"/>
      <c r="U566" s="12"/>
    </row>
    <row r="567" customFormat="false" ht="23.85" hidden="false" customHeight="false" outlineLevel="0" collapsed="false">
      <c r="A567" s="7" t="s">
        <v>6407</v>
      </c>
      <c r="B567" s="14" t="s">
        <v>6408</v>
      </c>
      <c r="C567" s="7" t="s">
        <v>6400</v>
      </c>
      <c r="D567" s="7" t="s">
        <v>265</v>
      </c>
      <c r="E567" s="7" t="s">
        <v>6401</v>
      </c>
      <c r="F567" s="7" t="s">
        <v>6409</v>
      </c>
      <c r="G567" s="7" t="s">
        <v>6403</v>
      </c>
      <c r="H567" s="7" t="s">
        <v>943</v>
      </c>
      <c r="I567" s="7" t="s">
        <v>1424</v>
      </c>
      <c r="J567" s="8" t="s">
        <v>6410</v>
      </c>
      <c r="K567" s="8" t="s">
        <v>6405</v>
      </c>
      <c r="L567" s="7" t="s">
        <v>483</v>
      </c>
      <c r="M567" s="7" t="s">
        <v>6411</v>
      </c>
      <c r="N567" s="7" t="n">
        <v>4</v>
      </c>
      <c r="O567" s="7" t="s">
        <v>2440</v>
      </c>
      <c r="P567" s="7" t="s">
        <v>1150</v>
      </c>
      <c r="Q567" s="7" t="s">
        <v>1183</v>
      </c>
      <c r="R567" s="7" t="s">
        <v>1152</v>
      </c>
      <c r="S567" s="8" t="s">
        <v>3984</v>
      </c>
      <c r="T567" s="12"/>
      <c r="U567" s="12"/>
    </row>
    <row r="568" customFormat="false" ht="23.85" hidden="false" customHeight="false" outlineLevel="0" collapsed="false">
      <c r="A568" s="7" t="s">
        <v>6412</v>
      </c>
      <c r="B568" s="14" t="s">
        <v>6413</v>
      </c>
      <c r="C568" s="7" t="s">
        <v>6400</v>
      </c>
      <c r="D568" s="7" t="s">
        <v>265</v>
      </c>
      <c r="E568" s="7" t="s">
        <v>6401</v>
      </c>
      <c r="F568" s="7" t="s">
        <v>6414</v>
      </c>
      <c r="G568" s="7" t="s">
        <v>6403</v>
      </c>
      <c r="H568" s="7" t="s">
        <v>943</v>
      </c>
      <c r="I568" s="7" t="s">
        <v>1424</v>
      </c>
      <c r="J568" s="8" t="s">
        <v>6415</v>
      </c>
      <c r="K568" s="8" t="s">
        <v>6405</v>
      </c>
      <c r="L568" s="7" t="s">
        <v>483</v>
      </c>
      <c r="M568" s="7" t="s">
        <v>6416</v>
      </c>
      <c r="N568" s="7" t="n">
        <v>4</v>
      </c>
      <c r="O568" s="7" t="s">
        <v>2440</v>
      </c>
      <c r="P568" s="7" t="s">
        <v>1150</v>
      </c>
      <c r="Q568" s="7" t="s">
        <v>1183</v>
      </c>
      <c r="R568" s="7" t="s">
        <v>1152</v>
      </c>
      <c r="S568" s="8" t="s">
        <v>3984</v>
      </c>
      <c r="T568" s="12"/>
      <c r="U568" s="12"/>
    </row>
    <row r="569" customFormat="false" ht="23.85" hidden="false" customHeight="false" outlineLevel="0" collapsed="false">
      <c r="A569" s="7" t="s">
        <v>6417</v>
      </c>
      <c r="B569" s="14" t="s">
        <v>6418</v>
      </c>
      <c r="C569" s="7" t="s">
        <v>6400</v>
      </c>
      <c r="D569" s="7" t="s">
        <v>265</v>
      </c>
      <c r="E569" s="7" t="s">
        <v>6401</v>
      </c>
      <c r="F569" s="7" t="s">
        <v>6419</v>
      </c>
      <c r="G569" s="7" t="s">
        <v>6403</v>
      </c>
      <c r="H569" s="7" t="s">
        <v>943</v>
      </c>
      <c r="I569" s="7" t="s">
        <v>1424</v>
      </c>
      <c r="J569" s="8" t="s">
        <v>6420</v>
      </c>
      <c r="K569" s="8" t="s">
        <v>6405</v>
      </c>
      <c r="L569" s="7" t="s">
        <v>483</v>
      </c>
      <c r="M569" s="7" t="s">
        <v>6421</v>
      </c>
      <c r="N569" s="7" t="n">
        <v>4</v>
      </c>
      <c r="O569" s="7" t="s">
        <v>2440</v>
      </c>
      <c r="P569" s="7" t="s">
        <v>1150</v>
      </c>
      <c r="Q569" s="7" t="s">
        <v>1183</v>
      </c>
      <c r="R569" s="7" t="s">
        <v>1152</v>
      </c>
      <c r="S569" s="8" t="s">
        <v>3984</v>
      </c>
      <c r="T569" s="12"/>
      <c r="U569" s="12"/>
    </row>
    <row r="570" customFormat="false" ht="23.85" hidden="false" customHeight="false" outlineLevel="0" collapsed="false">
      <c r="A570" s="7" t="s">
        <v>6422</v>
      </c>
      <c r="B570" s="14" t="s">
        <v>6423</v>
      </c>
      <c r="C570" s="7" t="s">
        <v>6400</v>
      </c>
      <c r="D570" s="7" t="s">
        <v>265</v>
      </c>
      <c r="E570" s="7" t="s">
        <v>6401</v>
      </c>
      <c r="F570" s="7" t="s">
        <v>6424</v>
      </c>
      <c r="G570" s="7" t="s">
        <v>6403</v>
      </c>
      <c r="H570" s="7" t="s">
        <v>943</v>
      </c>
      <c r="I570" s="7" t="s">
        <v>1424</v>
      </c>
      <c r="J570" s="8" t="s">
        <v>6425</v>
      </c>
      <c r="K570" s="8" t="s">
        <v>6405</v>
      </c>
      <c r="L570" s="7" t="s">
        <v>483</v>
      </c>
      <c r="M570" s="7" t="s">
        <v>6426</v>
      </c>
      <c r="N570" s="7" t="n">
        <v>4</v>
      </c>
      <c r="O570" s="7" t="s">
        <v>2440</v>
      </c>
      <c r="P570" s="7" t="s">
        <v>1150</v>
      </c>
      <c r="Q570" s="7" t="s">
        <v>1480</v>
      </c>
      <c r="R570" s="7" t="s">
        <v>1152</v>
      </c>
      <c r="S570" s="8" t="s">
        <v>3984</v>
      </c>
      <c r="T570" s="12"/>
      <c r="U570" s="12"/>
    </row>
    <row r="571" customFormat="false" ht="23.85" hidden="false" customHeight="false" outlineLevel="0" collapsed="false">
      <c r="A571" s="7" t="s">
        <v>6427</v>
      </c>
      <c r="B571" s="14" t="s">
        <v>6428</v>
      </c>
      <c r="C571" s="7" t="s">
        <v>6400</v>
      </c>
      <c r="D571" s="7" t="s">
        <v>265</v>
      </c>
      <c r="E571" s="7" t="s">
        <v>6401</v>
      </c>
      <c r="F571" s="7" t="s">
        <v>6429</v>
      </c>
      <c r="G571" s="7" t="s">
        <v>6403</v>
      </c>
      <c r="H571" s="7" t="s">
        <v>943</v>
      </c>
      <c r="I571" s="7" t="s">
        <v>1424</v>
      </c>
      <c r="J571" s="8" t="s">
        <v>6430</v>
      </c>
      <c r="K571" s="8" t="s">
        <v>6405</v>
      </c>
      <c r="L571" s="7" t="s">
        <v>483</v>
      </c>
      <c r="M571" s="7" t="s">
        <v>6431</v>
      </c>
      <c r="N571" s="7" t="n">
        <v>4</v>
      </c>
      <c r="O571" s="7" t="s">
        <v>2440</v>
      </c>
      <c r="P571" s="7" t="s">
        <v>1150</v>
      </c>
      <c r="Q571" s="7" t="s">
        <v>1183</v>
      </c>
      <c r="R571" s="7" t="s">
        <v>1152</v>
      </c>
      <c r="S571" s="8" t="s">
        <v>3984</v>
      </c>
      <c r="T571" s="12"/>
      <c r="U571" s="12"/>
    </row>
    <row r="572" customFormat="false" ht="23.85" hidden="false" customHeight="false" outlineLevel="0" collapsed="false">
      <c r="A572" s="7" t="s">
        <v>6432</v>
      </c>
      <c r="B572" s="14" t="s">
        <v>6433</v>
      </c>
      <c r="C572" s="7" t="s">
        <v>6400</v>
      </c>
      <c r="D572" s="7" t="s">
        <v>265</v>
      </c>
      <c r="E572" s="7" t="s">
        <v>6401</v>
      </c>
      <c r="F572" s="7" t="s">
        <v>6434</v>
      </c>
      <c r="G572" s="7" t="s">
        <v>6403</v>
      </c>
      <c r="H572" s="7" t="s">
        <v>943</v>
      </c>
      <c r="I572" s="7" t="s">
        <v>1424</v>
      </c>
      <c r="J572" s="8" t="s">
        <v>6435</v>
      </c>
      <c r="K572" s="8" t="s">
        <v>6405</v>
      </c>
      <c r="L572" s="7" t="s">
        <v>483</v>
      </c>
      <c r="M572" s="7" t="s">
        <v>6436</v>
      </c>
      <c r="N572" s="7" t="n">
        <v>4</v>
      </c>
      <c r="O572" s="7" t="s">
        <v>2440</v>
      </c>
      <c r="P572" s="7" t="s">
        <v>1150</v>
      </c>
      <c r="Q572" s="7" t="s">
        <v>1183</v>
      </c>
      <c r="R572" s="7" t="s">
        <v>1152</v>
      </c>
      <c r="S572" s="8" t="s">
        <v>3984</v>
      </c>
      <c r="T572" s="12"/>
      <c r="U572" s="12"/>
    </row>
    <row r="573" customFormat="false" ht="23.85" hidden="false" customHeight="false" outlineLevel="0" collapsed="false">
      <c r="A573" s="7" t="s">
        <v>6437</v>
      </c>
      <c r="B573" s="14" t="s">
        <v>6438</v>
      </c>
      <c r="C573" s="7" t="s">
        <v>6400</v>
      </c>
      <c r="D573" s="7" t="s">
        <v>265</v>
      </c>
      <c r="E573" s="7" t="s">
        <v>6401</v>
      </c>
      <c r="F573" s="7" t="s">
        <v>6439</v>
      </c>
      <c r="G573" s="7" t="s">
        <v>6403</v>
      </c>
      <c r="H573" s="7" t="s">
        <v>943</v>
      </c>
      <c r="I573" s="7" t="s">
        <v>1424</v>
      </c>
      <c r="J573" s="8" t="s">
        <v>6440</v>
      </c>
      <c r="K573" s="8" t="s">
        <v>6405</v>
      </c>
      <c r="L573" s="7" t="s">
        <v>483</v>
      </c>
      <c r="M573" s="7" t="s">
        <v>6441</v>
      </c>
      <c r="N573" s="7" t="n">
        <v>4</v>
      </c>
      <c r="O573" s="7" t="s">
        <v>2440</v>
      </c>
      <c r="P573" s="7" t="s">
        <v>1150</v>
      </c>
      <c r="Q573" s="7" t="s">
        <v>1183</v>
      </c>
      <c r="R573" s="7" t="s">
        <v>1152</v>
      </c>
      <c r="S573" s="8" t="s">
        <v>3984</v>
      </c>
      <c r="T573" s="12"/>
      <c r="U573" s="12"/>
    </row>
    <row r="574" customFormat="false" ht="23.85" hidden="false" customHeight="false" outlineLevel="0" collapsed="false">
      <c r="A574" s="7" t="s">
        <v>6442</v>
      </c>
      <c r="B574" s="14" t="s">
        <v>6443</v>
      </c>
      <c r="C574" s="7" t="s">
        <v>6400</v>
      </c>
      <c r="D574" s="7" t="s">
        <v>265</v>
      </c>
      <c r="E574" s="7" t="s">
        <v>6401</v>
      </c>
      <c r="F574" s="7" t="s">
        <v>6444</v>
      </c>
      <c r="G574" s="7" t="s">
        <v>6403</v>
      </c>
      <c r="H574" s="7" t="s">
        <v>943</v>
      </c>
      <c r="I574" s="7" t="s">
        <v>1424</v>
      </c>
      <c r="J574" s="8" t="s">
        <v>6445</v>
      </c>
      <c r="K574" s="8" t="s">
        <v>6405</v>
      </c>
      <c r="L574" s="7" t="s">
        <v>483</v>
      </c>
      <c r="M574" s="7" t="s">
        <v>6446</v>
      </c>
      <c r="N574" s="7" t="n">
        <v>4</v>
      </c>
      <c r="O574" s="7" t="s">
        <v>2440</v>
      </c>
      <c r="P574" s="7" t="s">
        <v>1150</v>
      </c>
      <c r="Q574" s="7" t="s">
        <v>1480</v>
      </c>
      <c r="R574" s="7" t="s">
        <v>1152</v>
      </c>
      <c r="S574" s="8" t="s">
        <v>3984</v>
      </c>
      <c r="T574" s="12"/>
      <c r="U574" s="12"/>
    </row>
    <row r="575" customFormat="false" ht="23.85" hidden="false" customHeight="false" outlineLevel="0" collapsed="false">
      <c r="A575" s="7" t="s">
        <v>6447</v>
      </c>
      <c r="B575" s="14" t="s">
        <v>6448</v>
      </c>
      <c r="C575" s="7" t="s">
        <v>6400</v>
      </c>
      <c r="D575" s="7" t="s">
        <v>265</v>
      </c>
      <c r="E575" s="7" t="s">
        <v>6401</v>
      </c>
      <c r="F575" s="7" t="s">
        <v>6449</v>
      </c>
      <c r="G575" s="7" t="s">
        <v>6403</v>
      </c>
      <c r="H575" s="7" t="s">
        <v>943</v>
      </c>
      <c r="I575" s="7" t="s">
        <v>1424</v>
      </c>
      <c r="J575" s="8" t="s">
        <v>6450</v>
      </c>
      <c r="K575" s="8" t="s">
        <v>6405</v>
      </c>
      <c r="L575" s="7" t="s">
        <v>483</v>
      </c>
      <c r="M575" s="7" t="s">
        <v>6451</v>
      </c>
      <c r="N575" s="7" t="n">
        <v>4</v>
      </c>
      <c r="O575" s="7" t="s">
        <v>2440</v>
      </c>
      <c r="P575" s="7" t="s">
        <v>1150</v>
      </c>
      <c r="Q575" s="7" t="s">
        <v>1480</v>
      </c>
      <c r="R575" s="7" t="s">
        <v>1152</v>
      </c>
      <c r="S575" s="8" t="s">
        <v>3984</v>
      </c>
      <c r="T575" s="12"/>
      <c r="U575" s="12"/>
    </row>
    <row r="576" customFormat="false" ht="23.85" hidden="false" customHeight="false" outlineLevel="0" collapsed="false">
      <c r="A576" s="7" t="s">
        <v>6452</v>
      </c>
      <c r="B576" s="14" t="s">
        <v>6453</v>
      </c>
      <c r="C576" s="7" t="s">
        <v>6400</v>
      </c>
      <c r="D576" s="7" t="s">
        <v>265</v>
      </c>
      <c r="E576" s="7" t="s">
        <v>6401</v>
      </c>
      <c r="F576" s="7" t="s">
        <v>6454</v>
      </c>
      <c r="G576" s="7" t="s">
        <v>6403</v>
      </c>
      <c r="H576" s="7" t="s">
        <v>943</v>
      </c>
      <c r="I576" s="7" t="s">
        <v>1424</v>
      </c>
      <c r="J576" s="8" t="s">
        <v>6455</v>
      </c>
      <c r="K576" s="8" t="s">
        <v>6405</v>
      </c>
      <c r="L576" s="7" t="s">
        <v>483</v>
      </c>
      <c r="M576" s="7" t="s">
        <v>6456</v>
      </c>
      <c r="N576" s="7" t="n">
        <v>4</v>
      </c>
      <c r="O576" s="7" t="s">
        <v>2440</v>
      </c>
      <c r="P576" s="7" t="s">
        <v>1150</v>
      </c>
      <c r="Q576" s="7" t="s">
        <v>1480</v>
      </c>
      <c r="R576" s="7" t="s">
        <v>1152</v>
      </c>
      <c r="S576" s="8" t="s">
        <v>3984</v>
      </c>
      <c r="T576" s="12"/>
      <c r="U576" s="12"/>
    </row>
    <row r="577" customFormat="false" ht="23.85" hidden="false" customHeight="false" outlineLevel="0" collapsed="false">
      <c r="A577" s="7" t="s">
        <v>6457</v>
      </c>
      <c r="B577" s="14" t="s">
        <v>6458</v>
      </c>
      <c r="C577" s="7" t="s">
        <v>6400</v>
      </c>
      <c r="D577" s="7" t="s">
        <v>265</v>
      </c>
      <c r="E577" s="7" t="s">
        <v>6401</v>
      </c>
      <c r="F577" s="7" t="s">
        <v>6459</v>
      </c>
      <c r="G577" s="7" t="s">
        <v>6403</v>
      </c>
      <c r="H577" s="7" t="s">
        <v>943</v>
      </c>
      <c r="I577" s="7" t="s">
        <v>1424</v>
      </c>
      <c r="J577" s="8" t="s">
        <v>6460</v>
      </c>
      <c r="K577" s="8" t="s">
        <v>6405</v>
      </c>
      <c r="L577" s="7" t="s">
        <v>483</v>
      </c>
      <c r="M577" s="7" t="s">
        <v>6461</v>
      </c>
      <c r="N577" s="7" t="n">
        <v>4</v>
      </c>
      <c r="O577" s="7" t="s">
        <v>2440</v>
      </c>
      <c r="P577" s="7" t="s">
        <v>1150</v>
      </c>
      <c r="Q577" s="7" t="s">
        <v>1480</v>
      </c>
      <c r="R577" s="7" t="s">
        <v>1152</v>
      </c>
      <c r="S577" s="8" t="s">
        <v>3984</v>
      </c>
      <c r="T577" s="12"/>
      <c r="U577" s="12"/>
    </row>
    <row r="578" customFormat="false" ht="23.85" hidden="false" customHeight="false" outlineLevel="0" collapsed="false">
      <c r="A578" s="7" t="s">
        <v>6462</v>
      </c>
      <c r="B578" s="14" t="s">
        <v>6463</v>
      </c>
      <c r="C578" s="7" t="s">
        <v>6400</v>
      </c>
      <c r="D578" s="7" t="s">
        <v>265</v>
      </c>
      <c r="E578" s="7" t="s">
        <v>6401</v>
      </c>
      <c r="F578" s="7" t="s">
        <v>6464</v>
      </c>
      <c r="G578" s="7" t="s">
        <v>6403</v>
      </c>
      <c r="H578" s="7" t="s">
        <v>943</v>
      </c>
      <c r="I578" s="7" t="s">
        <v>1424</v>
      </c>
      <c r="J578" s="8" t="s">
        <v>6465</v>
      </c>
      <c r="K578" s="8" t="s">
        <v>6405</v>
      </c>
      <c r="L578" s="7" t="s">
        <v>483</v>
      </c>
      <c r="M578" s="7" t="s">
        <v>6466</v>
      </c>
      <c r="N578" s="7" t="n">
        <v>4</v>
      </c>
      <c r="O578" s="7" t="s">
        <v>2440</v>
      </c>
      <c r="P578" s="7" t="s">
        <v>1150</v>
      </c>
      <c r="Q578" s="7" t="s">
        <v>1480</v>
      </c>
      <c r="R578" s="7" t="s">
        <v>1152</v>
      </c>
      <c r="S578" s="8" t="s">
        <v>3984</v>
      </c>
      <c r="T578" s="12"/>
      <c r="U578" s="12"/>
    </row>
    <row r="579" customFormat="false" ht="23.85" hidden="false" customHeight="false" outlineLevel="0" collapsed="false">
      <c r="A579" s="7" t="s">
        <v>6467</v>
      </c>
      <c r="B579" s="14" t="s">
        <v>6468</v>
      </c>
      <c r="C579" s="7" t="s">
        <v>6400</v>
      </c>
      <c r="D579" s="7" t="s">
        <v>265</v>
      </c>
      <c r="E579" s="7" t="s">
        <v>6401</v>
      </c>
      <c r="F579" s="7" t="s">
        <v>6469</v>
      </c>
      <c r="G579" s="7" t="s">
        <v>6403</v>
      </c>
      <c r="H579" s="7" t="s">
        <v>943</v>
      </c>
      <c r="I579" s="7" t="s">
        <v>1424</v>
      </c>
      <c r="J579" s="8" t="s">
        <v>6470</v>
      </c>
      <c r="K579" s="8" t="s">
        <v>6405</v>
      </c>
      <c r="L579" s="7" t="s">
        <v>483</v>
      </c>
      <c r="M579" s="7" t="s">
        <v>6471</v>
      </c>
      <c r="N579" s="7" t="n">
        <v>4</v>
      </c>
      <c r="O579" s="7" t="s">
        <v>2440</v>
      </c>
      <c r="P579" s="7" t="s">
        <v>1150</v>
      </c>
      <c r="Q579" s="7" t="s">
        <v>1480</v>
      </c>
      <c r="R579" s="7" t="s">
        <v>1152</v>
      </c>
      <c r="S579" s="8" t="s">
        <v>3984</v>
      </c>
      <c r="T579" s="12"/>
      <c r="U579" s="12"/>
    </row>
    <row r="580" customFormat="false" ht="23.85" hidden="false" customHeight="false" outlineLevel="0" collapsed="false">
      <c r="A580" s="7" t="s">
        <v>6472</v>
      </c>
      <c r="B580" s="14" t="s">
        <v>6473</v>
      </c>
      <c r="C580" s="7" t="s">
        <v>6400</v>
      </c>
      <c r="D580" s="7" t="s">
        <v>265</v>
      </c>
      <c r="E580" s="7" t="s">
        <v>6401</v>
      </c>
      <c r="F580" s="7" t="s">
        <v>6474</v>
      </c>
      <c r="G580" s="7" t="s">
        <v>6403</v>
      </c>
      <c r="H580" s="7" t="s">
        <v>943</v>
      </c>
      <c r="I580" s="7" t="s">
        <v>1424</v>
      </c>
      <c r="J580" s="8" t="s">
        <v>6475</v>
      </c>
      <c r="K580" s="8" t="s">
        <v>6405</v>
      </c>
      <c r="L580" s="7" t="s">
        <v>483</v>
      </c>
      <c r="M580" s="7" t="s">
        <v>6476</v>
      </c>
      <c r="N580" s="7" t="n">
        <v>4</v>
      </c>
      <c r="O580" s="7" t="s">
        <v>2440</v>
      </c>
      <c r="P580" s="7" t="s">
        <v>1150</v>
      </c>
      <c r="Q580" s="7" t="s">
        <v>1480</v>
      </c>
      <c r="R580" s="7" t="s">
        <v>1152</v>
      </c>
      <c r="S580" s="8" t="s">
        <v>3984</v>
      </c>
      <c r="T580" s="12"/>
      <c r="U580" s="12"/>
    </row>
    <row r="581" customFormat="false" ht="23.85" hidden="false" customHeight="false" outlineLevel="0" collapsed="false">
      <c r="A581" s="7" t="s">
        <v>6477</v>
      </c>
      <c r="B581" s="14" t="s">
        <v>6478</v>
      </c>
      <c r="C581" s="7" t="s">
        <v>6400</v>
      </c>
      <c r="D581" s="7" t="s">
        <v>265</v>
      </c>
      <c r="E581" s="7" t="s">
        <v>6401</v>
      </c>
      <c r="F581" s="7" t="s">
        <v>6479</v>
      </c>
      <c r="G581" s="7" t="s">
        <v>6403</v>
      </c>
      <c r="H581" s="7" t="s">
        <v>943</v>
      </c>
      <c r="I581" s="7" t="s">
        <v>1424</v>
      </c>
      <c r="J581" s="8" t="s">
        <v>6480</v>
      </c>
      <c r="K581" s="8" t="s">
        <v>6405</v>
      </c>
      <c r="L581" s="7" t="s">
        <v>483</v>
      </c>
      <c r="M581" s="7" t="s">
        <v>6481</v>
      </c>
      <c r="N581" s="7" t="n">
        <v>4</v>
      </c>
      <c r="O581" s="7" t="s">
        <v>2440</v>
      </c>
      <c r="P581" s="7" t="s">
        <v>1150</v>
      </c>
      <c r="Q581" s="7" t="s">
        <v>1480</v>
      </c>
      <c r="R581" s="7" t="s">
        <v>1152</v>
      </c>
      <c r="S581" s="8" t="s">
        <v>3984</v>
      </c>
      <c r="T581" s="12"/>
      <c r="U581" s="12"/>
    </row>
    <row r="582" customFormat="false" ht="23.85" hidden="false" customHeight="false" outlineLevel="0" collapsed="false">
      <c r="A582" s="7" t="s">
        <v>6482</v>
      </c>
      <c r="B582" s="14" t="s">
        <v>6483</v>
      </c>
      <c r="C582" s="7" t="s">
        <v>6400</v>
      </c>
      <c r="D582" s="7" t="s">
        <v>265</v>
      </c>
      <c r="E582" s="7" t="s">
        <v>6401</v>
      </c>
      <c r="F582" s="7" t="s">
        <v>6484</v>
      </c>
      <c r="G582" s="7" t="s">
        <v>6403</v>
      </c>
      <c r="H582" s="7" t="s">
        <v>943</v>
      </c>
      <c r="I582" s="7" t="s">
        <v>1424</v>
      </c>
      <c r="J582" s="8" t="s">
        <v>6485</v>
      </c>
      <c r="K582" s="8" t="s">
        <v>6405</v>
      </c>
      <c r="L582" s="7" t="s">
        <v>483</v>
      </c>
      <c r="M582" s="7" t="s">
        <v>6486</v>
      </c>
      <c r="N582" s="7" t="n">
        <v>4</v>
      </c>
      <c r="O582" s="7" t="s">
        <v>2440</v>
      </c>
      <c r="P582" s="7" t="s">
        <v>1150</v>
      </c>
      <c r="Q582" s="7" t="s">
        <v>1480</v>
      </c>
      <c r="R582" s="7" t="s">
        <v>1152</v>
      </c>
      <c r="S582" s="8" t="s">
        <v>3984</v>
      </c>
      <c r="T582" s="12"/>
      <c r="U582" s="12"/>
    </row>
    <row r="583" customFormat="false" ht="23.85" hidden="false" customHeight="false" outlineLevel="0" collapsed="false">
      <c r="A583" s="7" t="s">
        <v>6487</v>
      </c>
      <c r="B583" s="14" t="s">
        <v>6488</v>
      </c>
      <c r="C583" s="7" t="s">
        <v>6400</v>
      </c>
      <c r="D583" s="7" t="s">
        <v>265</v>
      </c>
      <c r="E583" s="7" t="s">
        <v>6401</v>
      </c>
      <c r="F583" s="7" t="s">
        <v>6489</v>
      </c>
      <c r="G583" s="7" t="s">
        <v>6403</v>
      </c>
      <c r="H583" s="7" t="s">
        <v>943</v>
      </c>
      <c r="I583" s="7" t="s">
        <v>1424</v>
      </c>
      <c r="J583" s="8" t="s">
        <v>6490</v>
      </c>
      <c r="K583" s="8" t="s">
        <v>6405</v>
      </c>
      <c r="L583" s="7" t="s">
        <v>483</v>
      </c>
      <c r="M583" s="7" t="s">
        <v>6491</v>
      </c>
      <c r="N583" s="7" t="n">
        <v>4</v>
      </c>
      <c r="O583" s="7" t="s">
        <v>2440</v>
      </c>
      <c r="P583" s="7" t="s">
        <v>1150</v>
      </c>
      <c r="Q583" s="7" t="s">
        <v>1183</v>
      </c>
      <c r="R583" s="7" t="s">
        <v>1152</v>
      </c>
      <c r="S583" s="8" t="s">
        <v>3984</v>
      </c>
      <c r="T583" s="12"/>
      <c r="U583" s="12"/>
    </row>
    <row r="584" customFormat="false" ht="23.85" hidden="false" customHeight="false" outlineLevel="0" collapsed="false">
      <c r="A584" s="7" t="s">
        <v>6492</v>
      </c>
      <c r="B584" s="14" t="s">
        <v>6493</v>
      </c>
      <c r="C584" s="7" t="s">
        <v>6400</v>
      </c>
      <c r="D584" s="7" t="s">
        <v>265</v>
      </c>
      <c r="E584" s="7" t="s">
        <v>6401</v>
      </c>
      <c r="F584" s="7" t="s">
        <v>6494</v>
      </c>
      <c r="G584" s="7" t="s">
        <v>6403</v>
      </c>
      <c r="H584" s="7" t="s">
        <v>943</v>
      </c>
      <c r="I584" s="7" t="s">
        <v>1424</v>
      </c>
      <c r="J584" s="8" t="s">
        <v>6495</v>
      </c>
      <c r="K584" s="8" t="s">
        <v>6405</v>
      </c>
      <c r="L584" s="7" t="s">
        <v>483</v>
      </c>
      <c r="M584" s="7" t="s">
        <v>6496</v>
      </c>
      <c r="N584" s="7" t="n">
        <v>4</v>
      </c>
      <c r="O584" s="7" t="s">
        <v>2440</v>
      </c>
      <c r="P584" s="7" t="s">
        <v>1150</v>
      </c>
      <c r="Q584" s="7" t="s">
        <v>1480</v>
      </c>
      <c r="R584" s="7" t="s">
        <v>1152</v>
      </c>
      <c r="S584" s="8" t="s">
        <v>3984</v>
      </c>
      <c r="T584" s="12"/>
      <c r="U584" s="12"/>
    </row>
    <row r="585" customFormat="false" ht="23.85" hidden="false" customHeight="false" outlineLevel="0" collapsed="false">
      <c r="A585" s="7" t="s">
        <v>6497</v>
      </c>
      <c r="B585" s="14" t="s">
        <v>6498</v>
      </c>
      <c r="C585" s="7" t="s">
        <v>6400</v>
      </c>
      <c r="D585" s="7" t="s">
        <v>265</v>
      </c>
      <c r="E585" s="7" t="s">
        <v>6401</v>
      </c>
      <c r="F585" s="7" t="s">
        <v>6499</v>
      </c>
      <c r="G585" s="7" t="s">
        <v>6403</v>
      </c>
      <c r="H585" s="7" t="s">
        <v>943</v>
      </c>
      <c r="I585" s="7" t="s">
        <v>1424</v>
      </c>
      <c r="J585" s="8" t="s">
        <v>6500</v>
      </c>
      <c r="K585" s="8" t="s">
        <v>6405</v>
      </c>
      <c r="L585" s="7" t="s">
        <v>483</v>
      </c>
      <c r="M585" s="7" t="s">
        <v>6501</v>
      </c>
      <c r="N585" s="7" t="n">
        <v>4</v>
      </c>
      <c r="O585" s="7" t="s">
        <v>2440</v>
      </c>
      <c r="P585" s="7" t="s">
        <v>1150</v>
      </c>
      <c r="Q585" s="7" t="s">
        <v>1480</v>
      </c>
      <c r="R585" s="7" t="s">
        <v>1152</v>
      </c>
      <c r="S585" s="8" t="s">
        <v>3984</v>
      </c>
      <c r="T585" s="12"/>
      <c r="U585" s="12"/>
    </row>
    <row r="586" customFormat="false" ht="23.85" hidden="false" customHeight="false" outlineLevel="0" collapsed="false">
      <c r="A586" s="7" t="s">
        <v>6502</v>
      </c>
      <c r="B586" s="14" t="s">
        <v>6503</v>
      </c>
      <c r="C586" s="7" t="s">
        <v>6400</v>
      </c>
      <c r="D586" s="7" t="s">
        <v>265</v>
      </c>
      <c r="E586" s="7" t="s">
        <v>6401</v>
      </c>
      <c r="F586" s="7" t="s">
        <v>6504</v>
      </c>
      <c r="G586" s="7" t="s">
        <v>6403</v>
      </c>
      <c r="H586" s="7" t="s">
        <v>943</v>
      </c>
      <c r="I586" s="7" t="s">
        <v>1424</v>
      </c>
      <c r="J586" s="8" t="s">
        <v>6505</v>
      </c>
      <c r="K586" s="8" t="s">
        <v>6405</v>
      </c>
      <c r="L586" s="7" t="s">
        <v>483</v>
      </c>
      <c r="M586" s="7" t="s">
        <v>6506</v>
      </c>
      <c r="N586" s="7" t="n">
        <v>4</v>
      </c>
      <c r="O586" s="7" t="s">
        <v>2440</v>
      </c>
      <c r="P586" s="7" t="s">
        <v>1150</v>
      </c>
      <c r="Q586" s="7" t="s">
        <v>1480</v>
      </c>
      <c r="R586" s="7" t="s">
        <v>1152</v>
      </c>
      <c r="S586" s="8" t="s">
        <v>3984</v>
      </c>
      <c r="T586" s="12"/>
      <c r="U586" s="12"/>
    </row>
    <row r="587" customFormat="false" ht="23.85" hidden="false" customHeight="false" outlineLevel="0" collapsed="false">
      <c r="A587" s="7" t="s">
        <v>6507</v>
      </c>
      <c r="B587" s="14" t="s">
        <v>6508</v>
      </c>
      <c r="C587" s="7" t="s">
        <v>6400</v>
      </c>
      <c r="D587" s="7" t="s">
        <v>265</v>
      </c>
      <c r="E587" s="7" t="s">
        <v>6401</v>
      </c>
      <c r="F587" s="7" t="s">
        <v>6509</v>
      </c>
      <c r="G587" s="7" t="s">
        <v>6403</v>
      </c>
      <c r="H587" s="7" t="s">
        <v>943</v>
      </c>
      <c r="I587" s="7" t="s">
        <v>1424</v>
      </c>
      <c r="J587" s="8" t="s">
        <v>6510</v>
      </c>
      <c r="K587" s="8" t="s">
        <v>6405</v>
      </c>
      <c r="L587" s="7" t="s">
        <v>483</v>
      </c>
      <c r="M587" s="7" t="s">
        <v>6511</v>
      </c>
      <c r="N587" s="7" t="n">
        <v>4</v>
      </c>
      <c r="O587" s="7" t="s">
        <v>2440</v>
      </c>
      <c r="P587" s="7" t="s">
        <v>1150</v>
      </c>
      <c r="Q587" s="7" t="s">
        <v>1480</v>
      </c>
      <c r="R587" s="7" t="s">
        <v>1152</v>
      </c>
      <c r="S587" s="8" t="s">
        <v>3984</v>
      </c>
      <c r="T587" s="12"/>
      <c r="U587" s="12"/>
    </row>
    <row r="588" customFormat="false" ht="23.85" hidden="false" customHeight="false" outlineLevel="0" collapsed="false">
      <c r="A588" s="7" t="s">
        <v>6512</v>
      </c>
      <c r="B588" s="14" t="s">
        <v>6399</v>
      </c>
      <c r="C588" s="7" t="s">
        <v>6400</v>
      </c>
      <c r="D588" s="7" t="s">
        <v>142</v>
      </c>
      <c r="E588" s="7" t="s">
        <v>6401</v>
      </c>
      <c r="F588" s="7" t="s">
        <v>6513</v>
      </c>
      <c r="G588" s="7" t="s">
        <v>6403</v>
      </c>
      <c r="H588" s="7" t="s">
        <v>928</v>
      </c>
      <c r="I588" s="7" t="s">
        <v>1148</v>
      </c>
      <c r="J588" s="8" t="s">
        <v>6514</v>
      </c>
      <c r="K588" s="8" t="s">
        <v>6515</v>
      </c>
      <c r="L588" s="7" t="s">
        <v>720</v>
      </c>
      <c r="M588" s="7" t="s">
        <v>6516</v>
      </c>
      <c r="N588" s="7" t="n">
        <v>2</v>
      </c>
      <c r="O588" s="7" t="s">
        <v>1537</v>
      </c>
      <c r="P588" s="7" t="s">
        <v>1150</v>
      </c>
      <c r="Q588" s="7" t="s">
        <v>1480</v>
      </c>
      <c r="R588" s="7" t="s">
        <v>1152</v>
      </c>
      <c r="S588" s="8" t="s">
        <v>3984</v>
      </c>
      <c r="T588" s="12"/>
      <c r="U588" s="12"/>
    </row>
    <row r="589" customFormat="false" ht="23.85" hidden="false" customHeight="false" outlineLevel="0" collapsed="false">
      <c r="A589" s="7" t="s">
        <v>6517</v>
      </c>
      <c r="B589" s="14" t="s">
        <v>6413</v>
      </c>
      <c r="C589" s="7" t="s">
        <v>6400</v>
      </c>
      <c r="D589" s="7" t="s">
        <v>142</v>
      </c>
      <c r="E589" s="7" t="s">
        <v>6401</v>
      </c>
      <c r="F589" s="7" t="s">
        <v>6518</v>
      </c>
      <c r="G589" s="7" t="s">
        <v>6403</v>
      </c>
      <c r="H589" s="7" t="s">
        <v>928</v>
      </c>
      <c r="I589" s="7" t="s">
        <v>1148</v>
      </c>
      <c r="J589" s="8" t="s">
        <v>6519</v>
      </c>
      <c r="K589" s="8" t="s">
        <v>6515</v>
      </c>
      <c r="L589" s="7" t="s">
        <v>720</v>
      </c>
      <c r="M589" s="7" t="s">
        <v>6520</v>
      </c>
      <c r="N589" s="7" t="n">
        <v>2</v>
      </c>
      <c r="O589" s="7" t="s">
        <v>1537</v>
      </c>
      <c r="P589" s="7" t="s">
        <v>1150</v>
      </c>
      <c r="Q589" s="7" t="s">
        <v>1480</v>
      </c>
      <c r="R589" s="7" t="s">
        <v>1152</v>
      </c>
      <c r="S589" s="8" t="s">
        <v>3984</v>
      </c>
      <c r="T589" s="12"/>
      <c r="U589" s="12"/>
    </row>
    <row r="590" customFormat="false" ht="35.05" hidden="false" customHeight="false" outlineLevel="0" collapsed="false">
      <c r="A590" s="7" t="s">
        <v>6521</v>
      </c>
      <c r="B590" s="14" t="s">
        <v>6418</v>
      </c>
      <c r="C590" s="7" t="s">
        <v>6400</v>
      </c>
      <c r="D590" s="7" t="s">
        <v>142</v>
      </c>
      <c r="E590" s="7" t="s">
        <v>6401</v>
      </c>
      <c r="F590" s="7" t="s">
        <v>6522</v>
      </c>
      <c r="G590" s="7" t="s">
        <v>6403</v>
      </c>
      <c r="H590" s="7" t="s">
        <v>928</v>
      </c>
      <c r="I590" s="7" t="s">
        <v>1148</v>
      </c>
      <c r="J590" s="8" t="s">
        <v>6523</v>
      </c>
      <c r="K590" s="8" t="s">
        <v>6515</v>
      </c>
      <c r="L590" s="7" t="s">
        <v>720</v>
      </c>
      <c r="M590" s="7" t="s">
        <v>6524</v>
      </c>
      <c r="N590" s="7" t="n">
        <v>2</v>
      </c>
      <c r="O590" s="7" t="s">
        <v>1537</v>
      </c>
      <c r="P590" s="7" t="s">
        <v>1150</v>
      </c>
      <c r="Q590" s="7" t="s">
        <v>1480</v>
      </c>
      <c r="R590" s="7" t="s">
        <v>1152</v>
      </c>
      <c r="S590" s="8" t="s">
        <v>3984</v>
      </c>
      <c r="T590" s="12"/>
      <c r="U590" s="12"/>
    </row>
    <row r="591" customFormat="false" ht="23.85" hidden="false" customHeight="false" outlineLevel="0" collapsed="false">
      <c r="A591" s="7" t="s">
        <v>6525</v>
      </c>
      <c r="B591" s="14" t="s">
        <v>6428</v>
      </c>
      <c r="C591" s="7" t="s">
        <v>6400</v>
      </c>
      <c r="D591" s="7" t="s">
        <v>142</v>
      </c>
      <c r="E591" s="7" t="s">
        <v>6401</v>
      </c>
      <c r="F591" s="7" t="s">
        <v>6526</v>
      </c>
      <c r="G591" s="7" t="s">
        <v>6403</v>
      </c>
      <c r="H591" s="7" t="s">
        <v>928</v>
      </c>
      <c r="I591" s="7" t="s">
        <v>1148</v>
      </c>
      <c r="J591" s="8" t="s">
        <v>6527</v>
      </c>
      <c r="K591" s="8" t="s">
        <v>6515</v>
      </c>
      <c r="L591" s="7" t="s">
        <v>720</v>
      </c>
      <c r="M591" s="7" t="s">
        <v>6528</v>
      </c>
      <c r="N591" s="7" t="n">
        <v>2</v>
      </c>
      <c r="O591" s="7" t="s">
        <v>1537</v>
      </c>
      <c r="P591" s="7" t="s">
        <v>1150</v>
      </c>
      <c r="Q591" s="7" t="s">
        <v>1480</v>
      </c>
      <c r="R591" s="7" t="s">
        <v>1152</v>
      </c>
      <c r="S591" s="8" t="s">
        <v>3984</v>
      </c>
      <c r="T591" s="12"/>
      <c r="U591" s="12"/>
    </row>
    <row r="592" customFormat="false" ht="23.85" hidden="false" customHeight="false" outlineLevel="0" collapsed="false">
      <c r="A592" s="7" t="s">
        <v>6529</v>
      </c>
      <c r="B592" s="14" t="s">
        <v>6433</v>
      </c>
      <c r="C592" s="7" t="s">
        <v>6400</v>
      </c>
      <c r="D592" s="7" t="s">
        <v>142</v>
      </c>
      <c r="E592" s="7" t="s">
        <v>6401</v>
      </c>
      <c r="F592" s="7" t="s">
        <v>6530</v>
      </c>
      <c r="G592" s="7" t="s">
        <v>6403</v>
      </c>
      <c r="H592" s="7" t="s">
        <v>928</v>
      </c>
      <c r="I592" s="7" t="s">
        <v>1148</v>
      </c>
      <c r="J592" s="8" t="s">
        <v>6531</v>
      </c>
      <c r="K592" s="8" t="s">
        <v>6515</v>
      </c>
      <c r="L592" s="7" t="s">
        <v>720</v>
      </c>
      <c r="M592" s="7" t="s">
        <v>6532</v>
      </c>
      <c r="N592" s="7" t="n">
        <v>2</v>
      </c>
      <c r="O592" s="7" t="s">
        <v>1537</v>
      </c>
      <c r="P592" s="7" t="s">
        <v>1150</v>
      </c>
      <c r="Q592" s="7" t="s">
        <v>1480</v>
      </c>
      <c r="R592" s="7" t="s">
        <v>1152</v>
      </c>
      <c r="S592" s="8" t="s">
        <v>3984</v>
      </c>
      <c r="T592" s="12"/>
      <c r="U592" s="12"/>
    </row>
    <row r="593" customFormat="false" ht="23.85" hidden="false" customHeight="false" outlineLevel="0" collapsed="false">
      <c r="A593" s="7" t="s">
        <v>6533</v>
      </c>
      <c r="B593" s="14" t="s">
        <v>6438</v>
      </c>
      <c r="C593" s="7" t="s">
        <v>6400</v>
      </c>
      <c r="D593" s="7" t="s">
        <v>142</v>
      </c>
      <c r="E593" s="7" t="s">
        <v>6401</v>
      </c>
      <c r="F593" s="7" t="s">
        <v>6534</v>
      </c>
      <c r="G593" s="7" t="s">
        <v>6403</v>
      </c>
      <c r="H593" s="7" t="s">
        <v>928</v>
      </c>
      <c r="I593" s="7" t="s">
        <v>1148</v>
      </c>
      <c r="J593" s="8" t="s">
        <v>6535</v>
      </c>
      <c r="K593" s="8" t="s">
        <v>6515</v>
      </c>
      <c r="L593" s="7" t="s">
        <v>720</v>
      </c>
      <c r="M593" s="7" t="s">
        <v>6536</v>
      </c>
      <c r="N593" s="7" t="n">
        <v>2</v>
      </c>
      <c r="O593" s="7" t="s">
        <v>1537</v>
      </c>
      <c r="P593" s="7" t="s">
        <v>1150</v>
      </c>
      <c r="Q593" s="7" t="s">
        <v>1480</v>
      </c>
      <c r="R593" s="7" t="s">
        <v>1152</v>
      </c>
      <c r="S593" s="8" t="s">
        <v>3984</v>
      </c>
      <c r="T593" s="12"/>
      <c r="U593" s="12"/>
    </row>
    <row r="594" customFormat="false" ht="23.85" hidden="false" customHeight="false" outlineLevel="0" collapsed="false">
      <c r="A594" s="7" t="s">
        <v>6537</v>
      </c>
      <c r="B594" s="14" t="s">
        <v>6538</v>
      </c>
      <c r="C594" s="7" t="s">
        <v>6539</v>
      </c>
      <c r="D594" s="7" t="s">
        <v>142</v>
      </c>
      <c r="E594" s="7" t="s">
        <v>6540</v>
      </c>
      <c r="F594" s="7" t="s">
        <v>6541</v>
      </c>
      <c r="G594" s="7" t="s">
        <v>6542</v>
      </c>
      <c r="H594" s="7" t="s">
        <v>921</v>
      </c>
      <c r="I594" s="7" t="s">
        <v>1424</v>
      </c>
      <c r="J594" s="8" t="s">
        <v>6543</v>
      </c>
      <c r="K594" s="8" t="s">
        <v>130</v>
      </c>
      <c r="L594" s="7" t="s">
        <v>1044</v>
      </c>
      <c r="M594" s="7" t="s">
        <v>1049</v>
      </c>
      <c r="N594" s="7" t="s">
        <v>1049</v>
      </c>
      <c r="O594" s="7" t="s">
        <v>1524</v>
      </c>
      <c r="P594" s="7" t="s">
        <v>6544</v>
      </c>
      <c r="Q594" s="7" t="s">
        <v>1480</v>
      </c>
      <c r="R594" s="7" t="s">
        <v>1152</v>
      </c>
      <c r="S594" s="8"/>
      <c r="T594" s="12"/>
      <c r="U594" s="12"/>
    </row>
    <row r="595" customFormat="false" ht="23.85" hidden="false" customHeight="false" outlineLevel="0" collapsed="false">
      <c r="A595" s="7" t="s">
        <v>6545</v>
      </c>
      <c r="B595" s="14" t="s">
        <v>6546</v>
      </c>
      <c r="C595" s="7" t="s">
        <v>6539</v>
      </c>
      <c r="D595" s="7" t="s">
        <v>142</v>
      </c>
      <c r="E595" s="7" t="s">
        <v>6540</v>
      </c>
      <c r="F595" s="7" t="s">
        <v>6547</v>
      </c>
      <c r="G595" s="7" t="s">
        <v>6542</v>
      </c>
      <c r="H595" s="7" t="s">
        <v>921</v>
      </c>
      <c r="I595" s="7" t="s">
        <v>1424</v>
      </c>
      <c r="J595" s="8" t="s">
        <v>6548</v>
      </c>
      <c r="K595" s="8" t="s">
        <v>130</v>
      </c>
      <c r="L595" s="7" t="s">
        <v>1044</v>
      </c>
      <c r="M595" s="7" t="s">
        <v>1049</v>
      </c>
      <c r="N595" s="7" t="s">
        <v>1049</v>
      </c>
      <c r="O595" s="7" t="s">
        <v>1524</v>
      </c>
      <c r="P595" s="7" t="s">
        <v>6544</v>
      </c>
      <c r="Q595" s="7" t="s">
        <v>1480</v>
      </c>
      <c r="R595" s="7" t="s">
        <v>1152</v>
      </c>
      <c r="S595" s="8"/>
      <c r="T595" s="12"/>
      <c r="U595" s="12"/>
    </row>
    <row r="596" customFormat="false" ht="23.85" hidden="false" customHeight="false" outlineLevel="0" collapsed="false">
      <c r="A596" s="7" t="s">
        <v>6549</v>
      </c>
      <c r="B596" s="14" t="s">
        <v>6550</v>
      </c>
      <c r="C596" s="7" t="s">
        <v>6539</v>
      </c>
      <c r="D596" s="7" t="s">
        <v>142</v>
      </c>
      <c r="E596" s="7" t="s">
        <v>6540</v>
      </c>
      <c r="F596" s="7" t="s">
        <v>6551</v>
      </c>
      <c r="G596" s="7" t="s">
        <v>6542</v>
      </c>
      <c r="H596" s="7" t="s">
        <v>921</v>
      </c>
      <c r="I596" s="7" t="s">
        <v>1424</v>
      </c>
      <c r="J596" s="8" t="s">
        <v>6552</v>
      </c>
      <c r="K596" s="8" t="s">
        <v>130</v>
      </c>
      <c r="L596" s="7" t="s">
        <v>1044</v>
      </c>
      <c r="M596" s="7" t="s">
        <v>1049</v>
      </c>
      <c r="N596" s="7" t="s">
        <v>1049</v>
      </c>
      <c r="O596" s="7" t="s">
        <v>1524</v>
      </c>
      <c r="P596" s="7" t="s">
        <v>6544</v>
      </c>
      <c r="Q596" s="7" t="s">
        <v>1480</v>
      </c>
      <c r="R596" s="7" t="s">
        <v>1152</v>
      </c>
      <c r="S596" s="8"/>
      <c r="T596" s="12"/>
      <c r="U596" s="12"/>
    </row>
    <row r="597" customFormat="false" ht="23.85" hidden="false" customHeight="false" outlineLevel="0" collapsed="false">
      <c r="A597" s="7" t="s">
        <v>6553</v>
      </c>
      <c r="B597" s="14" t="s">
        <v>6554</v>
      </c>
      <c r="C597" s="7" t="s">
        <v>6539</v>
      </c>
      <c r="D597" s="7" t="s">
        <v>142</v>
      </c>
      <c r="E597" s="7" t="s">
        <v>6540</v>
      </c>
      <c r="F597" s="7" t="s">
        <v>6555</v>
      </c>
      <c r="G597" s="7" t="s">
        <v>6542</v>
      </c>
      <c r="H597" s="7" t="s">
        <v>921</v>
      </c>
      <c r="I597" s="7" t="s">
        <v>1424</v>
      </c>
      <c r="J597" s="8" t="s">
        <v>6556</v>
      </c>
      <c r="K597" s="8" t="s">
        <v>130</v>
      </c>
      <c r="L597" s="7" t="s">
        <v>1044</v>
      </c>
      <c r="M597" s="7" t="s">
        <v>1049</v>
      </c>
      <c r="N597" s="7" t="s">
        <v>1049</v>
      </c>
      <c r="O597" s="7" t="s">
        <v>1524</v>
      </c>
      <c r="P597" s="7" t="s">
        <v>6544</v>
      </c>
      <c r="Q597" s="7" t="s">
        <v>1480</v>
      </c>
      <c r="R597" s="7" t="s">
        <v>1152</v>
      </c>
      <c r="S597" s="8"/>
      <c r="T597" s="12"/>
      <c r="U597" s="12"/>
    </row>
    <row r="598" customFormat="false" ht="23.85" hidden="false" customHeight="false" outlineLevel="0" collapsed="false">
      <c r="A598" s="7" t="s">
        <v>6557</v>
      </c>
      <c r="B598" s="14" t="s">
        <v>6558</v>
      </c>
      <c r="C598" s="7" t="s">
        <v>6539</v>
      </c>
      <c r="D598" s="7" t="s">
        <v>142</v>
      </c>
      <c r="E598" s="7" t="s">
        <v>6540</v>
      </c>
      <c r="F598" s="7" t="s">
        <v>6559</v>
      </c>
      <c r="G598" s="7" t="s">
        <v>6542</v>
      </c>
      <c r="H598" s="7" t="s">
        <v>921</v>
      </c>
      <c r="I598" s="7" t="s">
        <v>1424</v>
      </c>
      <c r="J598" s="8" t="s">
        <v>6560</v>
      </c>
      <c r="K598" s="8" t="s">
        <v>130</v>
      </c>
      <c r="L598" s="7" t="s">
        <v>1044</v>
      </c>
      <c r="M598" s="7" t="s">
        <v>1049</v>
      </c>
      <c r="N598" s="7" t="s">
        <v>1049</v>
      </c>
      <c r="O598" s="7" t="s">
        <v>1524</v>
      </c>
      <c r="P598" s="7" t="s">
        <v>6544</v>
      </c>
      <c r="Q598" s="7" t="s">
        <v>1480</v>
      </c>
      <c r="R598" s="7" t="s">
        <v>1152</v>
      </c>
      <c r="S598" s="8"/>
      <c r="T598" s="12"/>
      <c r="U598" s="12"/>
    </row>
    <row r="599" customFormat="false" ht="35.05" hidden="false" customHeight="false" outlineLevel="0" collapsed="false">
      <c r="A599" s="7" t="s">
        <v>6561</v>
      </c>
      <c r="B599" s="14" t="s">
        <v>6562</v>
      </c>
      <c r="C599" s="7" t="s">
        <v>6563</v>
      </c>
      <c r="D599" s="7" t="s">
        <v>182</v>
      </c>
      <c r="E599" s="7" t="s">
        <v>6564</v>
      </c>
      <c r="F599" s="7" t="s">
        <v>6565</v>
      </c>
      <c r="G599" s="7" t="s">
        <v>6566</v>
      </c>
      <c r="H599" s="7" t="s">
        <v>943</v>
      </c>
      <c r="I599" s="7" t="s">
        <v>1424</v>
      </c>
      <c r="J599" s="8" t="s">
        <v>6567</v>
      </c>
      <c r="K599" s="8" t="s">
        <v>220</v>
      </c>
      <c r="L599" s="7" t="s">
        <v>483</v>
      </c>
      <c r="M599" s="7" t="s">
        <v>6568</v>
      </c>
      <c r="N599" s="7" t="n">
        <v>4</v>
      </c>
      <c r="O599" s="7" t="s">
        <v>1966</v>
      </c>
      <c r="P599" s="7" t="s">
        <v>1150</v>
      </c>
      <c r="Q599" s="7" t="s">
        <v>1151</v>
      </c>
      <c r="R599" s="7" t="s">
        <v>1152</v>
      </c>
      <c r="S599" s="8"/>
      <c r="T599" s="12"/>
      <c r="U599" s="12"/>
    </row>
    <row r="600" customFormat="false" ht="23.85" hidden="false" customHeight="false" outlineLevel="0" collapsed="false">
      <c r="A600" s="7" t="s">
        <v>6569</v>
      </c>
      <c r="B600" s="14" t="s">
        <v>6562</v>
      </c>
      <c r="C600" s="7" t="s">
        <v>6563</v>
      </c>
      <c r="D600" s="7" t="s">
        <v>445</v>
      </c>
      <c r="E600" s="7" t="s">
        <v>6564</v>
      </c>
      <c r="F600" s="7" t="s">
        <v>6570</v>
      </c>
      <c r="G600" s="7" t="s">
        <v>6566</v>
      </c>
      <c r="H600" s="7" t="s">
        <v>943</v>
      </c>
      <c r="I600" s="7" t="s">
        <v>1424</v>
      </c>
      <c r="J600" s="8" t="s">
        <v>6571</v>
      </c>
      <c r="K600" s="8" t="s">
        <v>197</v>
      </c>
      <c r="L600" s="7" t="s">
        <v>483</v>
      </c>
      <c r="M600" s="7" t="s">
        <v>6572</v>
      </c>
      <c r="N600" s="7" t="n">
        <v>4</v>
      </c>
      <c r="O600" s="7" t="s">
        <v>3487</v>
      </c>
      <c r="P600" s="7" t="s">
        <v>1150</v>
      </c>
      <c r="Q600" s="7" t="s">
        <v>1151</v>
      </c>
      <c r="R600" s="7" t="s">
        <v>1152</v>
      </c>
      <c r="S600" s="8"/>
      <c r="T600" s="12"/>
      <c r="U600" s="12"/>
    </row>
    <row r="601" customFormat="false" ht="23.85" hidden="false" customHeight="false" outlineLevel="0" collapsed="false">
      <c r="A601" s="7" t="s">
        <v>6573</v>
      </c>
      <c r="B601" s="14" t="s">
        <v>6574</v>
      </c>
      <c r="C601" s="7" t="s">
        <v>6563</v>
      </c>
      <c r="D601" s="7" t="s">
        <v>182</v>
      </c>
      <c r="E601" s="7" t="s">
        <v>6564</v>
      </c>
      <c r="F601" s="7" t="s">
        <v>6575</v>
      </c>
      <c r="G601" s="7" t="s">
        <v>6566</v>
      </c>
      <c r="H601" s="7" t="s">
        <v>943</v>
      </c>
      <c r="I601" s="7" t="s">
        <v>1424</v>
      </c>
      <c r="J601" s="8" t="s">
        <v>6576</v>
      </c>
      <c r="K601" s="8" t="s">
        <v>6577</v>
      </c>
      <c r="L601" s="7" t="s">
        <v>483</v>
      </c>
      <c r="M601" s="7" t="s">
        <v>6578</v>
      </c>
      <c r="N601" s="7" t="n">
        <v>4</v>
      </c>
      <c r="O601" s="7" t="s">
        <v>2009</v>
      </c>
      <c r="P601" s="7" t="s">
        <v>1150</v>
      </c>
      <c r="Q601" s="7" t="s">
        <v>1151</v>
      </c>
      <c r="R601" s="7" t="s">
        <v>1152</v>
      </c>
      <c r="S601" s="8"/>
      <c r="T601" s="12"/>
      <c r="U601" s="12"/>
    </row>
    <row r="602" customFormat="false" ht="23.85" hidden="false" customHeight="false" outlineLevel="0" collapsed="false">
      <c r="A602" s="7" t="s">
        <v>6579</v>
      </c>
      <c r="B602" s="14" t="s">
        <v>6580</v>
      </c>
      <c r="C602" s="7" t="s">
        <v>6563</v>
      </c>
      <c r="D602" s="7" t="s">
        <v>182</v>
      </c>
      <c r="E602" s="7" t="s">
        <v>6564</v>
      </c>
      <c r="F602" s="7" t="s">
        <v>6581</v>
      </c>
      <c r="G602" s="7" t="s">
        <v>6566</v>
      </c>
      <c r="H602" s="7" t="s">
        <v>943</v>
      </c>
      <c r="I602" s="7" t="s">
        <v>1424</v>
      </c>
      <c r="J602" s="8" t="s">
        <v>6582</v>
      </c>
      <c r="K602" s="8" t="s">
        <v>6577</v>
      </c>
      <c r="L602" s="7" t="s">
        <v>483</v>
      </c>
      <c r="M602" s="7" t="s">
        <v>6583</v>
      </c>
      <c r="N602" s="7" t="n">
        <v>4</v>
      </c>
      <c r="O602" s="7" t="s">
        <v>2009</v>
      </c>
      <c r="P602" s="7" t="s">
        <v>1150</v>
      </c>
      <c r="Q602" s="7" t="s">
        <v>1183</v>
      </c>
      <c r="R602" s="7" t="s">
        <v>1152</v>
      </c>
      <c r="S602" s="8"/>
      <c r="T602" s="12"/>
      <c r="U602" s="12"/>
    </row>
    <row r="603" customFormat="false" ht="23.85" hidden="false" customHeight="false" outlineLevel="0" collapsed="false">
      <c r="A603" s="7" t="s">
        <v>6584</v>
      </c>
      <c r="B603" s="14" t="s">
        <v>6585</v>
      </c>
      <c r="C603" s="7" t="s">
        <v>6563</v>
      </c>
      <c r="D603" s="7" t="s">
        <v>182</v>
      </c>
      <c r="E603" s="7" t="s">
        <v>6564</v>
      </c>
      <c r="F603" s="7" t="s">
        <v>6586</v>
      </c>
      <c r="G603" s="7" t="s">
        <v>6566</v>
      </c>
      <c r="H603" s="7" t="s">
        <v>943</v>
      </c>
      <c r="I603" s="7" t="s">
        <v>1424</v>
      </c>
      <c r="J603" s="8" t="s">
        <v>6587</v>
      </c>
      <c r="K603" s="8" t="s">
        <v>6577</v>
      </c>
      <c r="L603" s="7" t="s">
        <v>483</v>
      </c>
      <c r="M603" s="7" t="s">
        <v>6588</v>
      </c>
      <c r="N603" s="7" t="n">
        <v>4</v>
      </c>
      <c r="O603" s="7" t="s">
        <v>2009</v>
      </c>
      <c r="P603" s="7" t="s">
        <v>1150</v>
      </c>
      <c r="Q603" s="7" t="s">
        <v>1183</v>
      </c>
      <c r="R603" s="7" t="s">
        <v>1152</v>
      </c>
      <c r="S603" s="8"/>
      <c r="T603" s="12"/>
      <c r="U603" s="12"/>
    </row>
    <row r="604" customFormat="false" ht="23.85" hidden="false" customHeight="false" outlineLevel="0" collapsed="false">
      <c r="A604" s="7" t="s">
        <v>6589</v>
      </c>
      <c r="B604" s="14" t="s">
        <v>6590</v>
      </c>
      <c r="C604" s="7" t="s">
        <v>6563</v>
      </c>
      <c r="D604" s="7" t="s">
        <v>182</v>
      </c>
      <c r="E604" s="7" t="s">
        <v>6564</v>
      </c>
      <c r="F604" s="7" t="s">
        <v>6591</v>
      </c>
      <c r="G604" s="7" t="s">
        <v>6566</v>
      </c>
      <c r="H604" s="7" t="s">
        <v>943</v>
      </c>
      <c r="I604" s="7" t="s">
        <v>1424</v>
      </c>
      <c r="J604" s="8" t="s">
        <v>6592</v>
      </c>
      <c r="K604" s="8" t="s">
        <v>205</v>
      </c>
      <c r="L604" s="7" t="s">
        <v>483</v>
      </c>
      <c r="M604" s="7" t="s">
        <v>6593</v>
      </c>
      <c r="N604" s="7" t="n">
        <v>4</v>
      </c>
      <c r="O604" s="7" t="s">
        <v>2050</v>
      </c>
      <c r="P604" s="7" t="s">
        <v>1150</v>
      </c>
      <c r="Q604" s="7" t="s">
        <v>1183</v>
      </c>
      <c r="R604" s="7" t="s">
        <v>1152</v>
      </c>
      <c r="S604" s="8"/>
      <c r="T604" s="12"/>
      <c r="U604" s="12"/>
    </row>
    <row r="605" customFormat="false" ht="35.05" hidden="false" customHeight="false" outlineLevel="0" collapsed="false">
      <c r="A605" s="7" t="s">
        <v>6594</v>
      </c>
      <c r="B605" s="14" t="s">
        <v>6595</v>
      </c>
      <c r="C605" s="7" t="s">
        <v>6596</v>
      </c>
      <c r="D605" s="7" t="s">
        <v>400</v>
      </c>
      <c r="E605" s="7" t="s">
        <v>6597</v>
      </c>
      <c r="F605" s="7" t="s">
        <v>6598</v>
      </c>
      <c r="G605" s="7" t="s">
        <v>6599</v>
      </c>
      <c r="H605" s="7" t="s">
        <v>943</v>
      </c>
      <c r="I605" s="7" t="s">
        <v>1424</v>
      </c>
      <c r="J605" s="8" t="s">
        <v>6600</v>
      </c>
      <c r="K605" s="8" t="s">
        <v>6601</v>
      </c>
      <c r="L605" s="7" t="s">
        <v>965</v>
      </c>
      <c r="M605" s="7" t="s">
        <v>6602</v>
      </c>
      <c r="N605" s="7" t="n">
        <v>4</v>
      </c>
      <c r="O605" s="7" t="s">
        <v>3201</v>
      </c>
      <c r="P605" s="7" t="s">
        <v>1150</v>
      </c>
      <c r="Q605" s="7" t="s">
        <v>1151</v>
      </c>
      <c r="R605" s="7" t="s">
        <v>1152</v>
      </c>
      <c r="S605" s="8"/>
      <c r="T605" s="12"/>
      <c r="U605" s="12"/>
    </row>
    <row r="606" customFormat="false" ht="35.05" hidden="false" customHeight="false" outlineLevel="0" collapsed="false">
      <c r="A606" s="7" t="s">
        <v>6603</v>
      </c>
      <c r="B606" s="14" t="s">
        <v>6604</v>
      </c>
      <c r="C606" s="7" t="s">
        <v>6596</v>
      </c>
      <c r="D606" s="7" t="s">
        <v>400</v>
      </c>
      <c r="E606" s="7" t="s">
        <v>6597</v>
      </c>
      <c r="F606" s="7" t="s">
        <v>6605</v>
      </c>
      <c r="G606" s="7" t="s">
        <v>6599</v>
      </c>
      <c r="H606" s="7" t="s">
        <v>943</v>
      </c>
      <c r="I606" s="7" t="s">
        <v>1424</v>
      </c>
      <c r="J606" s="8" t="s">
        <v>6606</v>
      </c>
      <c r="K606" s="8" t="s">
        <v>6601</v>
      </c>
      <c r="L606" s="7" t="s">
        <v>965</v>
      </c>
      <c r="M606" s="7" t="s">
        <v>6607</v>
      </c>
      <c r="N606" s="7" t="n">
        <v>4</v>
      </c>
      <c r="O606" s="7" t="s">
        <v>3201</v>
      </c>
      <c r="P606" s="7" t="s">
        <v>1150</v>
      </c>
      <c r="Q606" s="7" t="s">
        <v>1151</v>
      </c>
      <c r="R606" s="7" t="s">
        <v>1152</v>
      </c>
      <c r="S606" s="8"/>
      <c r="T606" s="12"/>
      <c r="U606" s="12"/>
    </row>
    <row r="607" customFormat="false" ht="35.05" hidden="false" customHeight="false" outlineLevel="0" collapsed="false">
      <c r="A607" s="7" t="s">
        <v>6608</v>
      </c>
      <c r="B607" s="14" t="s">
        <v>6609</v>
      </c>
      <c r="C607" s="7" t="s">
        <v>6596</v>
      </c>
      <c r="D607" s="7" t="s">
        <v>400</v>
      </c>
      <c r="E607" s="7" t="s">
        <v>6597</v>
      </c>
      <c r="F607" s="7" t="s">
        <v>6610</v>
      </c>
      <c r="G607" s="7" t="s">
        <v>6599</v>
      </c>
      <c r="H607" s="7" t="s">
        <v>943</v>
      </c>
      <c r="I607" s="7" t="s">
        <v>1424</v>
      </c>
      <c r="J607" s="8" t="s">
        <v>6611</v>
      </c>
      <c r="K607" s="8" t="s">
        <v>6601</v>
      </c>
      <c r="L607" s="7" t="s">
        <v>965</v>
      </c>
      <c r="M607" s="7" t="s">
        <v>6612</v>
      </c>
      <c r="N607" s="7" t="n">
        <v>4</v>
      </c>
      <c r="O607" s="7" t="s">
        <v>3201</v>
      </c>
      <c r="P607" s="7" t="s">
        <v>1150</v>
      </c>
      <c r="Q607" s="7" t="s">
        <v>1151</v>
      </c>
      <c r="R607" s="7" t="s">
        <v>1152</v>
      </c>
      <c r="S607" s="8"/>
      <c r="T607" s="12"/>
      <c r="U607" s="12"/>
    </row>
    <row r="608" customFormat="false" ht="35.05" hidden="false" customHeight="false" outlineLevel="0" collapsed="false">
      <c r="A608" s="7" t="s">
        <v>6613</v>
      </c>
      <c r="B608" s="14" t="s">
        <v>6614</v>
      </c>
      <c r="C608" s="7" t="s">
        <v>6596</v>
      </c>
      <c r="D608" s="7" t="s">
        <v>400</v>
      </c>
      <c r="E608" s="7" t="s">
        <v>6597</v>
      </c>
      <c r="F608" s="7" t="s">
        <v>6615</v>
      </c>
      <c r="G608" s="7" t="s">
        <v>6599</v>
      </c>
      <c r="H608" s="7" t="s">
        <v>943</v>
      </c>
      <c r="I608" s="7" t="s">
        <v>1424</v>
      </c>
      <c r="J608" s="8" t="s">
        <v>6616</v>
      </c>
      <c r="K608" s="8" t="s">
        <v>6601</v>
      </c>
      <c r="L608" s="7" t="s">
        <v>965</v>
      </c>
      <c r="M608" s="7" t="s">
        <v>6617</v>
      </c>
      <c r="N608" s="7" t="n">
        <v>4</v>
      </c>
      <c r="O608" s="7" t="s">
        <v>3201</v>
      </c>
      <c r="P608" s="7" t="s">
        <v>1150</v>
      </c>
      <c r="Q608" s="7" t="s">
        <v>1183</v>
      </c>
      <c r="R608" s="7" t="s">
        <v>1152</v>
      </c>
      <c r="S608" s="8"/>
      <c r="T608" s="12"/>
      <c r="U608" s="12"/>
    </row>
    <row r="609" customFormat="false" ht="35.05" hidden="false" customHeight="false" outlineLevel="0" collapsed="false">
      <c r="A609" s="7" t="s">
        <v>6618</v>
      </c>
      <c r="B609" s="14" t="s">
        <v>6619</v>
      </c>
      <c r="C609" s="7" t="s">
        <v>6596</v>
      </c>
      <c r="D609" s="7" t="s">
        <v>400</v>
      </c>
      <c r="E609" s="7" t="s">
        <v>6597</v>
      </c>
      <c r="F609" s="7" t="s">
        <v>6620</v>
      </c>
      <c r="G609" s="7" t="s">
        <v>6599</v>
      </c>
      <c r="H609" s="7" t="s">
        <v>943</v>
      </c>
      <c r="I609" s="7" t="s">
        <v>1424</v>
      </c>
      <c r="J609" s="8" t="s">
        <v>6621</v>
      </c>
      <c r="K609" s="8" t="s">
        <v>6601</v>
      </c>
      <c r="L609" s="7" t="s">
        <v>965</v>
      </c>
      <c r="M609" s="7" t="s">
        <v>6622</v>
      </c>
      <c r="N609" s="7" t="n">
        <v>4</v>
      </c>
      <c r="O609" s="7" t="s">
        <v>3201</v>
      </c>
      <c r="P609" s="7" t="s">
        <v>1150</v>
      </c>
      <c r="Q609" s="7" t="s">
        <v>1183</v>
      </c>
      <c r="R609" s="7" t="s">
        <v>1152</v>
      </c>
      <c r="S609" s="8"/>
      <c r="T609" s="12"/>
      <c r="U609" s="12"/>
    </row>
    <row r="610" customFormat="false" ht="35.05" hidden="false" customHeight="false" outlineLevel="0" collapsed="false">
      <c r="A610" s="7" t="s">
        <v>6623</v>
      </c>
      <c r="B610" s="14" t="s">
        <v>6624</v>
      </c>
      <c r="C610" s="7" t="s">
        <v>6596</v>
      </c>
      <c r="D610" s="7" t="s">
        <v>400</v>
      </c>
      <c r="E610" s="7" t="s">
        <v>6597</v>
      </c>
      <c r="F610" s="7" t="s">
        <v>6625</v>
      </c>
      <c r="G610" s="7" t="s">
        <v>6599</v>
      </c>
      <c r="H610" s="7" t="s">
        <v>943</v>
      </c>
      <c r="I610" s="7" t="s">
        <v>1424</v>
      </c>
      <c r="J610" s="8" t="s">
        <v>6626</v>
      </c>
      <c r="K610" s="8" t="s">
        <v>6601</v>
      </c>
      <c r="L610" s="7" t="s">
        <v>965</v>
      </c>
      <c r="M610" s="7" t="s">
        <v>6627</v>
      </c>
      <c r="N610" s="7" t="n">
        <v>4</v>
      </c>
      <c r="O610" s="7" t="s">
        <v>3201</v>
      </c>
      <c r="P610" s="7" t="s">
        <v>1150</v>
      </c>
      <c r="Q610" s="7" t="s">
        <v>1183</v>
      </c>
      <c r="R610" s="7" t="s">
        <v>1152</v>
      </c>
      <c r="S610" s="8"/>
      <c r="T610" s="12"/>
      <c r="U610" s="12"/>
    </row>
    <row r="611" customFormat="false" ht="35.05" hidden="false" customHeight="false" outlineLevel="0" collapsed="false">
      <c r="A611" s="7" t="s">
        <v>6628</v>
      </c>
      <c r="B611" s="14" t="s">
        <v>6629</v>
      </c>
      <c r="C611" s="7" t="s">
        <v>6596</v>
      </c>
      <c r="D611" s="7" t="s">
        <v>400</v>
      </c>
      <c r="E611" s="7" t="s">
        <v>6597</v>
      </c>
      <c r="F611" s="7" t="s">
        <v>6630</v>
      </c>
      <c r="G611" s="7" t="s">
        <v>6599</v>
      </c>
      <c r="H611" s="7" t="s">
        <v>943</v>
      </c>
      <c r="I611" s="7" t="s">
        <v>1424</v>
      </c>
      <c r="J611" s="8" t="s">
        <v>6631</v>
      </c>
      <c r="K611" s="8" t="s">
        <v>6601</v>
      </c>
      <c r="L611" s="7" t="s">
        <v>965</v>
      </c>
      <c r="M611" s="7" t="s">
        <v>6632</v>
      </c>
      <c r="N611" s="7" t="n">
        <v>4</v>
      </c>
      <c r="O611" s="7" t="s">
        <v>3201</v>
      </c>
      <c r="P611" s="7" t="s">
        <v>1150</v>
      </c>
      <c r="Q611" s="7" t="s">
        <v>1183</v>
      </c>
      <c r="R611" s="7" t="s">
        <v>1152</v>
      </c>
      <c r="S611" s="8"/>
      <c r="T611" s="12"/>
      <c r="U611" s="12"/>
    </row>
    <row r="612" customFormat="false" ht="35.05" hidden="false" customHeight="false" outlineLevel="0" collapsed="false">
      <c r="A612" s="7" t="s">
        <v>6633</v>
      </c>
      <c r="B612" s="14" t="s">
        <v>6634</v>
      </c>
      <c r="C612" s="7" t="s">
        <v>6596</v>
      </c>
      <c r="D612" s="7" t="s">
        <v>400</v>
      </c>
      <c r="E612" s="7" t="s">
        <v>6597</v>
      </c>
      <c r="F612" s="7" t="s">
        <v>6635</v>
      </c>
      <c r="G612" s="7" t="s">
        <v>6599</v>
      </c>
      <c r="H612" s="7" t="s">
        <v>943</v>
      </c>
      <c r="I612" s="7" t="s">
        <v>1424</v>
      </c>
      <c r="J612" s="8" t="s">
        <v>6636</v>
      </c>
      <c r="K612" s="8" t="s">
        <v>6601</v>
      </c>
      <c r="L612" s="7" t="s">
        <v>965</v>
      </c>
      <c r="M612" s="7" t="s">
        <v>6637</v>
      </c>
      <c r="N612" s="7" t="n">
        <v>4</v>
      </c>
      <c r="O612" s="7" t="s">
        <v>3201</v>
      </c>
      <c r="P612" s="7" t="s">
        <v>1150</v>
      </c>
      <c r="Q612" s="7" t="s">
        <v>1183</v>
      </c>
      <c r="R612" s="7" t="s">
        <v>1152</v>
      </c>
      <c r="S612" s="8"/>
      <c r="T612" s="12"/>
      <c r="U612" s="12"/>
    </row>
    <row r="613" customFormat="false" ht="23.85" hidden="false" customHeight="false" outlineLevel="0" collapsed="false">
      <c r="A613" s="7" t="s">
        <v>6638</v>
      </c>
      <c r="B613" s="14" t="s">
        <v>6595</v>
      </c>
      <c r="C613" s="7" t="s">
        <v>6596</v>
      </c>
      <c r="D613" s="7" t="s">
        <v>400</v>
      </c>
      <c r="E613" s="7" t="s">
        <v>6597</v>
      </c>
      <c r="F613" s="7" t="s">
        <v>6639</v>
      </c>
      <c r="G613" s="7" t="s">
        <v>6599</v>
      </c>
      <c r="H613" s="7" t="s">
        <v>943</v>
      </c>
      <c r="I613" s="7" t="s">
        <v>1424</v>
      </c>
      <c r="J613" s="8" t="s">
        <v>6640</v>
      </c>
      <c r="K613" s="8" t="s">
        <v>6577</v>
      </c>
      <c r="L613" s="7" t="s">
        <v>965</v>
      </c>
      <c r="M613" s="7" t="s">
        <v>6641</v>
      </c>
      <c r="N613" s="7" t="n">
        <v>4</v>
      </c>
      <c r="O613" s="7" t="s">
        <v>3210</v>
      </c>
      <c r="P613" s="7" t="s">
        <v>1150</v>
      </c>
      <c r="Q613" s="7" t="s">
        <v>1151</v>
      </c>
      <c r="R613" s="7" t="s">
        <v>1152</v>
      </c>
      <c r="S613" s="8"/>
      <c r="T613" s="12"/>
      <c r="U613" s="12"/>
    </row>
    <row r="614" customFormat="false" ht="23.85" hidden="false" customHeight="false" outlineLevel="0" collapsed="false">
      <c r="A614" s="7" t="s">
        <v>6642</v>
      </c>
      <c r="B614" s="14" t="s">
        <v>6604</v>
      </c>
      <c r="C614" s="7" t="s">
        <v>6596</v>
      </c>
      <c r="D614" s="7" t="s">
        <v>400</v>
      </c>
      <c r="E614" s="7" t="s">
        <v>6597</v>
      </c>
      <c r="F614" s="7" t="s">
        <v>6643</v>
      </c>
      <c r="G614" s="7" t="s">
        <v>6599</v>
      </c>
      <c r="H614" s="7" t="s">
        <v>943</v>
      </c>
      <c r="I614" s="7" t="s">
        <v>1424</v>
      </c>
      <c r="J614" s="8" t="s">
        <v>6644</v>
      </c>
      <c r="K614" s="8" t="s">
        <v>6577</v>
      </c>
      <c r="L614" s="7" t="s">
        <v>965</v>
      </c>
      <c r="M614" s="7" t="s">
        <v>6645</v>
      </c>
      <c r="N614" s="7" t="n">
        <v>4</v>
      </c>
      <c r="O614" s="7" t="s">
        <v>3210</v>
      </c>
      <c r="P614" s="7" t="s">
        <v>1150</v>
      </c>
      <c r="Q614" s="7" t="s">
        <v>1183</v>
      </c>
      <c r="R614" s="7" t="s">
        <v>1152</v>
      </c>
      <c r="S614" s="8"/>
      <c r="T614" s="12"/>
      <c r="U614" s="12"/>
    </row>
    <row r="615" customFormat="false" ht="23.85" hidden="false" customHeight="false" outlineLevel="0" collapsed="false">
      <c r="A615" s="7" t="s">
        <v>6646</v>
      </c>
      <c r="B615" s="14" t="s">
        <v>6609</v>
      </c>
      <c r="C615" s="7" t="s">
        <v>6596</v>
      </c>
      <c r="D615" s="7" t="s">
        <v>400</v>
      </c>
      <c r="E615" s="7" t="s">
        <v>6597</v>
      </c>
      <c r="F615" s="7" t="s">
        <v>6647</v>
      </c>
      <c r="G615" s="7" t="s">
        <v>6599</v>
      </c>
      <c r="H615" s="7" t="s">
        <v>943</v>
      </c>
      <c r="I615" s="7" t="s">
        <v>1424</v>
      </c>
      <c r="J615" s="8" t="s">
        <v>6648</v>
      </c>
      <c r="K615" s="8" t="s">
        <v>6577</v>
      </c>
      <c r="L615" s="7" t="s">
        <v>965</v>
      </c>
      <c r="M615" s="7" t="s">
        <v>6649</v>
      </c>
      <c r="N615" s="7" t="n">
        <v>4</v>
      </c>
      <c r="O615" s="7" t="s">
        <v>3210</v>
      </c>
      <c r="P615" s="7" t="s">
        <v>1150</v>
      </c>
      <c r="Q615" s="7" t="s">
        <v>1183</v>
      </c>
      <c r="R615" s="7" t="s">
        <v>1152</v>
      </c>
      <c r="S615" s="8"/>
      <c r="T615" s="12"/>
      <c r="U615" s="12"/>
    </row>
    <row r="616" customFormat="false" ht="23.85" hidden="false" customHeight="false" outlineLevel="0" collapsed="false">
      <c r="A616" s="7" t="s">
        <v>6650</v>
      </c>
      <c r="B616" s="14" t="s">
        <v>6651</v>
      </c>
      <c r="C616" s="7" t="s">
        <v>6596</v>
      </c>
      <c r="D616" s="7" t="s">
        <v>400</v>
      </c>
      <c r="E616" s="7" t="s">
        <v>6597</v>
      </c>
      <c r="F616" s="7" t="s">
        <v>6652</v>
      </c>
      <c r="G616" s="7" t="s">
        <v>6599</v>
      </c>
      <c r="H616" s="7" t="s">
        <v>943</v>
      </c>
      <c r="I616" s="7" t="s">
        <v>1424</v>
      </c>
      <c r="J616" s="8" t="s">
        <v>6653</v>
      </c>
      <c r="K616" s="8" t="s">
        <v>418</v>
      </c>
      <c r="L616" s="7" t="s">
        <v>483</v>
      </c>
      <c r="M616" s="7" t="s">
        <v>6654</v>
      </c>
      <c r="N616" s="7" t="n">
        <v>4</v>
      </c>
      <c r="O616" s="7" t="s">
        <v>3233</v>
      </c>
      <c r="P616" s="7" t="s">
        <v>1150</v>
      </c>
      <c r="Q616" s="7" t="s">
        <v>1151</v>
      </c>
      <c r="R616" s="7" t="s">
        <v>1152</v>
      </c>
      <c r="S616" s="8"/>
      <c r="T616" s="12"/>
      <c r="U616" s="12"/>
    </row>
    <row r="617" customFormat="false" ht="23.85" hidden="false" customHeight="false" outlineLevel="0" collapsed="false">
      <c r="A617" s="7" t="s">
        <v>6655</v>
      </c>
      <c r="B617" s="14" t="s">
        <v>6656</v>
      </c>
      <c r="C617" s="7" t="s">
        <v>6596</v>
      </c>
      <c r="D617" s="7" t="s">
        <v>400</v>
      </c>
      <c r="E617" s="7" t="s">
        <v>6597</v>
      </c>
      <c r="F617" s="7" t="s">
        <v>6657</v>
      </c>
      <c r="G617" s="7" t="s">
        <v>6599</v>
      </c>
      <c r="H617" s="7" t="s">
        <v>943</v>
      </c>
      <c r="I617" s="7" t="s">
        <v>1424</v>
      </c>
      <c r="J617" s="8" t="s">
        <v>6658</v>
      </c>
      <c r="K617" s="8" t="s">
        <v>6659</v>
      </c>
      <c r="L617" s="7" t="s">
        <v>1021</v>
      </c>
      <c r="M617" s="7" t="s">
        <v>6660</v>
      </c>
      <c r="N617" s="7" t="s">
        <v>952</v>
      </c>
      <c r="O617" s="7" t="s">
        <v>3248</v>
      </c>
      <c r="P617" s="7" t="s">
        <v>1421</v>
      </c>
      <c r="Q617" s="7" t="s">
        <v>1480</v>
      </c>
      <c r="R617" s="7" t="s">
        <v>1152</v>
      </c>
      <c r="S617" s="8"/>
      <c r="T617" s="12"/>
      <c r="U617" s="12"/>
    </row>
    <row r="618" customFormat="false" ht="23.85" hidden="false" customHeight="false" outlineLevel="0" collapsed="false">
      <c r="A618" s="7" t="s">
        <v>6661</v>
      </c>
      <c r="B618" s="14" t="s">
        <v>6662</v>
      </c>
      <c r="C618" s="7" t="s">
        <v>6596</v>
      </c>
      <c r="D618" s="7" t="s">
        <v>400</v>
      </c>
      <c r="E618" s="7" t="s">
        <v>6597</v>
      </c>
      <c r="F618" s="7" t="s">
        <v>6663</v>
      </c>
      <c r="G618" s="7" t="s">
        <v>6599</v>
      </c>
      <c r="H618" s="7" t="s">
        <v>943</v>
      </c>
      <c r="I618" s="7" t="s">
        <v>1424</v>
      </c>
      <c r="J618" s="8" t="s">
        <v>6664</v>
      </c>
      <c r="K618" s="8" t="s">
        <v>6659</v>
      </c>
      <c r="L618" s="7" t="s">
        <v>1021</v>
      </c>
      <c r="M618" s="7" t="s">
        <v>6665</v>
      </c>
      <c r="N618" s="7" t="s">
        <v>952</v>
      </c>
      <c r="O618" s="7" t="s">
        <v>3248</v>
      </c>
      <c r="P618" s="7" t="s">
        <v>1421</v>
      </c>
      <c r="Q618" s="7" t="s">
        <v>1480</v>
      </c>
      <c r="R618" s="7" t="s">
        <v>1152</v>
      </c>
      <c r="S618" s="8"/>
      <c r="T618" s="12"/>
      <c r="U618" s="12"/>
    </row>
    <row r="619" customFormat="false" ht="23.85" hidden="false" customHeight="false" outlineLevel="0" collapsed="false">
      <c r="A619" s="7" t="s">
        <v>6666</v>
      </c>
      <c r="B619" s="14" t="s">
        <v>6667</v>
      </c>
      <c r="C619" s="7" t="s">
        <v>6596</v>
      </c>
      <c r="D619" s="7" t="s">
        <v>400</v>
      </c>
      <c r="E619" s="7" t="s">
        <v>6597</v>
      </c>
      <c r="F619" s="7" t="s">
        <v>6668</v>
      </c>
      <c r="G619" s="7" t="s">
        <v>6599</v>
      </c>
      <c r="H619" s="7" t="s">
        <v>1029</v>
      </c>
      <c r="I619" s="7" t="s">
        <v>3572</v>
      </c>
      <c r="J619" s="8" t="s">
        <v>6669</v>
      </c>
      <c r="K619" s="8" t="s">
        <v>6670</v>
      </c>
      <c r="L619" s="7" t="s">
        <v>720</v>
      </c>
      <c r="M619" s="7" t="s">
        <v>6671</v>
      </c>
      <c r="N619" s="7" t="n">
        <v>2</v>
      </c>
      <c r="O619" s="7" t="s">
        <v>3252</v>
      </c>
      <c r="P619" s="7" t="s">
        <v>1421</v>
      </c>
      <c r="Q619" s="7" t="s">
        <v>1183</v>
      </c>
      <c r="R619" s="7" t="s">
        <v>1152</v>
      </c>
      <c r="S619" s="8"/>
      <c r="T619" s="12"/>
      <c r="U619" s="12"/>
    </row>
    <row r="620" customFormat="false" ht="23.85" hidden="false" customHeight="false" outlineLevel="0" collapsed="false">
      <c r="A620" s="7" t="s">
        <v>6672</v>
      </c>
      <c r="B620" s="14" t="s">
        <v>6673</v>
      </c>
      <c r="C620" s="7" t="s">
        <v>6596</v>
      </c>
      <c r="D620" s="7" t="s">
        <v>371</v>
      </c>
      <c r="E620" s="7" t="s">
        <v>6597</v>
      </c>
      <c r="F620" s="7" t="s">
        <v>6674</v>
      </c>
      <c r="G620" s="7" t="s">
        <v>6599</v>
      </c>
      <c r="H620" s="7" t="s">
        <v>1029</v>
      </c>
      <c r="I620" s="7" t="s">
        <v>3572</v>
      </c>
      <c r="J620" s="8" t="s">
        <v>6675</v>
      </c>
      <c r="K620" s="8" t="s">
        <v>6676</v>
      </c>
      <c r="L620" s="7" t="s">
        <v>720</v>
      </c>
      <c r="M620" s="7" t="s">
        <v>6677</v>
      </c>
      <c r="N620" s="7" t="n">
        <v>2</v>
      </c>
      <c r="O620" s="7" t="s">
        <v>3153</v>
      </c>
      <c r="P620" s="7" t="s">
        <v>1150</v>
      </c>
      <c r="Q620" s="7" t="s">
        <v>1183</v>
      </c>
      <c r="R620" s="7" t="s">
        <v>1152</v>
      </c>
      <c r="S620" s="8"/>
      <c r="T620" s="12"/>
      <c r="U620" s="12"/>
    </row>
    <row r="621" customFormat="false" ht="23.85" hidden="false" customHeight="false" outlineLevel="0" collapsed="false">
      <c r="A621" s="7" t="s">
        <v>6678</v>
      </c>
      <c r="B621" s="14" t="s">
        <v>6679</v>
      </c>
      <c r="C621" s="7" t="s">
        <v>6596</v>
      </c>
      <c r="D621" s="7" t="s">
        <v>400</v>
      </c>
      <c r="E621" s="7" t="s">
        <v>6597</v>
      </c>
      <c r="F621" s="7" t="s">
        <v>6680</v>
      </c>
      <c r="G621" s="7" t="s">
        <v>6599</v>
      </c>
      <c r="H621" s="7" t="s">
        <v>1029</v>
      </c>
      <c r="I621" s="7" t="s">
        <v>3572</v>
      </c>
      <c r="J621" s="8" t="s">
        <v>6681</v>
      </c>
      <c r="K621" s="8" t="s">
        <v>414</v>
      </c>
      <c r="L621" s="7" t="s">
        <v>720</v>
      </c>
      <c r="M621" s="7" t="s">
        <v>6682</v>
      </c>
      <c r="N621" s="7" t="n">
        <v>2</v>
      </c>
      <c r="O621" s="7" t="s">
        <v>3222</v>
      </c>
      <c r="P621" s="7" t="s">
        <v>1150</v>
      </c>
      <c r="Q621" s="7" t="s">
        <v>1183</v>
      </c>
      <c r="R621" s="7" t="s">
        <v>1152</v>
      </c>
      <c r="S621" s="8"/>
      <c r="T621" s="12"/>
      <c r="U621" s="12"/>
    </row>
    <row r="622" customFormat="false" ht="23.85" hidden="false" customHeight="false" outlineLevel="0" collapsed="false">
      <c r="A622" s="7" t="s">
        <v>6683</v>
      </c>
      <c r="B622" s="14" t="s">
        <v>6684</v>
      </c>
      <c r="C622" s="7" t="s">
        <v>6596</v>
      </c>
      <c r="D622" s="7" t="s">
        <v>400</v>
      </c>
      <c r="E622" s="7" t="s">
        <v>6597</v>
      </c>
      <c r="F622" s="7" t="s">
        <v>6685</v>
      </c>
      <c r="G622" s="7" t="s">
        <v>6599</v>
      </c>
      <c r="H622" s="7" t="s">
        <v>1029</v>
      </c>
      <c r="I622" s="7" t="s">
        <v>3572</v>
      </c>
      <c r="J622" s="8" t="s">
        <v>6686</v>
      </c>
      <c r="K622" s="8" t="s">
        <v>130</v>
      </c>
      <c r="L622" s="7" t="s">
        <v>720</v>
      </c>
      <c r="M622" s="7" t="s">
        <v>6687</v>
      </c>
      <c r="N622" s="7" t="n">
        <v>2</v>
      </c>
      <c r="O622" s="7" t="s">
        <v>3225</v>
      </c>
      <c r="P622" s="7" t="s">
        <v>1150</v>
      </c>
      <c r="Q622" s="7" t="s">
        <v>1480</v>
      </c>
      <c r="R622" s="7" t="s">
        <v>1152</v>
      </c>
      <c r="S622" s="8"/>
      <c r="T622" s="12"/>
      <c r="U622" s="12"/>
    </row>
    <row r="623" customFormat="false" ht="23.85" hidden="false" customHeight="false" outlineLevel="0" collapsed="false">
      <c r="A623" s="7" t="s">
        <v>6688</v>
      </c>
      <c r="B623" s="14" t="s">
        <v>6689</v>
      </c>
      <c r="C623" s="7" t="s">
        <v>6596</v>
      </c>
      <c r="D623" s="7" t="s">
        <v>400</v>
      </c>
      <c r="E623" s="7" t="s">
        <v>6597</v>
      </c>
      <c r="F623" s="7" t="s">
        <v>6690</v>
      </c>
      <c r="G623" s="7" t="s">
        <v>6599</v>
      </c>
      <c r="H623" s="7" t="s">
        <v>943</v>
      </c>
      <c r="I623" s="7" t="s">
        <v>1424</v>
      </c>
      <c r="J623" s="8" t="s">
        <v>6691</v>
      </c>
      <c r="K623" s="8" t="s">
        <v>110</v>
      </c>
      <c r="L623" s="7" t="s">
        <v>483</v>
      </c>
      <c r="M623" s="7" t="s">
        <v>6692</v>
      </c>
      <c r="N623" s="7" t="n">
        <v>4</v>
      </c>
      <c r="O623" s="7" t="s">
        <v>3239</v>
      </c>
      <c r="P623" s="7" t="s">
        <v>1150</v>
      </c>
      <c r="Q623" s="7" t="s">
        <v>1183</v>
      </c>
      <c r="R623" s="7" t="s">
        <v>1152</v>
      </c>
      <c r="S623" s="8"/>
      <c r="T623" s="12"/>
      <c r="U623" s="12"/>
    </row>
    <row r="624" customFormat="false" ht="23.85" hidden="false" customHeight="false" outlineLevel="0" collapsed="false">
      <c r="A624" s="7" t="s">
        <v>6693</v>
      </c>
      <c r="B624" s="14" t="s">
        <v>6694</v>
      </c>
      <c r="C624" s="7" t="s">
        <v>6596</v>
      </c>
      <c r="D624" s="7" t="s">
        <v>400</v>
      </c>
      <c r="E624" s="7" t="s">
        <v>6597</v>
      </c>
      <c r="F624" s="7" t="s">
        <v>6695</v>
      </c>
      <c r="G624" s="7" t="s">
        <v>6599</v>
      </c>
      <c r="H624" s="7" t="s">
        <v>1029</v>
      </c>
      <c r="I624" s="7" t="s">
        <v>3572</v>
      </c>
      <c r="J624" s="8" t="s">
        <v>6696</v>
      </c>
      <c r="K624" s="8" t="s">
        <v>110</v>
      </c>
      <c r="L624" s="7" t="s">
        <v>720</v>
      </c>
      <c r="M624" s="7" t="s">
        <v>6697</v>
      </c>
      <c r="N624" s="7" t="n">
        <v>2</v>
      </c>
      <c r="O624" s="7" t="s">
        <v>3243</v>
      </c>
      <c r="P624" s="7" t="s">
        <v>1150</v>
      </c>
      <c r="Q624" s="7" t="s">
        <v>1183</v>
      </c>
      <c r="R624" s="7" t="s">
        <v>1152</v>
      </c>
      <c r="S624" s="8"/>
      <c r="T624" s="12"/>
      <c r="U624" s="12"/>
    </row>
    <row r="625" customFormat="false" ht="23.85" hidden="false" customHeight="false" outlineLevel="0" collapsed="false">
      <c r="A625" s="7" t="s">
        <v>6698</v>
      </c>
      <c r="B625" s="14" t="s">
        <v>6699</v>
      </c>
      <c r="C625" s="7" t="s">
        <v>6596</v>
      </c>
      <c r="D625" s="7" t="s">
        <v>231</v>
      </c>
      <c r="E625" s="7" t="s">
        <v>6597</v>
      </c>
      <c r="F625" s="7" t="s">
        <v>6700</v>
      </c>
      <c r="G625" s="7" t="s">
        <v>6599</v>
      </c>
      <c r="H625" s="7" t="s">
        <v>943</v>
      </c>
      <c r="I625" s="7" t="s">
        <v>1424</v>
      </c>
      <c r="J625" s="8" t="s">
        <v>6701</v>
      </c>
      <c r="K625" s="8" t="s">
        <v>6702</v>
      </c>
      <c r="L625" s="7" t="s">
        <v>1021</v>
      </c>
      <c r="M625" s="7" t="s">
        <v>6703</v>
      </c>
      <c r="N625" s="7" t="s">
        <v>952</v>
      </c>
      <c r="O625" s="7" t="s">
        <v>2474</v>
      </c>
      <c r="P625" s="7" t="s">
        <v>1421</v>
      </c>
      <c r="Q625" s="7" t="s">
        <v>1480</v>
      </c>
      <c r="R625" s="7" t="s">
        <v>1152</v>
      </c>
      <c r="S625" s="8"/>
      <c r="T625" s="12"/>
      <c r="U625" s="12"/>
    </row>
    <row r="626" customFormat="false" ht="23.85" hidden="false" customHeight="false" outlineLevel="0" collapsed="false">
      <c r="A626" s="7" t="s">
        <v>6704</v>
      </c>
      <c r="B626" s="14" t="s">
        <v>6705</v>
      </c>
      <c r="C626" s="7" t="s">
        <v>6596</v>
      </c>
      <c r="D626" s="7" t="s">
        <v>231</v>
      </c>
      <c r="E626" s="7" t="s">
        <v>6597</v>
      </c>
      <c r="F626" s="7" t="s">
        <v>6706</v>
      </c>
      <c r="G626" s="7" t="s">
        <v>6599</v>
      </c>
      <c r="H626" s="7" t="s">
        <v>943</v>
      </c>
      <c r="I626" s="7" t="s">
        <v>1424</v>
      </c>
      <c r="J626" s="8" t="s">
        <v>6707</v>
      </c>
      <c r="K626" s="8" t="s">
        <v>6702</v>
      </c>
      <c r="L626" s="7" t="s">
        <v>1021</v>
      </c>
      <c r="M626" s="7" t="s">
        <v>6708</v>
      </c>
      <c r="N626" s="7" t="s">
        <v>952</v>
      </c>
      <c r="O626" s="7" t="s">
        <v>2474</v>
      </c>
      <c r="P626" s="7" t="s">
        <v>1421</v>
      </c>
      <c r="Q626" s="7" t="s">
        <v>1480</v>
      </c>
      <c r="R626" s="7" t="s">
        <v>1152</v>
      </c>
      <c r="S626" s="8"/>
      <c r="T626" s="12"/>
      <c r="U626" s="12"/>
    </row>
    <row r="627" customFormat="false" ht="23.85" hidden="false" customHeight="false" outlineLevel="0" collapsed="false">
      <c r="A627" s="7" t="s">
        <v>6709</v>
      </c>
      <c r="B627" s="14" t="s">
        <v>6710</v>
      </c>
      <c r="C627" s="7" t="s">
        <v>6596</v>
      </c>
      <c r="D627" s="7" t="s">
        <v>400</v>
      </c>
      <c r="E627" s="7" t="s">
        <v>6597</v>
      </c>
      <c r="F627" s="7" t="s">
        <v>6711</v>
      </c>
      <c r="G627" s="7" t="s">
        <v>6599</v>
      </c>
      <c r="H627" s="7" t="s">
        <v>1029</v>
      </c>
      <c r="I627" s="7" t="s">
        <v>3572</v>
      </c>
      <c r="J627" s="8" t="s">
        <v>6712</v>
      </c>
      <c r="K627" s="8" t="s">
        <v>6713</v>
      </c>
      <c r="L627" s="7" t="s">
        <v>720</v>
      </c>
      <c r="M627" s="7" t="s">
        <v>6714</v>
      </c>
      <c r="N627" s="7" t="n">
        <v>2</v>
      </c>
      <c r="O627" s="7" t="s">
        <v>3219</v>
      </c>
      <c r="P627" s="7" t="s">
        <v>1150</v>
      </c>
      <c r="Q627" s="7" t="s">
        <v>1183</v>
      </c>
      <c r="R627" s="7" t="s">
        <v>1152</v>
      </c>
      <c r="S627" s="8"/>
      <c r="T627" s="12"/>
      <c r="U627" s="12"/>
    </row>
    <row r="628" customFormat="false" ht="23.85" hidden="false" customHeight="false" outlineLevel="0" collapsed="false">
      <c r="A628" s="7" t="s">
        <v>6715</v>
      </c>
      <c r="B628" s="14" t="s">
        <v>6716</v>
      </c>
      <c r="C628" s="7" t="s">
        <v>6596</v>
      </c>
      <c r="D628" s="7" t="s">
        <v>291</v>
      </c>
      <c r="E628" s="7" t="s">
        <v>6597</v>
      </c>
      <c r="F628" s="7" t="s">
        <v>6717</v>
      </c>
      <c r="G628" s="7" t="s">
        <v>6599</v>
      </c>
      <c r="H628" s="7" t="s">
        <v>1029</v>
      </c>
      <c r="I628" s="7" t="s">
        <v>3572</v>
      </c>
      <c r="J628" s="8" t="s">
        <v>6718</v>
      </c>
      <c r="K628" s="8" t="s">
        <v>6719</v>
      </c>
      <c r="L628" s="7" t="s">
        <v>720</v>
      </c>
      <c r="M628" s="7" t="s">
        <v>6720</v>
      </c>
      <c r="N628" s="7" t="n">
        <v>2</v>
      </c>
      <c r="O628" s="7" t="s">
        <v>2654</v>
      </c>
      <c r="P628" s="7" t="s">
        <v>1421</v>
      </c>
      <c r="Q628" s="7" t="s">
        <v>1480</v>
      </c>
      <c r="R628" s="7" t="s">
        <v>1152</v>
      </c>
      <c r="S628" s="8"/>
      <c r="T628" s="12"/>
      <c r="U628" s="12"/>
    </row>
    <row r="629" customFormat="false" ht="23.85" hidden="false" customHeight="false" outlineLevel="0" collapsed="false">
      <c r="A629" s="7" t="s">
        <v>6721</v>
      </c>
      <c r="B629" s="14" t="s">
        <v>6722</v>
      </c>
      <c r="C629" s="7" t="s">
        <v>6596</v>
      </c>
      <c r="D629" s="7" t="s">
        <v>291</v>
      </c>
      <c r="E629" s="7" t="s">
        <v>6597</v>
      </c>
      <c r="F629" s="7" t="s">
        <v>6723</v>
      </c>
      <c r="G629" s="7" t="s">
        <v>6599</v>
      </c>
      <c r="H629" s="7" t="s">
        <v>943</v>
      </c>
      <c r="I629" s="7" t="s">
        <v>1424</v>
      </c>
      <c r="J629" s="8" t="s">
        <v>6724</v>
      </c>
      <c r="K629" s="8" t="s">
        <v>640</v>
      </c>
      <c r="L629" s="7" t="s">
        <v>1021</v>
      </c>
      <c r="M629" s="7" t="s">
        <v>6725</v>
      </c>
      <c r="N629" s="7" t="s">
        <v>952</v>
      </c>
      <c r="O629" s="7" t="s">
        <v>2631</v>
      </c>
      <c r="P629" s="7" t="s">
        <v>1421</v>
      </c>
      <c r="Q629" s="7" t="s">
        <v>1183</v>
      </c>
      <c r="R629" s="7" t="s">
        <v>1152</v>
      </c>
      <c r="S629" s="8"/>
      <c r="T629" s="12"/>
      <c r="U629" s="12"/>
    </row>
    <row r="630" customFormat="false" ht="35.05" hidden="false" customHeight="false" outlineLevel="0" collapsed="false">
      <c r="A630" s="7" t="s">
        <v>6726</v>
      </c>
      <c r="B630" s="14" t="s">
        <v>6727</v>
      </c>
      <c r="C630" s="7" t="s">
        <v>6728</v>
      </c>
      <c r="D630" s="7" t="s">
        <v>182</v>
      </c>
      <c r="E630" s="7" t="s">
        <v>6729</v>
      </c>
      <c r="F630" s="7" t="s">
        <v>6730</v>
      </c>
      <c r="G630" s="7" t="s">
        <v>6731</v>
      </c>
      <c r="H630" s="7" t="s">
        <v>1029</v>
      </c>
      <c r="I630" s="7" t="s">
        <v>3572</v>
      </c>
      <c r="J630" s="8" t="s">
        <v>6732</v>
      </c>
      <c r="K630" s="8" t="s">
        <v>6733</v>
      </c>
      <c r="L630" s="7" t="s">
        <v>720</v>
      </c>
      <c r="M630" s="7" t="s">
        <v>6734</v>
      </c>
      <c r="N630" s="7" t="n">
        <v>2</v>
      </c>
      <c r="O630" s="7" t="s">
        <v>2196</v>
      </c>
      <c r="P630" s="7" t="s">
        <v>1150</v>
      </c>
      <c r="Q630" s="7" t="s">
        <v>1151</v>
      </c>
      <c r="R630" s="7" t="s">
        <v>1152</v>
      </c>
      <c r="S630" s="8"/>
      <c r="T630" s="12"/>
      <c r="U630" s="12"/>
    </row>
    <row r="631" customFormat="false" ht="23.85" hidden="false" customHeight="false" outlineLevel="0" collapsed="false">
      <c r="A631" s="7" t="s">
        <v>6735</v>
      </c>
      <c r="B631" s="14" t="s">
        <v>6736</v>
      </c>
      <c r="C631" s="7" t="s">
        <v>6728</v>
      </c>
      <c r="D631" s="7" t="s">
        <v>371</v>
      </c>
      <c r="E631" s="7" t="s">
        <v>6729</v>
      </c>
      <c r="F631" s="7" t="s">
        <v>6737</v>
      </c>
      <c r="G631" s="7" t="s">
        <v>6731</v>
      </c>
      <c r="H631" s="7" t="s">
        <v>921</v>
      </c>
      <c r="I631" s="7" t="s">
        <v>1424</v>
      </c>
      <c r="J631" s="8" t="s">
        <v>6738</v>
      </c>
      <c r="K631" s="8" t="s">
        <v>6739</v>
      </c>
      <c r="L631" s="7" t="s">
        <v>1034</v>
      </c>
      <c r="M631" s="7" t="s">
        <v>6740</v>
      </c>
      <c r="N631" s="7" t="s">
        <v>952</v>
      </c>
      <c r="O631" s="7" t="s">
        <v>692</v>
      </c>
      <c r="P631" s="7" t="s">
        <v>1150</v>
      </c>
      <c r="Q631" s="7" t="s">
        <v>1480</v>
      </c>
      <c r="R631" s="7" t="s">
        <v>1152</v>
      </c>
      <c r="S631" s="8"/>
      <c r="T631" s="12"/>
      <c r="U631" s="12"/>
    </row>
    <row r="632" customFormat="false" ht="23.85" hidden="false" customHeight="false" outlineLevel="0" collapsed="false">
      <c r="A632" s="7" t="s">
        <v>6741</v>
      </c>
      <c r="B632" s="14" t="s">
        <v>6742</v>
      </c>
      <c r="C632" s="7" t="s">
        <v>6728</v>
      </c>
      <c r="D632" s="7" t="s">
        <v>371</v>
      </c>
      <c r="E632" s="7" t="s">
        <v>6729</v>
      </c>
      <c r="F632" s="7" t="s">
        <v>6743</v>
      </c>
      <c r="G632" s="7" t="s">
        <v>6731</v>
      </c>
      <c r="H632" s="7" t="s">
        <v>921</v>
      </c>
      <c r="I632" s="7" t="s">
        <v>1424</v>
      </c>
      <c r="J632" s="8" t="s">
        <v>6744</v>
      </c>
      <c r="K632" s="8" t="s">
        <v>6739</v>
      </c>
      <c r="L632" s="7" t="s">
        <v>1034</v>
      </c>
      <c r="M632" s="7" t="s">
        <v>6745</v>
      </c>
      <c r="N632" s="7" t="s">
        <v>952</v>
      </c>
      <c r="O632" s="7" t="s">
        <v>692</v>
      </c>
      <c r="P632" s="7" t="s">
        <v>1150</v>
      </c>
      <c r="Q632" s="7" t="s">
        <v>1480</v>
      </c>
      <c r="R632" s="7" t="s">
        <v>1152</v>
      </c>
      <c r="S632" s="8"/>
      <c r="T632" s="12"/>
      <c r="U632" s="12"/>
    </row>
    <row r="633" customFormat="false" ht="15" hidden="false" customHeight="false" outlineLevel="0" collapsed="false">
      <c r="A633" s="7" t="s">
        <v>6746</v>
      </c>
      <c r="B633" s="14" t="s">
        <v>6747</v>
      </c>
      <c r="C633" s="7" t="s">
        <v>6728</v>
      </c>
      <c r="D633" s="7" t="s">
        <v>291</v>
      </c>
      <c r="E633" s="7" t="s">
        <v>6729</v>
      </c>
      <c r="F633" s="7" t="s">
        <v>6748</v>
      </c>
      <c r="G633" s="7" t="s">
        <v>6731</v>
      </c>
      <c r="H633" s="7" t="s">
        <v>921</v>
      </c>
      <c r="I633" s="7" t="s">
        <v>1424</v>
      </c>
      <c r="J633" s="8" t="s">
        <v>6749</v>
      </c>
      <c r="K633" s="8" t="s">
        <v>640</v>
      </c>
      <c r="L633" s="7" t="s">
        <v>1026</v>
      </c>
      <c r="M633" s="7" t="s">
        <v>6750</v>
      </c>
      <c r="N633" s="7" t="s">
        <v>952</v>
      </c>
      <c r="O633" s="7" t="s">
        <v>2671</v>
      </c>
      <c r="P633" s="7" t="s">
        <v>1421</v>
      </c>
      <c r="Q633" s="7" t="s">
        <v>1480</v>
      </c>
      <c r="R633" s="7" t="s">
        <v>1152</v>
      </c>
      <c r="S633" s="8"/>
      <c r="T633" s="12"/>
      <c r="U633" s="12"/>
    </row>
    <row r="634" customFormat="false" ht="15" hidden="false" customHeight="false" outlineLevel="0" collapsed="false">
      <c r="A634" s="7" t="s">
        <v>6751</v>
      </c>
      <c r="B634" s="14" t="s">
        <v>6752</v>
      </c>
      <c r="C634" s="7" t="s">
        <v>6728</v>
      </c>
      <c r="D634" s="7" t="s">
        <v>291</v>
      </c>
      <c r="E634" s="7" t="s">
        <v>6729</v>
      </c>
      <c r="F634" s="7" t="s">
        <v>6753</v>
      </c>
      <c r="G634" s="7" t="s">
        <v>6731</v>
      </c>
      <c r="H634" s="7" t="s">
        <v>921</v>
      </c>
      <c r="I634" s="7" t="s">
        <v>1424</v>
      </c>
      <c r="J634" s="8" t="s">
        <v>6754</v>
      </c>
      <c r="K634" s="8" t="s">
        <v>640</v>
      </c>
      <c r="L634" s="7" t="s">
        <v>1026</v>
      </c>
      <c r="M634" s="7" t="s">
        <v>6755</v>
      </c>
      <c r="N634" s="7" t="s">
        <v>952</v>
      </c>
      <c r="O634" s="7" t="s">
        <v>2671</v>
      </c>
      <c r="P634" s="7" t="s">
        <v>1421</v>
      </c>
      <c r="Q634" s="7" t="s">
        <v>1480</v>
      </c>
      <c r="R634" s="7" t="s">
        <v>1152</v>
      </c>
      <c r="S634" s="8"/>
      <c r="T634" s="12"/>
      <c r="U634" s="12"/>
    </row>
    <row r="635" customFormat="false" ht="15" hidden="false" customHeight="false" outlineLevel="0" collapsed="false">
      <c r="A635" s="7" t="s">
        <v>6756</v>
      </c>
      <c r="B635" s="14" t="s">
        <v>6757</v>
      </c>
      <c r="C635" s="7" t="s">
        <v>6728</v>
      </c>
      <c r="D635" s="7" t="s">
        <v>371</v>
      </c>
      <c r="E635" s="7" t="s">
        <v>6729</v>
      </c>
      <c r="F635" s="7" t="s">
        <v>6758</v>
      </c>
      <c r="G635" s="7" t="s">
        <v>6731</v>
      </c>
      <c r="H635" s="7" t="s">
        <v>921</v>
      </c>
      <c r="I635" s="7" t="s">
        <v>1424</v>
      </c>
      <c r="J635" s="8" t="s">
        <v>6759</v>
      </c>
      <c r="K635" s="8" t="s">
        <v>636</v>
      </c>
      <c r="L635" s="7" t="s">
        <v>1044</v>
      </c>
      <c r="M635" s="7" t="s">
        <v>1049</v>
      </c>
      <c r="N635" s="7" t="s">
        <v>1049</v>
      </c>
      <c r="O635" s="7" t="s">
        <v>3127</v>
      </c>
      <c r="P635" s="7" t="s">
        <v>6544</v>
      </c>
      <c r="Q635" s="7" t="s">
        <v>1480</v>
      </c>
      <c r="R635" s="7" t="s">
        <v>1152</v>
      </c>
      <c r="S635" s="8"/>
      <c r="T635" s="12"/>
      <c r="U635" s="12"/>
    </row>
    <row r="636" customFormat="false" ht="23.85" hidden="false" customHeight="false" outlineLevel="0" collapsed="false">
      <c r="A636" s="7" t="s">
        <v>6760</v>
      </c>
      <c r="B636" s="14" t="s">
        <v>6727</v>
      </c>
      <c r="C636" s="7" t="s">
        <v>6728</v>
      </c>
      <c r="D636" s="7" t="s">
        <v>79</v>
      </c>
      <c r="E636" s="7" t="s">
        <v>6729</v>
      </c>
      <c r="F636" s="7" t="s">
        <v>6761</v>
      </c>
      <c r="G636" s="7" t="s">
        <v>6731</v>
      </c>
      <c r="H636" s="7" t="s">
        <v>921</v>
      </c>
      <c r="I636" s="7" t="s">
        <v>1424</v>
      </c>
      <c r="J636" s="8" t="s">
        <v>6762</v>
      </c>
      <c r="K636" s="8" t="s">
        <v>336</v>
      </c>
      <c r="L636" s="7" t="s">
        <v>1039</v>
      </c>
      <c r="M636" s="7" t="s">
        <v>6763</v>
      </c>
      <c r="N636" s="7" t="s">
        <v>952</v>
      </c>
      <c r="O636" s="7" t="s">
        <v>704</v>
      </c>
      <c r="P636" s="7" t="s">
        <v>1150</v>
      </c>
      <c r="Q636" s="7" t="s">
        <v>1480</v>
      </c>
      <c r="R636" s="7" t="s">
        <v>1152</v>
      </c>
      <c r="S636" s="8"/>
      <c r="T636" s="12"/>
      <c r="U636" s="12"/>
    </row>
    <row r="637" customFormat="false" ht="23.85" hidden="false" customHeight="false" outlineLevel="0" collapsed="false">
      <c r="A637" s="7" t="s">
        <v>6764</v>
      </c>
      <c r="B637" s="14" t="s">
        <v>6765</v>
      </c>
      <c r="C637" s="7" t="s">
        <v>6728</v>
      </c>
      <c r="D637" s="7" t="s">
        <v>79</v>
      </c>
      <c r="E637" s="7" t="s">
        <v>6729</v>
      </c>
      <c r="F637" s="7" t="s">
        <v>6766</v>
      </c>
      <c r="G637" s="7" t="s">
        <v>6731</v>
      </c>
      <c r="H637" s="7" t="s">
        <v>921</v>
      </c>
      <c r="I637" s="7" t="s">
        <v>1424</v>
      </c>
      <c r="J637" s="8" t="s">
        <v>6767</v>
      </c>
      <c r="K637" s="8" t="s">
        <v>336</v>
      </c>
      <c r="L637" s="7" t="s">
        <v>1039</v>
      </c>
      <c r="M637" s="7" t="s">
        <v>6768</v>
      </c>
      <c r="N637" s="7" t="s">
        <v>952</v>
      </c>
      <c r="O637" s="7" t="s">
        <v>704</v>
      </c>
      <c r="P637" s="7" t="s">
        <v>1150</v>
      </c>
      <c r="Q637" s="7" t="s">
        <v>1480</v>
      </c>
      <c r="R637" s="7" t="s">
        <v>1152</v>
      </c>
      <c r="S637" s="8"/>
      <c r="T637" s="12"/>
      <c r="U637" s="12"/>
    </row>
    <row r="638" customFormat="false" ht="23.85" hidden="false" customHeight="false" outlineLevel="0" collapsed="false">
      <c r="A638" s="7" t="s">
        <v>6769</v>
      </c>
      <c r="B638" s="14" t="s">
        <v>6770</v>
      </c>
      <c r="C638" s="7" t="s">
        <v>6728</v>
      </c>
      <c r="D638" s="7" t="s">
        <v>79</v>
      </c>
      <c r="E638" s="7" t="s">
        <v>6729</v>
      </c>
      <c r="F638" s="7" t="s">
        <v>6771</v>
      </c>
      <c r="G638" s="7" t="s">
        <v>6731</v>
      </c>
      <c r="H638" s="7" t="s">
        <v>921</v>
      </c>
      <c r="I638" s="7" t="s">
        <v>1424</v>
      </c>
      <c r="J638" s="8" t="s">
        <v>6772</v>
      </c>
      <c r="K638" s="8" t="s">
        <v>336</v>
      </c>
      <c r="L638" s="7" t="s">
        <v>1039</v>
      </c>
      <c r="M638" s="7" t="s">
        <v>6773</v>
      </c>
      <c r="N638" s="7" t="s">
        <v>952</v>
      </c>
      <c r="O638" s="7" t="s">
        <v>704</v>
      </c>
      <c r="P638" s="7" t="s">
        <v>1150</v>
      </c>
      <c r="Q638" s="7" t="s">
        <v>1480</v>
      </c>
      <c r="R638" s="7" t="s">
        <v>1152</v>
      </c>
      <c r="S638" s="8"/>
      <c r="T638" s="12"/>
      <c r="U638" s="12"/>
    </row>
    <row r="639" customFormat="false" ht="23.85" hidden="false" customHeight="false" outlineLevel="0" collapsed="false">
      <c r="A639" s="7" t="s">
        <v>6774</v>
      </c>
      <c r="B639" s="14" t="s">
        <v>6775</v>
      </c>
      <c r="C639" s="7" t="s">
        <v>6776</v>
      </c>
      <c r="D639" s="7" t="s">
        <v>142</v>
      </c>
      <c r="E639" s="7" t="s">
        <v>6777</v>
      </c>
      <c r="F639" s="7" t="s">
        <v>6778</v>
      </c>
      <c r="G639" s="7" t="s">
        <v>6779</v>
      </c>
      <c r="H639" s="7" t="s">
        <v>928</v>
      </c>
      <c r="I639" s="7" t="s">
        <v>1148</v>
      </c>
      <c r="J639" s="8" t="s">
        <v>6780</v>
      </c>
      <c r="K639" s="8" t="s">
        <v>6781</v>
      </c>
      <c r="L639" s="7" t="s">
        <v>483</v>
      </c>
      <c r="M639" s="7" t="s">
        <v>6782</v>
      </c>
      <c r="N639" s="7" t="n">
        <v>4</v>
      </c>
      <c r="O639" s="7" t="s">
        <v>1573</v>
      </c>
      <c r="P639" s="7" t="s">
        <v>1150</v>
      </c>
      <c r="Q639" s="7" t="s">
        <v>1183</v>
      </c>
      <c r="R639" s="7" t="s">
        <v>1152</v>
      </c>
      <c r="S639" s="8"/>
      <c r="T639" s="12"/>
      <c r="U639" s="12"/>
    </row>
    <row r="640" customFormat="false" ht="23.85" hidden="false" customHeight="false" outlineLevel="0" collapsed="false">
      <c r="A640" s="7" t="s">
        <v>6783</v>
      </c>
      <c r="B640" s="14" t="s">
        <v>6784</v>
      </c>
      <c r="C640" s="7" t="s">
        <v>6776</v>
      </c>
      <c r="D640" s="7" t="s">
        <v>142</v>
      </c>
      <c r="E640" s="7" t="s">
        <v>6777</v>
      </c>
      <c r="F640" s="7" t="s">
        <v>6785</v>
      </c>
      <c r="G640" s="7" t="s">
        <v>6779</v>
      </c>
      <c r="H640" s="7" t="s">
        <v>928</v>
      </c>
      <c r="I640" s="7" t="s">
        <v>1148</v>
      </c>
      <c r="J640" s="8" t="s">
        <v>6786</v>
      </c>
      <c r="K640" s="8" t="s">
        <v>6781</v>
      </c>
      <c r="L640" s="7" t="s">
        <v>483</v>
      </c>
      <c r="M640" s="7" t="s">
        <v>6787</v>
      </c>
      <c r="N640" s="7" t="n">
        <v>4</v>
      </c>
      <c r="O640" s="7" t="s">
        <v>1573</v>
      </c>
      <c r="P640" s="7" t="s">
        <v>1150</v>
      </c>
      <c r="Q640" s="7" t="s">
        <v>1183</v>
      </c>
      <c r="R640" s="7" t="s">
        <v>1152</v>
      </c>
      <c r="S640" s="8"/>
      <c r="T640" s="12"/>
      <c r="U640" s="12"/>
    </row>
    <row r="641" customFormat="false" ht="23.85" hidden="false" customHeight="false" outlineLevel="0" collapsed="false">
      <c r="A641" s="7" t="s">
        <v>6788</v>
      </c>
      <c r="B641" s="14" t="s">
        <v>6789</v>
      </c>
      <c r="C641" s="7" t="s">
        <v>6776</v>
      </c>
      <c r="D641" s="7" t="s">
        <v>265</v>
      </c>
      <c r="E641" s="7" t="s">
        <v>6777</v>
      </c>
      <c r="F641" s="7" t="s">
        <v>6790</v>
      </c>
      <c r="G641" s="7" t="s">
        <v>6779</v>
      </c>
      <c r="H641" s="7" t="s">
        <v>943</v>
      </c>
      <c r="I641" s="7" t="s">
        <v>1424</v>
      </c>
      <c r="J641" s="8" t="s">
        <v>6791</v>
      </c>
      <c r="K641" s="8" t="s">
        <v>6792</v>
      </c>
      <c r="L641" s="7" t="s">
        <v>720</v>
      </c>
      <c r="M641" s="7" t="s">
        <v>6793</v>
      </c>
      <c r="N641" s="7" t="n">
        <v>2</v>
      </c>
      <c r="O641" s="7" t="s">
        <v>2501</v>
      </c>
      <c r="P641" s="7" t="s">
        <v>1421</v>
      </c>
      <c r="Q641" s="7" t="s">
        <v>1480</v>
      </c>
      <c r="R641" s="7" t="s">
        <v>1152</v>
      </c>
      <c r="S641" s="8" t="s">
        <v>3984</v>
      </c>
      <c r="T641" s="12"/>
      <c r="U641" s="12"/>
    </row>
    <row r="642" customFormat="false" ht="23.85" hidden="false" customHeight="false" outlineLevel="0" collapsed="false">
      <c r="A642" s="7" t="s">
        <v>6794</v>
      </c>
      <c r="B642" s="14" t="s">
        <v>6795</v>
      </c>
      <c r="C642" s="7" t="s">
        <v>6776</v>
      </c>
      <c r="D642" s="7" t="s">
        <v>265</v>
      </c>
      <c r="E642" s="7" t="s">
        <v>6777</v>
      </c>
      <c r="F642" s="7" t="s">
        <v>6796</v>
      </c>
      <c r="G642" s="7" t="s">
        <v>6779</v>
      </c>
      <c r="H642" s="7" t="s">
        <v>943</v>
      </c>
      <c r="I642" s="7" t="s">
        <v>1424</v>
      </c>
      <c r="J642" s="8" t="s">
        <v>6797</v>
      </c>
      <c r="K642" s="8" t="s">
        <v>6792</v>
      </c>
      <c r="L642" s="7" t="s">
        <v>720</v>
      </c>
      <c r="M642" s="7" t="s">
        <v>6798</v>
      </c>
      <c r="N642" s="7" t="n">
        <v>2</v>
      </c>
      <c r="O642" s="7" t="s">
        <v>2501</v>
      </c>
      <c r="P642" s="7" t="s">
        <v>1421</v>
      </c>
      <c r="Q642" s="7" t="s">
        <v>1480</v>
      </c>
      <c r="R642" s="7" t="s">
        <v>1152</v>
      </c>
      <c r="S642" s="8" t="s">
        <v>3984</v>
      </c>
      <c r="T642" s="12"/>
      <c r="U642" s="12"/>
    </row>
    <row r="643" customFormat="false" ht="23.85" hidden="false" customHeight="false" outlineLevel="0" collapsed="false">
      <c r="A643" s="7" t="s">
        <v>6799</v>
      </c>
      <c r="B643" s="14" t="s">
        <v>6800</v>
      </c>
      <c r="C643" s="7" t="s">
        <v>6776</v>
      </c>
      <c r="D643" s="7" t="s">
        <v>265</v>
      </c>
      <c r="E643" s="7" t="s">
        <v>6777</v>
      </c>
      <c r="F643" s="7" t="s">
        <v>6801</v>
      </c>
      <c r="G643" s="7" t="s">
        <v>6779</v>
      </c>
      <c r="H643" s="7" t="s">
        <v>943</v>
      </c>
      <c r="I643" s="7" t="s">
        <v>1424</v>
      </c>
      <c r="J643" s="8" t="s">
        <v>6802</v>
      </c>
      <c r="K643" s="8" t="s">
        <v>6803</v>
      </c>
      <c r="L643" s="7" t="s">
        <v>1044</v>
      </c>
      <c r="M643" s="7" t="s">
        <v>1049</v>
      </c>
      <c r="N643" s="7" t="s">
        <v>1049</v>
      </c>
      <c r="O643" s="7" t="s">
        <v>2495</v>
      </c>
      <c r="P643" s="7" t="s">
        <v>1150</v>
      </c>
      <c r="Q643" s="7" t="s">
        <v>1480</v>
      </c>
      <c r="R643" s="7" t="s">
        <v>1152</v>
      </c>
      <c r="S643" s="8"/>
      <c r="T643" s="12"/>
      <c r="U643" s="12"/>
    </row>
    <row r="644" customFormat="false" ht="23.85" hidden="false" customHeight="false" outlineLevel="0" collapsed="false">
      <c r="A644" s="7" t="s">
        <v>6804</v>
      </c>
      <c r="B644" s="14" t="s">
        <v>6805</v>
      </c>
      <c r="C644" s="7" t="s">
        <v>6776</v>
      </c>
      <c r="D644" s="7" t="s">
        <v>265</v>
      </c>
      <c r="E644" s="7" t="s">
        <v>6777</v>
      </c>
      <c r="F644" s="7" t="s">
        <v>6806</v>
      </c>
      <c r="G644" s="7" t="s">
        <v>6779</v>
      </c>
      <c r="H644" s="7" t="s">
        <v>943</v>
      </c>
      <c r="I644" s="7" t="s">
        <v>1424</v>
      </c>
      <c r="J644" s="8" t="s">
        <v>6807</v>
      </c>
      <c r="K644" s="8" t="s">
        <v>6803</v>
      </c>
      <c r="L644" s="7" t="s">
        <v>1044</v>
      </c>
      <c r="M644" s="7" t="s">
        <v>1049</v>
      </c>
      <c r="N644" s="7" t="s">
        <v>1049</v>
      </c>
      <c r="O644" s="7" t="s">
        <v>2495</v>
      </c>
      <c r="P644" s="7" t="s">
        <v>1150</v>
      </c>
      <c r="Q644" s="7" t="s">
        <v>1480</v>
      </c>
      <c r="R644" s="7" t="s">
        <v>1152</v>
      </c>
      <c r="S644" s="8"/>
      <c r="T644" s="12"/>
      <c r="U644" s="12"/>
    </row>
    <row r="645" customFormat="false" ht="23.85" hidden="false" customHeight="false" outlineLevel="0" collapsed="false">
      <c r="A645" s="7" t="s">
        <v>6808</v>
      </c>
      <c r="B645" s="14" t="s">
        <v>6809</v>
      </c>
      <c r="C645" s="7" t="s">
        <v>6776</v>
      </c>
      <c r="D645" s="7" t="s">
        <v>265</v>
      </c>
      <c r="E645" s="7" t="s">
        <v>6777</v>
      </c>
      <c r="F645" s="7" t="s">
        <v>6810</v>
      </c>
      <c r="G645" s="7" t="s">
        <v>6779</v>
      </c>
      <c r="H645" s="7" t="s">
        <v>943</v>
      </c>
      <c r="I645" s="7" t="s">
        <v>1424</v>
      </c>
      <c r="J645" s="8" t="s">
        <v>6811</v>
      </c>
      <c r="K645" s="8" t="s">
        <v>6803</v>
      </c>
      <c r="L645" s="7" t="s">
        <v>1044</v>
      </c>
      <c r="M645" s="7" t="s">
        <v>1049</v>
      </c>
      <c r="N645" s="7" t="s">
        <v>1049</v>
      </c>
      <c r="O645" s="7" t="s">
        <v>2495</v>
      </c>
      <c r="P645" s="7" t="s">
        <v>1150</v>
      </c>
      <c r="Q645" s="7" t="s">
        <v>1480</v>
      </c>
      <c r="R645" s="7" t="s">
        <v>1152</v>
      </c>
      <c r="S645" s="8"/>
      <c r="T645" s="12"/>
      <c r="U645" s="12"/>
    </row>
    <row r="646" customFormat="false" ht="23.85" hidden="false" customHeight="false" outlineLevel="0" collapsed="false">
      <c r="A646" s="7" t="s">
        <v>6812</v>
      </c>
      <c r="B646" s="14" t="s">
        <v>6813</v>
      </c>
      <c r="C646" s="7" t="s">
        <v>6776</v>
      </c>
      <c r="D646" s="7" t="s">
        <v>371</v>
      </c>
      <c r="E646" s="7" t="s">
        <v>6777</v>
      </c>
      <c r="F646" s="7" t="s">
        <v>6814</v>
      </c>
      <c r="G646" s="7" t="s">
        <v>6779</v>
      </c>
      <c r="H646" s="7" t="s">
        <v>921</v>
      </c>
      <c r="I646" s="7" t="s">
        <v>1424</v>
      </c>
      <c r="J646" s="8" t="s">
        <v>6815</v>
      </c>
      <c r="K646" s="8" t="s">
        <v>6816</v>
      </c>
      <c r="L646" s="7" t="s">
        <v>1044</v>
      </c>
      <c r="M646" s="7" t="s">
        <v>1049</v>
      </c>
      <c r="N646" s="7" t="s">
        <v>1049</v>
      </c>
      <c r="O646" s="7" t="s">
        <v>372</v>
      </c>
      <c r="P646" s="7" t="s">
        <v>6544</v>
      </c>
      <c r="Q646" s="7" t="s">
        <v>1480</v>
      </c>
      <c r="R646" s="7" t="s">
        <v>1152</v>
      </c>
      <c r="S646" s="8"/>
      <c r="T646" s="12"/>
      <c r="U646" s="12"/>
    </row>
    <row r="647" customFormat="false" ht="23.85" hidden="false" customHeight="false" outlineLevel="0" collapsed="false">
      <c r="A647" s="7" t="s">
        <v>6817</v>
      </c>
      <c r="B647" s="14" t="s">
        <v>6818</v>
      </c>
      <c r="C647" s="7" t="s">
        <v>6776</v>
      </c>
      <c r="D647" s="7" t="s">
        <v>371</v>
      </c>
      <c r="E647" s="7" t="s">
        <v>6777</v>
      </c>
      <c r="F647" s="7" t="s">
        <v>6819</v>
      </c>
      <c r="G647" s="7" t="s">
        <v>6779</v>
      </c>
      <c r="H647" s="7" t="s">
        <v>921</v>
      </c>
      <c r="I647" s="7" t="s">
        <v>1424</v>
      </c>
      <c r="J647" s="8" t="s">
        <v>6820</v>
      </c>
      <c r="K647" s="8" t="s">
        <v>6816</v>
      </c>
      <c r="L647" s="7" t="s">
        <v>1044</v>
      </c>
      <c r="M647" s="7" t="s">
        <v>1049</v>
      </c>
      <c r="N647" s="7" t="s">
        <v>1049</v>
      </c>
      <c r="O647" s="7" t="s">
        <v>372</v>
      </c>
      <c r="P647" s="7" t="s">
        <v>6544</v>
      </c>
      <c r="Q647" s="7" t="s">
        <v>1480</v>
      </c>
      <c r="R647" s="7" t="s">
        <v>1152</v>
      </c>
      <c r="S647" s="8"/>
      <c r="T647" s="12"/>
      <c r="U647" s="12"/>
    </row>
    <row r="648" customFormat="false" ht="23.85" hidden="false" customHeight="false" outlineLevel="0" collapsed="false">
      <c r="A648" s="7" t="s">
        <v>6821</v>
      </c>
      <c r="B648" s="14" t="s">
        <v>6822</v>
      </c>
      <c r="C648" s="7" t="s">
        <v>6823</v>
      </c>
      <c r="D648" s="7" t="s">
        <v>79</v>
      </c>
      <c r="E648" s="7" t="s">
        <v>6824</v>
      </c>
      <c r="F648" s="7" t="s">
        <v>6825</v>
      </c>
      <c r="G648" s="7" t="s">
        <v>6826</v>
      </c>
      <c r="H648" s="7" t="s">
        <v>921</v>
      </c>
      <c r="I648" s="7" t="s">
        <v>1424</v>
      </c>
      <c r="J648" s="8" t="s">
        <v>6827</v>
      </c>
      <c r="K648" s="8" t="s">
        <v>197</v>
      </c>
      <c r="L648" s="7" t="s">
        <v>1039</v>
      </c>
      <c r="M648" s="7" t="s">
        <v>6828</v>
      </c>
      <c r="N648" s="7" t="s">
        <v>952</v>
      </c>
      <c r="O648" s="7" t="s">
        <v>704</v>
      </c>
      <c r="P648" s="7" t="s">
        <v>1150</v>
      </c>
      <c r="Q648" s="7" t="s">
        <v>1183</v>
      </c>
      <c r="R648" s="7" t="s">
        <v>1152</v>
      </c>
      <c r="S648" s="8"/>
      <c r="T648" s="12"/>
      <c r="U648" s="12"/>
    </row>
    <row r="649" customFormat="false" ht="23.85" hidden="false" customHeight="false" outlineLevel="0" collapsed="false">
      <c r="A649" s="7" t="s">
        <v>6829</v>
      </c>
      <c r="B649" s="14" t="s">
        <v>6830</v>
      </c>
      <c r="C649" s="7" t="s">
        <v>6823</v>
      </c>
      <c r="D649" s="7" t="s">
        <v>79</v>
      </c>
      <c r="E649" s="7" t="s">
        <v>6824</v>
      </c>
      <c r="F649" s="7" t="s">
        <v>6831</v>
      </c>
      <c r="G649" s="7" t="s">
        <v>6826</v>
      </c>
      <c r="H649" s="7" t="s">
        <v>921</v>
      </c>
      <c r="I649" s="7" t="s">
        <v>1424</v>
      </c>
      <c r="J649" s="8" t="s">
        <v>6832</v>
      </c>
      <c r="K649" s="8" t="s">
        <v>197</v>
      </c>
      <c r="L649" s="7" t="s">
        <v>1039</v>
      </c>
      <c r="M649" s="7" t="s">
        <v>6833</v>
      </c>
      <c r="N649" s="7" t="s">
        <v>952</v>
      </c>
      <c r="O649" s="7" t="s">
        <v>704</v>
      </c>
      <c r="P649" s="7" t="s">
        <v>1150</v>
      </c>
      <c r="Q649" s="7" t="s">
        <v>1183</v>
      </c>
      <c r="R649" s="7" t="s">
        <v>1152</v>
      </c>
      <c r="S649" s="8"/>
      <c r="T649" s="12"/>
      <c r="U649" s="12"/>
    </row>
    <row r="650" customFormat="false" ht="23.85" hidden="false" customHeight="false" outlineLevel="0" collapsed="false">
      <c r="A650" s="7" t="s">
        <v>6834</v>
      </c>
      <c r="B650" s="14" t="s">
        <v>6835</v>
      </c>
      <c r="C650" s="7" t="s">
        <v>6823</v>
      </c>
      <c r="D650" s="7" t="s">
        <v>79</v>
      </c>
      <c r="E650" s="7" t="s">
        <v>6824</v>
      </c>
      <c r="F650" s="7" t="s">
        <v>6836</v>
      </c>
      <c r="G650" s="7" t="s">
        <v>6826</v>
      </c>
      <c r="H650" s="7" t="s">
        <v>921</v>
      </c>
      <c r="I650" s="7" t="s">
        <v>1424</v>
      </c>
      <c r="J650" s="8" t="s">
        <v>6837</v>
      </c>
      <c r="K650" s="8" t="s">
        <v>197</v>
      </c>
      <c r="L650" s="7" t="s">
        <v>1039</v>
      </c>
      <c r="M650" s="7" t="s">
        <v>6838</v>
      </c>
      <c r="N650" s="7" t="s">
        <v>952</v>
      </c>
      <c r="O650" s="7" t="s">
        <v>704</v>
      </c>
      <c r="P650" s="7" t="s">
        <v>1150</v>
      </c>
      <c r="Q650" s="7" t="s">
        <v>1183</v>
      </c>
      <c r="R650" s="7" t="s">
        <v>1152</v>
      </c>
      <c r="S650" s="8"/>
      <c r="T650" s="12"/>
      <c r="U650" s="12"/>
    </row>
    <row r="651" customFormat="false" ht="23.85" hidden="false" customHeight="false" outlineLevel="0" collapsed="false">
      <c r="A651" s="7" t="s">
        <v>6839</v>
      </c>
      <c r="B651" s="14" t="s">
        <v>6840</v>
      </c>
      <c r="C651" s="7" t="s">
        <v>6823</v>
      </c>
      <c r="D651" s="7" t="s">
        <v>79</v>
      </c>
      <c r="E651" s="7" t="s">
        <v>6824</v>
      </c>
      <c r="F651" s="7" t="s">
        <v>6841</v>
      </c>
      <c r="G651" s="7" t="s">
        <v>6826</v>
      </c>
      <c r="H651" s="7" t="s">
        <v>921</v>
      </c>
      <c r="I651" s="7" t="s">
        <v>1424</v>
      </c>
      <c r="J651" s="8" t="s">
        <v>6842</v>
      </c>
      <c r="K651" s="8" t="s">
        <v>197</v>
      </c>
      <c r="L651" s="7" t="s">
        <v>1039</v>
      </c>
      <c r="M651" s="7" t="s">
        <v>6843</v>
      </c>
      <c r="N651" s="7" t="s">
        <v>952</v>
      </c>
      <c r="O651" s="7" t="s">
        <v>704</v>
      </c>
      <c r="P651" s="7" t="s">
        <v>1150</v>
      </c>
      <c r="Q651" s="7" t="s">
        <v>1183</v>
      </c>
      <c r="R651" s="7" t="s">
        <v>1152</v>
      </c>
      <c r="S651" s="8"/>
      <c r="T651" s="12"/>
      <c r="U651" s="12"/>
    </row>
    <row r="652" customFormat="false" ht="23.85" hidden="false" customHeight="false" outlineLevel="0" collapsed="false">
      <c r="A652" s="7" t="s">
        <v>6844</v>
      </c>
      <c r="B652" s="14" t="s">
        <v>6845</v>
      </c>
      <c r="C652" s="7" t="s">
        <v>6823</v>
      </c>
      <c r="D652" s="7" t="s">
        <v>79</v>
      </c>
      <c r="E652" s="7" t="s">
        <v>6824</v>
      </c>
      <c r="F652" s="7" t="s">
        <v>6846</v>
      </c>
      <c r="G652" s="7" t="s">
        <v>6826</v>
      </c>
      <c r="H652" s="7" t="s">
        <v>921</v>
      </c>
      <c r="I652" s="7" t="s">
        <v>1424</v>
      </c>
      <c r="J652" s="8" t="s">
        <v>6847</v>
      </c>
      <c r="K652" s="8" t="s">
        <v>197</v>
      </c>
      <c r="L652" s="7" t="s">
        <v>1039</v>
      </c>
      <c r="M652" s="7" t="s">
        <v>6848</v>
      </c>
      <c r="N652" s="7" t="s">
        <v>952</v>
      </c>
      <c r="O652" s="7" t="s">
        <v>704</v>
      </c>
      <c r="P652" s="7" t="s">
        <v>1150</v>
      </c>
      <c r="Q652" s="7" t="s">
        <v>1183</v>
      </c>
      <c r="R652" s="7" t="s">
        <v>1152</v>
      </c>
      <c r="S652" s="8"/>
      <c r="T652" s="12"/>
      <c r="U652" s="12"/>
    </row>
  </sheetData>
  <autoFilter ref="A1:U652"/>
  <dataValidations count="1">
    <dataValidation allowBlank="true" errorStyle="stop" operator="between" showDropDown="false" showErrorMessage="false" showInputMessage="false" sqref="T2:T652" type="list">
      <formula1>"Aprovar,Talvez,Descartar"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3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4"/>
    <col collapsed="false" customWidth="true" hidden="false" outlineLevel="0" max="3" min="3" style="0" width="22"/>
    <col collapsed="false" customWidth="true" hidden="false" outlineLevel="0" max="4" min="4" style="0" width="18"/>
    <col collapsed="false" customWidth="true" hidden="false" outlineLevel="0" max="5" min="5" style="0" width="40"/>
    <col collapsed="false" customWidth="true" hidden="false" outlineLevel="0" max="6" min="6" style="0" width="44"/>
    <col collapsed="false" customWidth="true" hidden="false" outlineLevel="0" max="7" min="7" style="0" width="34"/>
    <col collapsed="false" customWidth="true" hidden="false" outlineLevel="0" max="8" min="8" style="0" width="24"/>
    <col collapsed="false" customWidth="true" hidden="false" outlineLevel="0" max="9" min="9" style="0" width="13"/>
    <col collapsed="false" customWidth="true" hidden="false" outlineLevel="0" max="10" min="10" style="0" width="60"/>
    <col collapsed="false" customWidth="true" hidden="false" outlineLevel="0" max="11" min="11" style="0" width="26"/>
    <col collapsed="false" customWidth="true" hidden="false" outlineLevel="0" max="12" min="12" style="0" width="52"/>
    <col collapsed="false" customWidth="true" hidden="false" outlineLevel="0" max="14" min="13" style="0" width="50"/>
    <col collapsed="false" customWidth="true" hidden="false" outlineLevel="0" max="15" min="15" style="0" width="12"/>
  </cols>
  <sheetData>
    <row r="1" customFormat="false" ht="31.5" hidden="false" customHeight="true" outlineLevel="0" collapsed="false">
      <c r="A1" s="6" t="s">
        <v>1136</v>
      </c>
      <c r="B1" s="6" t="s">
        <v>3980</v>
      </c>
      <c r="C1" s="6" t="s">
        <v>6849</v>
      </c>
      <c r="D1" s="6" t="s">
        <v>1139</v>
      </c>
      <c r="E1" s="6" t="s">
        <v>6850</v>
      </c>
      <c r="F1" s="6" t="s">
        <v>6851</v>
      </c>
      <c r="G1" s="6" t="s">
        <v>6852</v>
      </c>
      <c r="H1" s="6" t="s">
        <v>6853</v>
      </c>
      <c r="I1" s="6" t="s">
        <v>32</v>
      </c>
      <c r="J1" s="6" t="s">
        <v>36</v>
      </c>
      <c r="K1" s="6" t="s">
        <v>38</v>
      </c>
      <c r="L1" s="6" t="s">
        <v>911</v>
      </c>
      <c r="M1" s="6" t="s">
        <v>6854</v>
      </c>
      <c r="N1" s="6" t="s">
        <v>914</v>
      </c>
      <c r="O1" s="6" t="s">
        <v>6855</v>
      </c>
    </row>
    <row r="2" customFormat="false" ht="23.85" hidden="false" customHeight="false" outlineLevel="0" collapsed="false">
      <c r="A2" s="7" t="s">
        <v>6856</v>
      </c>
      <c r="B2" s="7" t="s">
        <v>476</v>
      </c>
      <c r="C2" s="7" t="s">
        <v>857</v>
      </c>
      <c r="D2" s="7" t="s">
        <v>3992</v>
      </c>
      <c r="E2" s="7" t="s">
        <v>6857</v>
      </c>
      <c r="F2" s="7" t="s">
        <v>3991</v>
      </c>
      <c r="G2" s="7"/>
      <c r="H2" s="7" t="s">
        <v>471</v>
      </c>
      <c r="I2" s="7" t="s">
        <v>928</v>
      </c>
      <c r="J2" s="8" t="s">
        <v>6858</v>
      </c>
      <c r="K2" s="7" t="s">
        <v>483</v>
      </c>
      <c r="L2" s="7" t="s">
        <v>6859</v>
      </c>
      <c r="M2" s="8" t="s">
        <v>860</v>
      </c>
      <c r="N2" s="8" t="s">
        <v>6860</v>
      </c>
      <c r="O2" s="7" t="n">
        <f aca="false">COUNTIF('Mapa de Marcas'!$C:$C,"Tubos e conexões")</f>
        <v>16</v>
      </c>
    </row>
    <row r="3" customFormat="false" ht="35.05" hidden="false" customHeight="false" outlineLevel="0" collapsed="false">
      <c r="A3" s="7" t="s">
        <v>6861</v>
      </c>
      <c r="B3" s="7" t="s">
        <v>476</v>
      </c>
      <c r="C3" s="7" t="s">
        <v>857</v>
      </c>
      <c r="D3" s="7" t="s">
        <v>3992</v>
      </c>
      <c r="E3" s="7" t="s">
        <v>6862</v>
      </c>
      <c r="F3" s="7" t="s">
        <v>3996</v>
      </c>
      <c r="G3" s="7" t="s">
        <v>2008</v>
      </c>
      <c r="H3" s="7" t="s">
        <v>182</v>
      </c>
      <c r="I3" s="7" t="s">
        <v>943</v>
      </c>
      <c r="J3" s="8" t="s">
        <v>6863</v>
      </c>
      <c r="K3" s="7" t="s">
        <v>606</v>
      </c>
      <c r="L3" s="7" t="s">
        <v>6864</v>
      </c>
      <c r="M3" s="8" t="s">
        <v>860</v>
      </c>
      <c r="N3" s="8" t="s">
        <v>6865</v>
      </c>
      <c r="O3" s="7" t="n">
        <f aca="false">COUNTIF('Mapa de Marcas'!$C:$C,"Tubos e conexões")</f>
        <v>16</v>
      </c>
    </row>
    <row r="4" customFormat="false" ht="23.85" hidden="false" customHeight="false" outlineLevel="0" collapsed="false">
      <c r="A4" s="7" t="s">
        <v>6866</v>
      </c>
      <c r="B4" s="7" t="s">
        <v>476</v>
      </c>
      <c r="C4" s="7" t="s">
        <v>857</v>
      </c>
      <c r="D4" s="7" t="s">
        <v>3992</v>
      </c>
      <c r="E4" s="7" t="s">
        <v>6867</v>
      </c>
      <c r="F4" s="7" t="s">
        <v>4001</v>
      </c>
      <c r="G4" s="7" t="s">
        <v>3519</v>
      </c>
      <c r="H4" s="7" t="s">
        <v>445</v>
      </c>
      <c r="I4" s="7" t="s">
        <v>943</v>
      </c>
      <c r="J4" s="8" t="s">
        <v>6868</v>
      </c>
      <c r="K4" s="7" t="s">
        <v>998</v>
      </c>
      <c r="L4" s="7" t="s">
        <v>6869</v>
      </c>
      <c r="M4" s="8" t="s">
        <v>860</v>
      </c>
      <c r="N4" s="8" t="s">
        <v>6870</v>
      </c>
      <c r="O4" s="7" t="n">
        <f aca="false">COUNTIF('Mapa de Marcas'!$C:$C,"Tubos e conexões")</f>
        <v>16</v>
      </c>
    </row>
    <row r="5" customFormat="false" ht="23.85" hidden="false" customHeight="false" outlineLevel="0" collapsed="false">
      <c r="A5" s="7" t="s">
        <v>6871</v>
      </c>
      <c r="B5" s="7" t="s">
        <v>476</v>
      </c>
      <c r="C5" s="7" t="s">
        <v>857</v>
      </c>
      <c r="D5" s="7" t="s">
        <v>3992</v>
      </c>
      <c r="E5" s="7" t="s">
        <v>6872</v>
      </c>
      <c r="F5" s="7" t="s">
        <v>4006</v>
      </c>
      <c r="G5" s="7" t="s">
        <v>3525</v>
      </c>
      <c r="H5" s="7" t="s">
        <v>445</v>
      </c>
      <c r="I5" s="7" t="s">
        <v>943</v>
      </c>
      <c r="J5" s="8" t="s">
        <v>6873</v>
      </c>
      <c r="K5" s="7" t="s">
        <v>998</v>
      </c>
      <c r="L5" s="7" t="s">
        <v>6874</v>
      </c>
      <c r="M5" s="8" t="s">
        <v>860</v>
      </c>
      <c r="N5" s="8" t="s">
        <v>6870</v>
      </c>
      <c r="O5" s="7" t="n">
        <f aca="false">COUNTIF('Mapa de Marcas'!$C:$C,"Tubos e conexões")</f>
        <v>16</v>
      </c>
    </row>
    <row r="6" customFormat="false" ht="23.85" hidden="false" customHeight="false" outlineLevel="0" collapsed="false">
      <c r="A6" s="7" t="s">
        <v>6875</v>
      </c>
      <c r="B6" s="7" t="s">
        <v>476</v>
      </c>
      <c r="C6" s="7" t="s">
        <v>857</v>
      </c>
      <c r="D6" s="7" t="s">
        <v>3992</v>
      </c>
      <c r="E6" s="7" t="s">
        <v>6876</v>
      </c>
      <c r="F6" s="7" t="s">
        <v>4011</v>
      </c>
      <c r="G6" s="7" t="s">
        <v>2355</v>
      </c>
      <c r="H6" s="7" t="s">
        <v>231</v>
      </c>
      <c r="I6" s="7" t="s">
        <v>943</v>
      </c>
      <c r="J6" s="8" t="s">
        <v>6877</v>
      </c>
      <c r="K6" s="7" t="s">
        <v>998</v>
      </c>
      <c r="L6" s="7" t="s">
        <v>6878</v>
      </c>
      <c r="M6" s="8" t="s">
        <v>860</v>
      </c>
      <c r="N6" s="8" t="s">
        <v>6870</v>
      </c>
      <c r="O6" s="7" t="n">
        <f aca="false">COUNTIF('Mapa de Marcas'!$C:$C,"Tubos e conexões")</f>
        <v>16</v>
      </c>
    </row>
    <row r="7" customFormat="false" ht="23.85" hidden="false" customHeight="false" outlineLevel="0" collapsed="false">
      <c r="A7" s="7" t="s">
        <v>6879</v>
      </c>
      <c r="B7" s="7" t="s">
        <v>486</v>
      </c>
      <c r="C7" s="7" t="s">
        <v>857</v>
      </c>
      <c r="D7" s="7" t="s">
        <v>3992</v>
      </c>
      <c r="E7" s="7" t="s">
        <v>6880</v>
      </c>
      <c r="F7" s="7" t="s">
        <v>4061</v>
      </c>
      <c r="G7" s="7"/>
      <c r="H7" s="7" t="s">
        <v>471</v>
      </c>
      <c r="I7" s="7" t="s">
        <v>928</v>
      </c>
      <c r="J7" s="8" t="s">
        <v>6881</v>
      </c>
      <c r="K7" s="7" t="s">
        <v>483</v>
      </c>
      <c r="L7" s="7" t="s">
        <v>6882</v>
      </c>
      <c r="M7" s="8" t="s">
        <v>862</v>
      </c>
      <c r="N7" s="8" t="s">
        <v>6860</v>
      </c>
      <c r="O7" s="7" t="n">
        <f aca="false">COUNTIF('Mapa de Marcas'!$C:$C,"Cimento e concreto")</f>
        <v>17</v>
      </c>
    </row>
    <row r="8" customFormat="false" ht="23.85" hidden="false" customHeight="false" outlineLevel="0" collapsed="false">
      <c r="A8" s="7" t="s">
        <v>6883</v>
      </c>
      <c r="B8" s="7" t="s">
        <v>486</v>
      </c>
      <c r="C8" s="7" t="s">
        <v>857</v>
      </c>
      <c r="D8" s="7" t="s">
        <v>3992</v>
      </c>
      <c r="E8" s="7" t="s">
        <v>6884</v>
      </c>
      <c r="F8" s="7" t="s">
        <v>4065</v>
      </c>
      <c r="G8" s="7" t="s">
        <v>1906</v>
      </c>
      <c r="H8" s="7" t="s">
        <v>182</v>
      </c>
      <c r="I8" s="7" t="s">
        <v>928</v>
      </c>
      <c r="J8" s="8" t="s">
        <v>6885</v>
      </c>
      <c r="K8" s="7" t="s">
        <v>998</v>
      </c>
      <c r="L8" s="7" t="s">
        <v>6886</v>
      </c>
      <c r="M8" s="8" t="s">
        <v>862</v>
      </c>
      <c r="N8" s="8" t="s">
        <v>6870</v>
      </c>
      <c r="O8" s="7" t="n">
        <f aca="false">COUNTIF('Mapa de Marcas'!$C:$C,"Cimento e concreto")</f>
        <v>17</v>
      </c>
    </row>
    <row r="9" customFormat="false" ht="35.05" hidden="false" customHeight="false" outlineLevel="0" collapsed="false">
      <c r="A9" s="7" t="s">
        <v>6887</v>
      </c>
      <c r="B9" s="7" t="s">
        <v>486</v>
      </c>
      <c r="C9" s="7" t="s">
        <v>857</v>
      </c>
      <c r="D9" s="7" t="s">
        <v>3992</v>
      </c>
      <c r="E9" s="7" t="s">
        <v>6888</v>
      </c>
      <c r="F9" s="7" t="s">
        <v>4070</v>
      </c>
      <c r="G9" s="7" t="s">
        <v>2601</v>
      </c>
      <c r="H9" s="7" t="s">
        <v>265</v>
      </c>
      <c r="I9" s="7" t="s">
        <v>943</v>
      </c>
      <c r="J9" s="8" t="s">
        <v>6889</v>
      </c>
      <c r="K9" s="7" t="s">
        <v>606</v>
      </c>
      <c r="L9" s="7" t="s">
        <v>6890</v>
      </c>
      <c r="M9" s="8" t="s">
        <v>862</v>
      </c>
      <c r="N9" s="8" t="s">
        <v>6865</v>
      </c>
      <c r="O9" s="7" t="n">
        <f aca="false">COUNTIF('Mapa de Marcas'!$C:$C,"Cimento e concreto")</f>
        <v>17</v>
      </c>
    </row>
    <row r="10" customFormat="false" ht="23.85" hidden="false" customHeight="false" outlineLevel="0" collapsed="false">
      <c r="A10" s="7" t="s">
        <v>6891</v>
      </c>
      <c r="B10" s="7" t="s">
        <v>486</v>
      </c>
      <c r="C10" s="7" t="s">
        <v>857</v>
      </c>
      <c r="D10" s="7" t="s">
        <v>3992</v>
      </c>
      <c r="E10" s="7" t="s">
        <v>6892</v>
      </c>
      <c r="F10" s="7" t="s">
        <v>4075</v>
      </c>
      <c r="G10" s="7" t="s">
        <v>3295</v>
      </c>
      <c r="H10" s="7" t="s">
        <v>425</v>
      </c>
      <c r="I10" s="7" t="s">
        <v>943</v>
      </c>
      <c r="J10" s="8" t="s">
        <v>6893</v>
      </c>
      <c r="K10" s="7" t="s">
        <v>998</v>
      </c>
      <c r="L10" s="7" t="s">
        <v>6894</v>
      </c>
      <c r="M10" s="8" t="s">
        <v>862</v>
      </c>
      <c r="N10" s="8" t="s">
        <v>6870</v>
      </c>
      <c r="O10" s="7" t="n">
        <f aca="false">COUNTIF('Mapa de Marcas'!$C:$C,"Cimento e concreto")</f>
        <v>17</v>
      </c>
    </row>
    <row r="11" customFormat="false" ht="23.85" hidden="false" customHeight="false" outlineLevel="0" collapsed="false">
      <c r="A11" s="7" t="s">
        <v>6895</v>
      </c>
      <c r="B11" s="7" t="s">
        <v>491</v>
      </c>
      <c r="C11" s="7" t="s">
        <v>857</v>
      </c>
      <c r="D11" s="7" t="s">
        <v>3992</v>
      </c>
      <c r="E11" s="7" t="s">
        <v>6896</v>
      </c>
      <c r="F11" s="7" t="s">
        <v>4134</v>
      </c>
      <c r="G11" s="7"/>
      <c r="H11" s="7" t="s">
        <v>471</v>
      </c>
      <c r="I11" s="7" t="s">
        <v>928</v>
      </c>
      <c r="J11" s="8" t="s">
        <v>6897</v>
      </c>
      <c r="K11" s="7" t="s">
        <v>483</v>
      </c>
      <c r="L11" s="7" t="s">
        <v>6898</v>
      </c>
      <c r="M11" s="8" t="s">
        <v>863</v>
      </c>
      <c r="N11" s="8" t="s">
        <v>6860</v>
      </c>
      <c r="O11" s="7" t="n">
        <f aca="false">COUNTIF('Mapa de Marcas'!$C:$C,"Aço para construção")</f>
        <v>16</v>
      </c>
    </row>
    <row r="12" customFormat="false" ht="23.85" hidden="false" customHeight="false" outlineLevel="0" collapsed="false">
      <c r="A12" s="7" t="s">
        <v>6899</v>
      </c>
      <c r="B12" s="7" t="s">
        <v>491</v>
      </c>
      <c r="C12" s="7" t="s">
        <v>857</v>
      </c>
      <c r="D12" s="7" t="s">
        <v>3992</v>
      </c>
      <c r="E12" s="7" t="s">
        <v>6900</v>
      </c>
      <c r="F12" s="7" t="s">
        <v>4138</v>
      </c>
      <c r="G12" s="7" t="s">
        <v>1903</v>
      </c>
      <c r="H12" s="7" t="s">
        <v>182</v>
      </c>
      <c r="I12" s="7" t="s">
        <v>943</v>
      </c>
      <c r="J12" s="8" t="s">
        <v>6901</v>
      </c>
      <c r="K12" s="7" t="s">
        <v>998</v>
      </c>
      <c r="L12" s="7" t="s">
        <v>6902</v>
      </c>
      <c r="M12" s="8" t="s">
        <v>863</v>
      </c>
      <c r="N12" s="8" t="s">
        <v>6870</v>
      </c>
      <c r="O12" s="7" t="n">
        <f aca="false">COUNTIF('Mapa de Marcas'!$C:$C,"Aço para construção")</f>
        <v>16</v>
      </c>
    </row>
    <row r="13" customFormat="false" ht="35.05" hidden="false" customHeight="false" outlineLevel="0" collapsed="false">
      <c r="A13" s="7" t="s">
        <v>6903</v>
      </c>
      <c r="B13" s="7" t="s">
        <v>491</v>
      </c>
      <c r="C13" s="7" t="s">
        <v>857</v>
      </c>
      <c r="D13" s="7" t="s">
        <v>3992</v>
      </c>
      <c r="E13" s="7" t="s">
        <v>6904</v>
      </c>
      <c r="F13" s="7" t="s">
        <v>4143</v>
      </c>
      <c r="G13" s="7" t="s">
        <v>1411</v>
      </c>
      <c r="H13" s="7" t="s">
        <v>79</v>
      </c>
      <c r="I13" s="7" t="s">
        <v>928</v>
      </c>
      <c r="J13" s="8" t="s">
        <v>6905</v>
      </c>
      <c r="K13" s="7" t="s">
        <v>606</v>
      </c>
      <c r="L13" s="7" t="s">
        <v>6906</v>
      </c>
      <c r="M13" s="8" t="s">
        <v>863</v>
      </c>
      <c r="N13" s="8" t="s">
        <v>6865</v>
      </c>
      <c r="O13" s="7" t="n">
        <f aca="false">COUNTIF('Mapa de Marcas'!$C:$C,"Aço para construção")</f>
        <v>16</v>
      </c>
    </row>
    <row r="14" customFormat="false" ht="23.85" hidden="false" customHeight="false" outlineLevel="0" collapsed="false">
      <c r="A14" s="7" t="s">
        <v>6907</v>
      </c>
      <c r="B14" s="7" t="s">
        <v>491</v>
      </c>
      <c r="C14" s="7" t="s">
        <v>857</v>
      </c>
      <c r="D14" s="7" t="s">
        <v>3992</v>
      </c>
      <c r="E14" s="7" t="s">
        <v>6908</v>
      </c>
      <c r="F14" s="7" t="s">
        <v>4148</v>
      </c>
      <c r="G14" s="7" t="s">
        <v>2260</v>
      </c>
      <c r="H14" s="7" t="s">
        <v>231</v>
      </c>
      <c r="I14" s="7" t="s">
        <v>943</v>
      </c>
      <c r="J14" s="8" t="s">
        <v>4149</v>
      </c>
      <c r="K14" s="7" t="s">
        <v>998</v>
      </c>
      <c r="L14" s="7" t="s">
        <v>6909</v>
      </c>
      <c r="M14" s="8" t="s">
        <v>863</v>
      </c>
      <c r="N14" s="8" t="s">
        <v>6870</v>
      </c>
      <c r="O14" s="7" t="n">
        <f aca="false">COUNTIF('Mapa de Marcas'!$C:$C,"Aço para construção")</f>
        <v>16</v>
      </c>
    </row>
    <row r="15" customFormat="false" ht="23.85" hidden="false" customHeight="false" outlineLevel="0" collapsed="false">
      <c r="A15" s="7" t="s">
        <v>6910</v>
      </c>
      <c r="B15" s="7" t="s">
        <v>491</v>
      </c>
      <c r="C15" s="7" t="s">
        <v>857</v>
      </c>
      <c r="D15" s="7" t="s">
        <v>3992</v>
      </c>
      <c r="E15" s="7" t="s">
        <v>6911</v>
      </c>
      <c r="F15" s="7" t="s">
        <v>4153</v>
      </c>
      <c r="G15" s="7" t="s">
        <v>3286</v>
      </c>
      <c r="H15" s="7" t="s">
        <v>425</v>
      </c>
      <c r="I15" s="7" t="s">
        <v>943</v>
      </c>
      <c r="J15" s="8" t="s">
        <v>6912</v>
      </c>
      <c r="K15" s="7" t="s">
        <v>998</v>
      </c>
      <c r="L15" s="7" t="s">
        <v>6913</v>
      </c>
      <c r="M15" s="8" t="s">
        <v>863</v>
      </c>
      <c r="N15" s="8" t="s">
        <v>6870</v>
      </c>
      <c r="O15" s="7" t="n">
        <f aca="false">COUNTIF('Mapa de Marcas'!$C:$C,"Aço para construção")</f>
        <v>16</v>
      </c>
    </row>
    <row r="16" customFormat="false" ht="35.05" hidden="false" customHeight="false" outlineLevel="0" collapsed="false">
      <c r="A16" s="7" t="s">
        <v>6914</v>
      </c>
      <c r="B16" s="7" t="s">
        <v>496</v>
      </c>
      <c r="C16" s="7" t="s">
        <v>864</v>
      </c>
      <c r="D16" s="7" t="s">
        <v>3992</v>
      </c>
      <c r="E16" s="7" t="s">
        <v>6915</v>
      </c>
      <c r="F16" s="7" t="s">
        <v>4201</v>
      </c>
      <c r="G16" s="7"/>
      <c r="H16" s="7" t="s">
        <v>471</v>
      </c>
      <c r="I16" s="7" t="s">
        <v>928</v>
      </c>
      <c r="J16" s="8" t="s">
        <v>6916</v>
      </c>
      <c r="K16" s="7" t="s">
        <v>483</v>
      </c>
      <c r="L16" s="7" t="s">
        <v>6917</v>
      </c>
      <c r="M16" s="8" t="s">
        <v>866</v>
      </c>
      <c r="N16" s="8" t="s">
        <v>6860</v>
      </c>
      <c r="O16" s="7" t="n">
        <f aca="false">COUNTIF('Mapa de Marcas'!$C:$C,"Revestimentos cerâmicos")</f>
        <v>31</v>
      </c>
    </row>
    <row r="17" customFormat="false" ht="35.05" hidden="false" customHeight="false" outlineLevel="0" collapsed="false">
      <c r="A17" s="7" t="s">
        <v>6918</v>
      </c>
      <c r="B17" s="7" t="s">
        <v>496</v>
      </c>
      <c r="C17" s="7" t="s">
        <v>864</v>
      </c>
      <c r="D17" s="7" t="s">
        <v>3992</v>
      </c>
      <c r="E17" s="7" t="s">
        <v>6919</v>
      </c>
      <c r="F17" s="7" t="s">
        <v>4205</v>
      </c>
      <c r="G17" s="7" t="s">
        <v>1814</v>
      </c>
      <c r="H17" s="7" t="s">
        <v>142</v>
      </c>
      <c r="I17" s="7" t="s">
        <v>943</v>
      </c>
      <c r="J17" s="8" t="s">
        <v>6920</v>
      </c>
      <c r="K17" s="7" t="s">
        <v>606</v>
      </c>
      <c r="L17" s="7" t="s">
        <v>6921</v>
      </c>
      <c r="M17" s="8" t="s">
        <v>866</v>
      </c>
      <c r="N17" s="8" t="s">
        <v>6865</v>
      </c>
      <c r="O17" s="7" t="n">
        <f aca="false">COUNTIF('Mapa de Marcas'!$C:$C,"Revestimentos cerâmicos")</f>
        <v>31</v>
      </c>
    </row>
    <row r="18" customFormat="false" ht="35.05" hidden="false" customHeight="false" outlineLevel="0" collapsed="false">
      <c r="A18" s="7" t="s">
        <v>6922</v>
      </c>
      <c r="B18" s="7" t="s">
        <v>496</v>
      </c>
      <c r="C18" s="7" t="s">
        <v>864</v>
      </c>
      <c r="D18" s="7" t="s">
        <v>3992</v>
      </c>
      <c r="E18" s="7" t="s">
        <v>6923</v>
      </c>
      <c r="F18" s="7" t="s">
        <v>4210</v>
      </c>
      <c r="G18" s="7" t="s">
        <v>2320</v>
      </c>
      <c r="H18" s="7" t="s">
        <v>231</v>
      </c>
      <c r="I18" s="7" t="s">
        <v>943</v>
      </c>
      <c r="J18" s="8" t="s">
        <v>6924</v>
      </c>
      <c r="K18" s="7" t="s">
        <v>606</v>
      </c>
      <c r="L18" s="7" t="s">
        <v>6925</v>
      </c>
      <c r="M18" s="8" t="s">
        <v>866</v>
      </c>
      <c r="N18" s="8" t="s">
        <v>6865</v>
      </c>
      <c r="O18" s="7" t="n">
        <f aca="false">COUNTIF('Mapa de Marcas'!$C:$C,"Revestimentos cerâmicos")</f>
        <v>31</v>
      </c>
    </row>
    <row r="19" customFormat="false" ht="23.85" hidden="false" customHeight="false" outlineLevel="0" collapsed="false">
      <c r="A19" s="7" t="s">
        <v>6926</v>
      </c>
      <c r="B19" s="7" t="s">
        <v>496</v>
      </c>
      <c r="C19" s="7" t="s">
        <v>864</v>
      </c>
      <c r="D19" s="7" t="s">
        <v>3992</v>
      </c>
      <c r="E19" s="7" t="s">
        <v>6927</v>
      </c>
      <c r="F19" s="7" t="s">
        <v>4215</v>
      </c>
      <c r="G19" s="7" t="s">
        <v>1536</v>
      </c>
      <c r="H19" s="7" t="s">
        <v>142</v>
      </c>
      <c r="I19" s="7" t="s">
        <v>928</v>
      </c>
      <c r="J19" s="8" t="s">
        <v>6928</v>
      </c>
      <c r="K19" s="7" t="s">
        <v>998</v>
      </c>
      <c r="L19" s="7" t="s">
        <v>6929</v>
      </c>
      <c r="M19" s="8" t="s">
        <v>866</v>
      </c>
      <c r="N19" s="8" t="s">
        <v>6870</v>
      </c>
      <c r="O19" s="7" t="n">
        <f aca="false">COUNTIF('Mapa de Marcas'!$C:$C,"Revestimentos cerâmicos")</f>
        <v>31</v>
      </c>
    </row>
    <row r="20" customFormat="false" ht="23.85" hidden="false" customHeight="false" outlineLevel="0" collapsed="false">
      <c r="A20" s="7" t="s">
        <v>6930</v>
      </c>
      <c r="B20" s="7" t="s">
        <v>496</v>
      </c>
      <c r="C20" s="7" t="s">
        <v>864</v>
      </c>
      <c r="D20" s="7" t="s">
        <v>3992</v>
      </c>
      <c r="E20" s="7" t="s">
        <v>6931</v>
      </c>
      <c r="F20" s="7" t="s">
        <v>4220</v>
      </c>
      <c r="G20" s="7" t="s">
        <v>3390</v>
      </c>
      <c r="H20" s="7" t="s">
        <v>425</v>
      </c>
      <c r="I20" s="7" t="s">
        <v>928</v>
      </c>
      <c r="J20" s="8" t="s">
        <v>6932</v>
      </c>
      <c r="K20" s="7" t="s">
        <v>998</v>
      </c>
      <c r="L20" s="7" t="s">
        <v>6933</v>
      </c>
      <c r="M20" s="8" t="s">
        <v>866</v>
      </c>
      <c r="N20" s="8" t="s">
        <v>6870</v>
      </c>
      <c r="O20" s="7" t="n">
        <f aca="false">COUNTIF('Mapa de Marcas'!$C:$C,"Revestimentos cerâmicos")</f>
        <v>31</v>
      </c>
    </row>
    <row r="21" customFormat="false" ht="23.85" hidden="false" customHeight="false" outlineLevel="0" collapsed="false">
      <c r="A21" s="7" t="s">
        <v>6934</v>
      </c>
      <c r="B21" s="7" t="s">
        <v>501</v>
      </c>
      <c r="C21" s="7" t="s">
        <v>864</v>
      </c>
      <c r="D21" s="7" t="s">
        <v>3992</v>
      </c>
      <c r="E21" s="7" t="s">
        <v>6935</v>
      </c>
      <c r="F21" s="7" t="s">
        <v>4333</v>
      </c>
      <c r="G21" s="7"/>
      <c r="H21" s="7" t="s">
        <v>471</v>
      </c>
      <c r="I21" s="7" t="s">
        <v>928</v>
      </c>
      <c r="J21" s="8" t="s">
        <v>6936</v>
      </c>
      <c r="K21" s="7" t="s">
        <v>483</v>
      </c>
      <c r="L21" s="7" t="s">
        <v>6937</v>
      </c>
      <c r="M21" s="8" t="s">
        <v>867</v>
      </c>
      <c r="N21" s="8" t="s">
        <v>6860</v>
      </c>
      <c r="O21" s="7" t="n">
        <f aca="false">COUNTIF('Mapa de Marcas'!$C:$C,"Metais e louças")</f>
        <v>37</v>
      </c>
    </row>
    <row r="22" customFormat="false" ht="23.85" hidden="false" customHeight="false" outlineLevel="0" collapsed="false">
      <c r="A22" s="7" t="s">
        <v>6938</v>
      </c>
      <c r="B22" s="7" t="s">
        <v>501</v>
      </c>
      <c r="C22" s="7" t="s">
        <v>864</v>
      </c>
      <c r="D22" s="7" t="s">
        <v>3992</v>
      </c>
      <c r="E22" s="7" t="s">
        <v>6939</v>
      </c>
      <c r="F22" s="7" t="s">
        <v>4337</v>
      </c>
      <c r="G22" s="7" t="s">
        <v>1884</v>
      </c>
      <c r="H22" s="7" t="s">
        <v>142</v>
      </c>
      <c r="I22" s="7" t="s">
        <v>943</v>
      </c>
      <c r="J22" s="8" t="s">
        <v>6940</v>
      </c>
      <c r="K22" s="7" t="s">
        <v>998</v>
      </c>
      <c r="L22" s="7" t="s">
        <v>6941</v>
      </c>
      <c r="M22" s="8" t="s">
        <v>867</v>
      </c>
      <c r="N22" s="8" t="s">
        <v>6870</v>
      </c>
      <c r="O22" s="7" t="n">
        <f aca="false">COUNTIF('Mapa de Marcas'!$C:$C,"Metais e louças")</f>
        <v>37</v>
      </c>
    </row>
    <row r="23" customFormat="false" ht="35.05" hidden="false" customHeight="false" outlineLevel="0" collapsed="false">
      <c r="A23" s="7" t="s">
        <v>6942</v>
      </c>
      <c r="B23" s="7" t="s">
        <v>501</v>
      </c>
      <c r="C23" s="7" t="s">
        <v>864</v>
      </c>
      <c r="D23" s="7" t="s">
        <v>3992</v>
      </c>
      <c r="E23" s="7" t="s">
        <v>6943</v>
      </c>
      <c r="F23" s="7" t="s">
        <v>4342</v>
      </c>
      <c r="G23" s="7" t="s">
        <v>1602</v>
      </c>
      <c r="H23" s="7" t="s">
        <v>142</v>
      </c>
      <c r="I23" s="7" t="s">
        <v>928</v>
      </c>
      <c r="J23" s="8" t="s">
        <v>6944</v>
      </c>
      <c r="K23" s="7" t="s">
        <v>606</v>
      </c>
      <c r="L23" s="7" t="s">
        <v>6945</v>
      </c>
      <c r="M23" s="8" t="s">
        <v>867</v>
      </c>
      <c r="N23" s="8" t="s">
        <v>6865</v>
      </c>
      <c r="O23" s="7" t="n">
        <f aca="false">COUNTIF('Mapa de Marcas'!$C:$C,"Metais e louças")</f>
        <v>37</v>
      </c>
    </row>
    <row r="24" customFormat="false" ht="23.85" hidden="false" customHeight="false" outlineLevel="0" collapsed="false">
      <c r="A24" s="7" t="s">
        <v>6946</v>
      </c>
      <c r="B24" s="7" t="s">
        <v>501</v>
      </c>
      <c r="C24" s="7" t="s">
        <v>864</v>
      </c>
      <c r="D24" s="7" t="s">
        <v>3992</v>
      </c>
      <c r="E24" s="7" t="s">
        <v>6947</v>
      </c>
      <c r="F24" s="7" t="s">
        <v>4347</v>
      </c>
      <c r="G24" s="7" t="s">
        <v>2355</v>
      </c>
      <c r="H24" s="7" t="s">
        <v>231</v>
      </c>
      <c r="I24" s="7" t="s">
        <v>943</v>
      </c>
      <c r="J24" s="8" t="s">
        <v>6948</v>
      </c>
      <c r="K24" s="7" t="s">
        <v>998</v>
      </c>
      <c r="L24" s="7" t="s">
        <v>6949</v>
      </c>
      <c r="M24" s="8" t="s">
        <v>867</v>
      </c>
      <c r="N24" s="8" t="s">
        <v>6870</v>
      </c>
      <c r="O24" s="7" t="n">
        <f aca="false">COUNTIF('Mapa de Marcas'!$C:$C,"Metais e louças")</f>
        <v>37</v>
      </c>
    </row>
    <row r="25" customFormat="false" ht="35.05" hidden="false" customHeight="false" outlineLevel="0" collapsed="false">
      <c r="A25" s="7" t="s">
        <v>6950</v>
      </c>
      <c r="B25" s="7" t="s">
        <v>506</v>
      </c>
      <c r="C25" s="7" t="s">
        <v>864</v>
      </c>
      <c r="D25" s="7" t="s">
        <v>3992</v>
      </c>
      <c r="E25" s="7" t="s">
        <v>6951</v>
      </c>
      <c r="F25" s="7" t="s">
        <v>4490</v>
      </c>
      <c r="G25" s="7"/>
      <c r="H25" s="7" t="s">
        <v>471</v>
      </c>
      <c r="I25" s="7" t="s">
        <v>928</v>
      </c>
      <c r="J25" s="8" t="s">
        <v>6952</v>
      </c>
      <c r="K25" s="7" t="s">
        <v>483</v>
      </c>
      <c r="L25" s="7" t="s">
        <v>6953</v>
      </c>
      <c r="M25" s="8" t="s">
        <v>868</v>
      </c>
      <c r="N25" s="8" t="s">
        <v>6860</v>
      </c>
      <c r="O25" s="7" t="n">
        <f aca="false">COUNTIF('Mapa de Marcas'!$C:$C,"Argamassas e rejuntes")</f>
        <v>7</v>
      </c>
    </row>
    <row r="26" customFormat="false" ht="23.85" hidden="false" customHeight="false" outlineLevel="0" collapsed="false">
      <c r="A26" s="7" t="s">
        <v>6954</v>
      </c>
      <c r="B26" s="7" t="s">
        <v>506</v>
      </c>
      <c r="C26" s="7" t="s">
        <v>864</v>
      </c>
      <c r="D26" s="7" t="s">
        <v>3992</v>
      </c>
      <c r="E26" s="7" t="s">
        <v>6955</v>
      </c>
      <c r="F26" s="7" t="s">
        <v>4494</v>
      </c>
      <c r="G26" s="7" t="s">
        <v>1814</v>
      </c>
      <c r="H26" s="7" t="s">
        <v>142</v>
      </c>
      <c r="I26" s="7" t="s">
        <v>943</v>
      </c>
      <c r="J26" s="8" t="s">
        <v>6956</v>
      </c>
      <c r="K26" s="7" t="s">
        <v>998</v>
      </c>
      <c r="L26" s="7" t="s">
        <v>6957</v>
      </c>
      <c r="M26" s="8" t="s">
        <v>868</v>
      </c>
      <c r="N26" s="8" t="s">
        <v>6870</v>
      </c>
      <c r="O26" s="7" t="n">
        <f aca="false">COUNTIF('Mapa de Marcas'!$C:$C,"Argamassas e rejuntes")</f>
        <v>7</v>
      </c>
    </row>
    <row r="27" customFormat="false" ht="23.85" hidden="false" customHeight="false" outlineLevel="0" collapsed="false">
      <c r="A27" s="7" t="s">
        <v>6958</v>
      </c>
      <c r="B27" s="7" t="s">
        <v>506</v>
      </c>
      <c r="C27" s="7" t="s">
        <v>864</v>
      </c>
      <c r="D27" s="7" t="s">
        <v>3992</v>
      </c>
      <c r="E27" s="7" t="s">
        <v>6959</v>
      </c>
      <c r="F27" s="7" t="s">
        <v>4498</v>
      </c>
      <c r="G27" s="7" t="s">
        <v>2320</v>
      </c>
      <c r="H27" s="7" t="s">
        <v>231</v>
      </c>
      <c r="I27" s="7" t="s">
        <v>943</v>
      </c>
      <c r="J27" s="8" t="s">
        <v>6960</v>
      </c>
      <c r="K27" s="7" t="s">
        <v>998</v>
      </c>
      <c r="L27" s="7" t="s">
        <v>6961</v>
      </c>
      <c r="M27" s="8" t="s">
        <v>868</v>
      </c>
      <c r="N27" s="8" t="s">
        <v>6870</v>
      </c>
      <c r="O27" s="7" t="n">
        <f aca="false">COUNTIF('Mapa de Marcas'!$C:$C,"Argamassas e rejuntes")</f>
        <v>7</v>
      </c>
    </row>
    <row r="28" customFormat="false" ht="23.85" hidden="false" customHeight="false" outlineLevel="0" collapsed="false">
      <c r="A28" s="7" t="s">
        <v>6962</v>
      </c>
      <c r="B28" s="7" t="s">
        <v>541</v>
      </c>
      <c r="C28" s="7" t="s">
        <v>875</v>
      </c>
      <c r="D28" s="7" t="s">
        <v>3992</v>
      </c>
      <c r="E28" s="7" t="s">
        <v>6963</v>
      </c>
      <c r="F28" s="7" t="s">
        <v>4518</v>
      </c>
      <c r="G28" s="7"/>
      <c r="H28" s="7" t="s">
        <v>471</v>
      </c>
      <c r="I28" s="7" t="s">
        <v>928</v>
      </c>
      <c r="J28" s="8" t="s">
        <v>6964</v>
      </c>
      <c r="K28" s="7" t="s">
        <v>483</v>
      </c>
      <c r="L28" s="7" t="s">
        <v>6965</v>
      </c>
      <c r="M28" s="8" t="s">
        <v>877</v>
      </c>
      <c r="N28" s="8" t="s">
        <v>6860</v>
      </c>
      <c r="O28" s="7" t="n">
        <f aca="false">COUNTIF('Mapa de Marcas'!$C:$C,"Impermeabilizantes")</f>
        <v>31</v>
      </c>
    </row>
    <row r="29" customFormat="false" ht="35.05" hidden="false" customHeight="false" outlineLevel="0" collapsed="false">
      <c r="A29" s="7" t="s">
        <v>6966</v>
      </c>
      <c r="B29" s="7" t="s">
        <v>541</v>
      </c>
      <c r="C29" s="7" t="s">
        <v>875</v>
      </c>
      <c r="D29" s="7" t="s">
        <v>3992</v>
      </c>
      <c r="E29" s="7" t="s">
        <v>6967</v>
      </c>
      <c r="F29" s="7" t="s">
        <v>4522</v>
      </c>
      <c r="G29" s="7" t="s">
        <v>3328</v>
      </c>
      <c r="H29" s="7" t="s">
        <v>425</v>
      </c>
      <c r="I29" s="7" t="s">
        <v>943</v>
      </c>
      <c r="J29" s="8" t="s">
        <v>6968</v>
      </c>
      <c r="K29" s="7" t="s">
        <v>606</v>
      </c>
      <c r="L29" s="7" t="s">
        <v>6969</v>
      </c>
      <c r="M29" s="8" t="s">
        <v>877</v>
      </c>
      <c r="N29" s="8" t="s">
        <v>6865</v>
      </c>
      <c r="O29" s="7" t="n">
        <f aca="false">COUNTIF('Mapa de Marcas'!$C:$C,"Impermeabilizantes")</f>
        <v>31</v>
      </c>
    </row>
    <row r="30" customFormat="false" ht="23.85" hidden="false" customHeight="false" outlineLevel="0" collapsed="false">
      <c r="A30" s="7" t="s">
        <v>6970</v>
      </c>
      <c r="B30" s="7" t="s">
        <v>541</v>
      </c>
      <c r="C30" s="7" t="s">
        <v>875</v>
      </c>
      <c r="D30" s="7" t="s">
        <v>3992</v>
      </c>
      <c r="E30" s="7" t="s">
        <v>6971</v>
      </c>
      <c r="F30" s="7" t="s">
        <v>4527</v>
      </c>
      <c r="G30" s="7" t="s">
        <v>3331</v>
      </c>
      <c r="H30" s="7" t="s">
        <v>425</v>
      </c>
      <c r="I30" s="7" t="s">
        <v>943</v>
      </c>
      <c r="J30" s="8" t="s">
        <v>6972</v>
      </c>
      <c r="K30" s="7" t="s">
        <v>998</v>
      </c>
      <c r="L30" s="7" t="s">
        <v>6973</v>
      </c>
      <c r="M30" s="8" t="s">
        <v>877</v>
      </c>
      <c r="N30" s="8" t="s">
        <v>6870</v>
      </c>
      <c r="O30" s="7" t="n">
        <f aca="false">COUNTIF('Mapa de Marcas'!$C:$C,"Impermeabilizantes")</f>
        <v>31</v>
      </c>
    </row>
    <row r="31" customFormat="false" ht="23.85" hidden="false" customHeight="false" outlineLevel="0" collapsed="false">
      <c r="A31" s="7" t="s">
        <v>6974</v>
      </c>
      <c r="B31" s="7" t="s">
        <v>541</v>
      </c>
      <c r="C31" s="7" t="s">
        <v>875</v>
      </c>
      <c r="D31" s="7" t="s">
        <v>3992</v>
      </c>
      <c r="E31" s="7" t="s">
        <v>6975</v>
      </c>
      <c r="F31" s="7" t="s">
        <v>4532</v>
      </c>
      <c r="G31" s="7" t="s">
        <v>2110</v>
      </c>
      <c r="H31" s="7" t="s">
        <v>182</v>
      </c>
      <c r="I31" s="7" t="s">
        <v>943</v>
      </c>
      <c r="J31" s="8" t="s">
        <v>6976</v>
      </c>
      <c r="K31" s="7" t="s">
        <v>998</v>
      </c>
      <c r="L31" s="7" t="s">
        <v>6977</v>
      </c>
      <c r="M31" s="8" t="s">
        <v>877</v>
      </c>
      <c r="N31" s="8" t="s">
        <v>6870</v>
      </c>
      <c r="O31" s="7" t="n">
        <f aca="false">COUNTIF('Mapa de Marcas'!$C:$C,"Impermeabilizantes")</f>
        <v>31</v>
      </c>
    </row>
    <row r="32" customFormat="false" ht="35.05" hidden="false" customHeight="false" outlineLevel="0" collapsed="false">
      <c r="A32" s="7" t="s">
        <v>6978</v>
      </c>
      <c r="B32" s="7" t="s">
        <v>541</v>
      </c>
      <c r="C32" s="7" t="s">
        <v>875</v>
      </c>
      <c r="D32" s="7" t="s">
        <v>3992</v>
      </c>
      <c r="E32" s="7" t="s">
        <v>6979</v>
      </c>
      <c r="F32" s="7" t="s">
        <v>4537</v>
      </c>
      <c r="G32" s="7" t="s">
        <v>2308</v>
      </c>
      <c r="H32" s="7" t="s">
        <v>231</v>
      </c>
      <c r="I32" s="7" t="s">
        <v>943</v>
      </c>
      <c r="J32" s="8" t="s">
        <v>6980</v>
      </c>
      <c r="K32" s="7" t="s">
        <v>606</v>
      </c>
      <c r="L32" s="7" t="s">
        <v>6981</v>
      </c>
      <c r="M32" s="8" t="s">
        <v>877</v>
      </c>
      <c r="N32" s="8" t="s">
        <v>6865</v>
      </c>
      <c r="O32" s="7" t="n">
        <f aca="false">COUNTIF('Mapa de Marcas'!$C:$C,"Impermeabilizantes")</f>
        <v>31</v>
      </c>
    </row>
    <row r="33" customFormat="false" ht="23.85" hidden="false" customHeight="false" outlineLevel="0" collapsed="false">
      <c r="A33" s="7" t="s">
        <v>6982</v>
      </c>
      <c r="B33" s="7" t="s">
        <v>511</v>
      </c>
      <c r="C33" s="7" t="s">
        <v>864</v>
      </c>
      <c r="D33" s="7" t="s">
        <v>3992</v>
      </c>
      <c r="E33" s="7" t="s">
        <v>6983</v>
      </c>
      <c r="F33" s="7" t="s">
        <v>4648</v>
      </c>
      <c r="G33" s="7"/>
      <c r="H33" s="7" t="s">
        <v>471</v>
      </c>
      <c r="I33" s="7" t="s">
        <v>928</v>
      </c>
      <c r="J33" s="8" t="s">
        <v>6984</v>
      </c>
      <c r="K33" s="7" t="s">
        <v>483</v>
      </c>
      <c r="L33" s="7" t="s">
        <v>6985</v>
      </c>
      <c r="M33" s="8" t="s">
        <v>869</v>
      </c>
      <c r="N33" s="8" t="s">
        <v>6860</v>
      </c>
      <c r="O33" s="7" t="n">
        <f aca="false">COUNTIF('Mapa de Marcas'!$C:$C,"Tintas")</f>
        <v>17</v>
      </c>
    </row>
    <row r="34" customFormat="false" ht="23.85" hidden="false" customHeight="false" outlineLevel="0" collapsed="false">
      <c r="A34" s="7" t="s">
        <v>6986</v>
      </c>
      <c r="B34" s="7" t="s">
        <v>511</v>
      </c>
      <c r="C34" s="7" t="s">
        <v>864</v>
      </c>
      <c r="D34" s="7" t="s">
        <v>3992</v>
      </c>
      <c r="E34" s="7" t="s">
        <v>6987</v>
      </c>
      <c r="F34" s="7" t="s">
        <v>4652</v>
      </c>
      <c r="G34" s="7" t="s">
        <v>3381</v>
      </c>
      <c r="H34" s="7" t="s">
        <v>425</v>
      </c>
      <c r="I34" s="7" t="s">
        <v>928</v>
      </c>
      <c r="J34" s="8" t="s">
        <v>6988</v>
      </c>
      <c r="K34" s="7" t="s">
        <v>998</v>
      </c>
      <c r="L34" s="7" t="s">
        <v>6989</v>
      </c>
      <c r="M34" s="8" t="s">
        <v>869</v>
      </c>
      <c r="N34" s="8" t="s">
        <v>6870</v>
      </c>
      <c r="O34" s="7" t="n">
        <f aca="false">COUNTIF('Mapa de Marcas'!$C:$C,"Tintas")</f>
        <v>17</v>
      </c>
    </row>
    <row r="35" customFormat="false" ht="23.85" hidden="false" customHeight="false" outlineLevel="0" collapsed="false">
      <c r="A35" s="7" t="s">
        <v>6990</v>
      </c>
      <c r="B35" s="7" t="s">
        <v>511</v>
      </c>
      <c r="C35" s="7" t="s">
        <v>864</v>
      </c>
      <c r="D35" s="7" t="s">
        <v>3992</v>
      </c>
      <c r="E35" s="7" t="s">
        <v>6991</v>
      </c>
      <c r="F35" s="7" t="s">
        <v>4657</v>
      </c>
      <c r="G35" s="7" t="s">
        <v>1853</v>
      </c>
      <c r="H35" s="7" t="s">
        <v>142</v>
      </c>
      <c r="I35" s="7" t="s">
        <v>928</v>
      </c>
      <c r="J35" s="8" t="s">
        <v>6992</v>
      </c>
      <c r="K35" s="7" t="s">
        <v>998</v>
      </c>
      <c r="L35" s="7" t="s">
        <v>6993</v>
      </c>
      <c r="M35" s="8" t="s">
        <v>869</v>
      </c>
      <c r="N35" s="8" t="s">
        <v>6870</v>
      </c>
      <c r="O35" s="7" t="n">
        <f aca="false">COUNTIF('Mapa de Marcas'!$C:$C,"Tintas")</f>
        <v>17</v>
      </c>
    </row>
    <row r="36" customFormat="false" ht="23.85" hidden="false" customHeight="false" outlineLevel="0" collapsed="false">
      <c r="A36" s="7" t="s">
        <v>6994</v>
      </c>
      <c r="B36" s="7" t="s">
        <v>511</v>
      </c>
      <c r="C36" s="7" t="s">
        <v>864</v>
      </c>
      <c r="D36" s="7" t="s">
        <v>3992</v>
      </c>
      <c r="E36" s="7" t="s">
        <v>6995</v>
      </c>
      <c r="F36" s="7" t="s">
        <v>4662</v>
      </c>
      <c r="G36" s="7" t="s">
        <v>2323</v>
      </c>
      <c r="H36" s="7" t="s">
        <v>231</v>
      </c>
      <c r="I36" s="7" t="s">
        <v>943</v>
      </c>
      <c r="J36" s="8" t="s">
        <v>6996</v>
      </c>
      <c r="K36" s="7" t="s">
        <v>998</v>
      </c>
      <c r="L36" s="7" t="s">
        <v>6997</v>
      </c>
      <c r="M36" s="8" t="s">
        <v>869</v>
      </c>
      <c r="N36" s="8" t="s">
        <v>6870</v>
      </c>
      <c r="O36" s="7" t="n">
        <f aca="false">COUNTIF('Mapa de Marcas'!$C:$C,"Tintas")</f>
        <v>17</v>
      </c>
    </row>
    <row r="37" customFormat="false" ht="23.85" hidden="false" customHeight="false" outlineLevel="0" collapsed="false">
      <c r="A37" s="7" t="s">
        <v>6998</v>
      </c>
      <c r="B37" s="7" t="s">
        <v>516</v>
      </c>
      <c r="C37" s="7" t="s">
        <v>864</v>
      </c>
      <c r="D37" s="7" t="s">
        <v>3992</v>
      </c>
      <c r="E37" s="7" t="s">
        <v>6999</v>
      </c>
      <c r="F37" s="7" t="s">
        <v>4721</v>
      </c>
      <c r="G37" s="7"/>
      <c r="H37" s="7" t="s">
        <v>471</v>
      </c>
      <c r="I37" s="7" t="s">
        <v>928</v>
      </c>
      <c r="J37" s="8" t="s">
        <v>7000</v>
      </c>
      <c r="K37" s="7" t="s">
        <v>483</v>
      </c>
      <c r="L37" s="7" t="s">
        <v>7001</v>
      </c>
      <c r="M37" s="8" t="s">
        <v>870</v>
      </c>
      <c r="N37" s="8" t="s">
        <v>6860</v>
      </c>
      <c r="O37" s="7" t="n">
        <f aca="false">COUNTIF('Mapa de Marcas'!$C:$C,"Drywall e forros")</f>
        <v>9</v>
      </c>
    </row>
    <row r="38" customFormat="false" ht="23.85" hidden="false" customHeight="false" outlineLevel="0" collapsed="false">
      <c r="A38" s="7" t="s">
        <v>7002</v>
      </c>
      <c r="B38" s="7" t="s">
        <v>516</v>
      </c>
      <c r="C38" s="7" t="s">
        <v>864</v>
      </c>
      <c r="D38" s="7" t="s">
        <v>3992</v>
      </c>
      <c r="E38" s="7" t="s">
        <v>7003</v>
      </c>
      <c r="F38" s="7" t="s">
        <v>4725</v>
      </c>
      <c r="G38" s="7" t="s">
        <v>1838</v>
      </c>
      <c r="H38" s="7" t="s">
        <v>142</v>
      </c>
      <c r="I38" s="7" t="s">
        <v>943</v>
      </c>
      <c r="J38" s="8" t="s">
        <v>7004</v>
      </c>
      <c r="K38" s="7" t="s">
        <v>998</v>
      </c>
      <c r="L38" s="7" t="s">
        <v>7005</v>
      </c>
      <c r="M38" s="8" t="s">
        <v>870</v>
      </c>
      <c r="N38" s="8" t="s">
        <v>6870</v>
      </c>
      <c r="O38" s="7" t="n">
        <f aca="false">COUNTIF('Mapa de Marcas'!$C:$C,"Drywall e forros")</f>
        <v>9</v>
      </c>
    </row>
    <row r="39" customFormat="false" ht="23.85" hidden="false" customHeight="false" outlineLevel="0" collapsed="false">
      <c r="A39" s="7" t="s">
        <v>7006</v>
      </c>
      <c r="B39" s="7" t="s">
        <v>516</v>
      </c>
      <c r="C39" s="7" t="s">
        <v>864</v>
      </c>
      <c r="D39" s="7" t="s">
        <v>3992</v>
      </c>
      <c r="E39" s="7" t="s">
        <v>7007</v>
      </c>
      <c r="F39" s="7" t="s">
        <v>4730</v>
      </c>
      <c r="G39" s="7" t="s">
        <v>1835</v>
      </c>
      <c r="H39" s="7" t="s">
        <v>142</v>
      </c>
      <c r="I39" s="7" t="s">
        <v>943</v>
      </c>
      <c r="J39" s="8" t="s">
        <v>7008</v>
      </c>
      <c r="K39" s="7" t="s">
        <v>998</v>
      </c>
      <c r="L39" s="7" t="s">
        <v>7009</v>
      </c>
      <c r="M39" s="8" t="s">
        <v>870</v>
      </c>
      <c r="N39" s="8" t="s">
        <v>6870</v>
      </c>
      <c r="O39" s="7" t="n">
        <f aca="false">COUNTIF('Mapa de Marcas'!$C:$C,"Drywall e forros")</f>
        <v>9</v>
      </c>
    </row>
    <row r="40" customFormat="false" ht="23.85" hidden="false" customHeight="false" outlineLevel="0" collapsed="false">
      <c r="A40" s="7" t="s">
        <v>7010</v>
      </c>
      <c r="B40" s="7" t="s">
        <v>516</v>
      </c>
      <c r="C40" s="7" t="s">
        <v>864</v>
      </c>
      <c r="D40" s="7" t="s">
        <v>3992</v>
      </c>
      <c r="E40" s="7" t="s">
        <v>7011</v>
      </c>
      <c r="F40" s="7" t="s">
        <v>4735</v>
      </c>
      <c r="G40" s="7" t="s">
        <v>1844</v>
      </c>
      <c r="H40" s="7" t="s">
        <v>142</v>
      </c>
      <c r="I40" s="7" t="s">
        <v>928</v>
      </c>
      <c r="J40" s="8" t="s">
        <v>7012</v>
      </c>
      <c r="K40" s="7" t="s">
        <v>998</v>
      </c>
      <c r="L40" s="7" t="s">
        <v>7013</v>
      </c>
      <c r="M40" s="8" t="s">
        <v>870</v>
      </c>
      <c r="N40" s="8" t="s">
        <v>6870</v>
      </c>
      <c r="O40" s="7" t="n">
        <f aca="false">COUNTIF('Mapa de Marcas'!$C:$C,"Drywall e forros")</f>
        <v>9</v>
      </c>
    </row>
    <row r="41" customFormat="false" ht="23.85" hidden="false" customHeight="false" outlineLevel="0" collapsed="false">
      <c r="A41" s="7" t="s">
        <v>7014</v>
      </c>
      <c r="B41" s="7" t="s">
        <v>546</v>
      </c>
      <c r="C41" s="7" t="s">
        <v>875</v>
      </c>
      <c r="D41" s="7" t="s">
        <v>3992</v>
      </c>
      <c r="E41" s="7" t="s">
        <v>7015</v>
      </c>
      <c r="F41" s="7" t="s">
        <v>4760</v>
      </c>
      <c r="G41" s="7"/>
      <c r="H41" s="7" t="s">
        <v>471</v>
      </c>
      <c r="I41" s="7" t="s">
        <v>928</v>
      </c>
      <c r="J41" s="8" t="s">
        <v>7016</v>
      </c>
      <c r="K41" s="7" t="s">
        <v>483</v>
      </c>
      <c r="L41" s="7" t="s">
        <v>7017</v>
      </c>
      <c r="M41" s="8" t="s">
        <v>878</v>
      </c>
      <c r="N41" s="8" t="s">
        <v>6860</v>
      </c>
      <c r="O41" s="7" t="n">
        <f aca="false">COUNTIF('Mapa de Marcas'!$C:$C,"Telhas e coberturas")</f>
        <v>25</v>
      </c>
    </row>
    <row r="42" customFormat="false" ht="23.85" hidden="false" customHeight="false" outlineLevel="0" collapsed="false">
      <c r="A42" s="7" t="s">
        <v>7018</v>
      </c>
      <c r="B42" s="7" t="s">
        <v>546</v>
      </c>
      <c r="C42" s="7" t="s">
        <v>875</v>
      </c>
      <c r="D42" s="7" t="s">
        <v>3992</v>
      </c>
      <c r="E42" s="7" t="s">
        <v>7019</v>
      </c>
      <c r="F42" s="7" t="s">
        <v>4764</v>
      </c>
      <c r="G42" s="7" t="s">
        <v>1726</v>
      </c>
      <c r="H42" s="7" t="s">
        <v>142</v>
      </c>
      <c r="I42" s="7" t="s">
        <v>928</v>
      </c>
      <c r="J42" s="8" t="s">
        <v>7020</v>
      </c>
      <c r="K42" s="7" t="s">
        <v>998</v>
      </c>
      <c r="L42" s="7" t="s">
        <v>7021</v>
      </c>
      <c r="M42" s="8" t="s">
        <v>878</v>
      </c>
      <c r="N42" s="8" t="s">
        <v>6870</v>
      </c>
      <c r="O42" s="7" t="n">
        <f aca="false">COUNTIF('Mapa de Marcas'!$C:$C,"Telhas e coberturas")</f>
        <v>25</v>
      </c>
    </row>
    <row r="43" customFormat="false" ht="23.85" hidden="false" customHeight="false" outlineLevel="0" collapsed="false">
      <c r="A43" s="7" t="s">
        <v>7022</v>
      </c>
      <c r="B43" s="7" t="s">
        <v>546</v>
      </c>
      <c r="C43" s="7" t="s">
        <v>875</v>
      </c>
      <c r="D43" s="7" t="s">
        <v>3992</v>
      </c>
      <c r="E43" s="7" t="s">
        <v>7023</v>
      </c>
      <c r="F43" s="7" t="s">
        <v>4769</v>
      </c>
      <c r="G43" s="7" t="s">
        <v>2326</v>
      </c>
      <c r="H43" s="7" t="s">
        <v>231</v>
      </c>
      <c r="I43" s="7" t="s">
        <v>943</v>
      </c>
      <c r="J43" s="8" t="s">
        <v>7024</v>
      </c>
      <c r="K43" s="7" t="s">
        <v>998</v>
      </c>
      <c r="L43" s="7" t="s">
        <v>7025</v>
      </c>
      <c r="M43" s="8" t="s">
        <v>878</v>
      </c>
      <c r="N43" s="8" t="s">
        <v>6870</v>
      </c>
      <c r="O43" s="7" t="n">
        <f aca="false">COUNTIF('Mapa de Marcas'!$C:$C,"Telhas e coberturas")</f>
        <v>25</v>
      </c>
    </row>
    <row r="44" customFormat="false" ht="23.85" hidden="false" customHeight="false" outlineLevel="0" collapsed="false">
      <c r="A44" s="7" t="s">
        <v>7026</v>
      </c>
      <c r="B44" s="7" t="s">
        <v>546</v>
      </c>
      <c r="C44" s="7" t="s">
        <v>875</v>
      </c>
      <c r="D44" s="7" t="s">
        <v>3992</v>
      </c>
      <c r="E44" s="7" t="s">
        <v>7027</v>
      </c>
      <c r="F44" s="7" t="s">
        <v>4774</v>
      </c>
      <c r="G44" s="7" t="s">
        <v>3444</v>
      </c>
      <c r="H44" s="7" t="s">
        <v>425</v>
      </c>
      <c r="I44" s="7" t="s">
        <v>943</v>
      </c>
      <c r="J44" s="8" t="s">
        <v>7028</v>
      </c>
      <c r="K44" s="7" t="s">
        <v>998</v>
      </c>
      <c r="L44" s="7" t="s">
        <v>7029</v>
      </c>
      <c r="M44" s="8" t="s">
        <v>878</v>
      </c>
      <c r="N44" s="8" t="s">
        <v>6870</v>
      </c>
      <c r="O44" s="7" t="n">
        <f aca="false">COUNTIF('Mapa de Marcas'!$C:$C,"Telhas e coberturas")</f>
        <v>25</v>
      </c>
    </row>
    <row r="45" customFormat="false" ht="35.05" hidden="false" customHeight="false" outlineLevel="0" collapsed="false">
      <c r="A45" s="7" t="s">
        <v>7030</v>
      </c>
      <c r="B45" s="7" t="s">
        <v>521</v>
      </c>
      <c r="C45" s="7" t="s">
        <v>864</v>
      </c>
      <c r="D45" s="7" t="s">
        <v>3992</v>
      </c>
      <c r="E45" s="7" t="s">
        <v>7031</v>
      </c>
      <c r="F45" s="7" t="s">
        <v>4867</v>
      </c>
      <c r="G45" s="7"/>
      <c r="H45" s="7" t="s">
        <v>471</v>
      </c>
      <c r="I45" s="7" t="s">
        <v>928</v>
      </c>
      <c r="J45" s="8" t="s">
        <v>7032</v>
      </c>
      <c r="K45" s="7" t="s">
        <v>483</v>
      </c>
      <c r="L45" s="7" t="s">
        <v>7033</v>
      </c>
      <c r="M45" s="8" t="s">
        <v>871</v>
      </c>
      <c r="N45" s="8" t="s">
        <v>6860</v>
      </c>
      <c r="O45" s="7" t="n">
        <f aca="false">COUNTIF('Mapa de Marcas'!$C:$C,"Pisos de madeira e vinílicos")</f>
        <v>16</v>
      </c>
    </row>
    <row r="46" customFormat="false" ht="23.85" hidden="false" customHeight="false" outlineLevel="0" collapsed="false">
      <c r="A46" s="7" t="s">
        <v>7034</v>
      </c>
      <c r="B46" s="7" t="s">
        <v>521</v>
      </c>
      <c r="C46" s="7" t="s">
        <v>864</v>
      </c>
      <c r="D46" s="7" t="s">
        <v>3992</v>
      </c>
      <c r="E46" s="7" t="s">
        <v>7035</v>
      </c>
      <c r="F46" s="7" t="s">
        <v>4871</v>
      </c>
      <c r="G46" s="7" t="s">
        <v>1823</v>
      </c>
      <c r="H46" s="7" t="s">
        <v>142</v>
      </c>
      <c r="I46" s="7" t="s">
        <v>943</v>
      </c>
      <c r="J46" s="8" t="s">
        <v>7036</v>
      </c>
      <c r="K46" s="7" t="s">
        <v>998</v>
      </c>
      <c r="L46" s="7" t="s">
        <v>7037</v>
      </c>
      <c r="M46" s="8" t="s">
        <v>871</v>
      </c>
      <c r="N46" s="8" t="s">
        <v>6870</v>
      </c>
      <c r="O46" s="7" t="n">
        <f aca="false">COUNTIF('Mapa de Marcas'!$C:$C,"Pisos de madeira e vinílicos")</f>
        <v>16</v>
      </c>
    </row>
    <row r="47" customFormat="false" ht="23.85" hidden="false" customHeight="false" outlineLevel="0" collapsed="false">
      <c r="A47" s="7" t="s">
        <v>7038</v>
      </c>
      <c r="B47" s="7" t="s">
        <v>521</v>
      </c>
      <c r="C47" s="7" t="s">
        <v>864</v>
      </c>
      <c r="D47" s="7" t="s">
        <v>3992</v>
      </c>
      <c r="E47" s="7" t="s">
        <v>7039</v>
      </c>
      <c r="F47" s="7" t="s">
        <v>4876</v>
      </c>
      <c r="G47" s="7" t="s">
        <v>2311</v>
      </c>
      <c r="H47" s="7" t="s">
        <v>231</v>
      </c>
      <c r="I47" s="7" t="s">
        <v>943</v>
      </c>
      <c r="J47" s="8" t="s">
        <v>7040</v>
      </c>
      <c r="K47" s="7" t="s">
        <v>998</v>
      </c>
      <c r="L47" s="7" t="s">
        <v>7041</v>
      </c>
      <c r="M47" s="8" t="s">
        <v>871</v>
      </c>
      <c r="N47" s="8" t="s">
        <v>6870</v>
      </c>
      <c r="O47" s="7" t="n">
        <f aca="false">COUNTIF('Mapa de Marcas'!$C:$C,"Pisos de madeira e vinílicos")</f>
        <v>16</v>
      </c>
    </row>
    <row r="48" customFormat="false" ht="23.85" hidden="false" customHeight="false" outlineLevel="0" collapsed="false">
      <c r="A48" s="7" t="s">
        <v>7042</v>
      </c>
      <c r="B48" s="7" t="s">
        <v>526</v>
      </c>
      <c r="C48" s="7" t="s">
        <v>864</v>
      </c>
      <c r="D48" s="7" t="s">
        <v>3992</v>
      </c>
      <c r="E48" s="7" t="s">
        <v>7043</v>
      </c>
      <c r="F48" s="7" t="s">
        <v>4936</v>
      </c>
      <c r="G48" s="7"/>
      <c r="H48" s="7" t="s">
        <v>471</v>
      </c>
      <c r="I48" s="7" t="s">
        <v>928</v>
      </c>
      <c r="J48" s="8" t="s">
        <v>7044</v>
      </c>
      <c r="K48" s="7" t="s">
        <v>483</v>
      </c>
      <c r="L48" s="7" t="s">
        <v>7045</v>
      </c>
      <c r="M48" s="8" t="s">
        <v>872</v>
      </c>
      <c r="N48" s="8" t="s">
        <v>6860</v>
      </c>
      <c r="O48" s="7" t="n">
        <f aca="false">COUNTIF('Mapa de Marcas'!$C:$C,"Superfícies e pedras")</f>
        <v>10</v>
      </c>
    </row>
    <row r="49" customFormat="false" ht="23.85" hidden="false" customHeight="false" outlineLevel="0" collapsed="false">
      <c r="A49" s="7" t="s">
        <v>7046</v>
      </c>
      <c r="B49" s="7" t="s">
        <v>526</v>
      </c>
      <c r="C49" s="7" t="s">
        <v>864</v>
      </c>
      <c r="D49" s="7" t="s">
        <v>3992</v>
      </c>
      <c r="E49" s="7" t="s">
        <v>7047</v>
      </c>
      <c r="F49" s="7" t="s">
        <v>4940</v>
      </c>
      <c r="G49" s="7" t="s">
        <v>1887</v>
      </c>
      <c r="H49" s="7" t="s">
        <v>142</v>
      </c>
      <c r="I49" s="7" t="s">
        <v>928</v>
      </c>
      <c r="J49" s="8" t="s">
        <v>7048</v>
      </c>
      <c r="K49" s="7" t="s">
        <v>998</v>
      </c>
      <c r="L49" s="7" t="s">
        <v>7049</v>
      </c>
      <c r="M49" s="8" t="s">
        <v>872</v>
      </c>
      <c r="N49" s="8" t="s">
        <v>6870</v>
      </c>
      <c r="O49" s="7" t="n">
        <f aca="false">COUNTIF('Mapa de Marcas'!$C:$C,"Superfícies e pedras")</f>
        <v>10</v>
      </c>
    </row>
    <row r="50" customFormat="false" ht="23.85" hidden="false" customHeight="false" outlineLevel="0" collapsed="false">
      <c r="A50" s="7" t="s">
        <v>7050</v>
      </c>
      <c r="B50" s="7" t="s">
        <v>526</v>
      </c>
      <c r="C50" s="7" t="s">
        <v>864</v>
      </c>
      <c r="D50" s="7" t="s">
        <v>3992</v>
      </c>
      <c r="E50" s="7" t="s">
        <v>7051</v>
      </c>
      <c r="F50" s="7" t="s">
        <v>4945</v>
      </c>
      <c r="G50" s="7" t="s">
        <v>3405</v>
      </c>
      <c r="H50" s="7" t="s">
        <v>425</v>
      </c>
      <c r="I50" s="7" t="s">
        <v>928</v>
      </c>
      <c r="J50" s="8" t="s">
        <v>7052</v>
      </c>
      <c r="K50" s="7" t="s">
        <v>998</v>
      </c>
      <c r="L50" s="7" t="s">
        <v>7053</v>
      </c>
      <c r="M50" s="8" t="s">
        <v>872</v>
      </c>
      <c r="N50" s="8" t="s">
        <v>6870</v>
      </c>
      <c r="O50" s="7" t="n">
        <f aca="false">COUNTIF('Mapa de Marcas'!$C:$C,"Superfícies e pedras")</f>
        <v>10</v>
      </c>
    </row>
    <row r="51" customFormat="false" ht="23.85" hidden="false" customHeight="false" outlineLevel="0" collapsed="false">
      <c r="A51" s="7" t="s">
        <v>7054</v>
      </c>
      <c r="B51" s="7" t="s">
        <v>531</v>
      </c>
      <c r="C51" s="7" t="s">
        <v>864</v>
      </c>
      <c r="D51" s="7" t="s">
        <v>3992</v>
      </c>
      <c r="E51" s="7" t="s">
        <v>7055</v>
      </c>
      <c r="F51" s="7" t="s">
        <v>4979</v>
      </c>
      <c r="G51" s="7"/>
      <c r="H51" s="7" t="s">
        <v>471</v>
      </c>
      <c r="I51" s="7" t="s">
        <v>928</v>
      </c>
      <c r="J51" s="8" t="s">
        <v>7056</v>
      </c>
      <c r="K51" s="7" t="s">
        <v>483</v>
      </c>
      <c r="L51" s="7" t="s">
        <v>7057</v>
      </c>
      <c r="M51" s="8" t="s">
        <v>873</v>
      </c>
      <c r="N51" s="8" t="s">
        <v>6860</v>
      </c>
      <c r="O51" s="7" t="n">
        <f aca="false">COUNTIF('Mapa de Marcas'!$C:$C,"Vidros")</f>
        <v>13</v>
      </c>
    </row>
    <row r="52" customFormat="false" ht="23.85" hidden="false" customHeight="false" outlineLevel="0" collapsed="false">
      <c r="A52" s="7" t="s">
        <v>7058</v>
      </c>
      <c r="B52" s="7" t="s">
        <v>531</v>
      </c>
      <c r="C52" s="7" t="s">
        <v>864</v>
      </c>
      <c r="D52" s="7" t="s">
        <v>3992</v>
      </c>
      <c r="E52" s="7" t="s">
        <v>7059</v>
      </c>
      <c r="F52" s="7" t="s">
        <v>4983</v>
      </c>
      <c r="G52" s="7" t="s">
        <v>1868</v>
      </c>
      <c r="H52" s="7" t="s">
        <v>142</v>
      </c>
      <c r="I52" s="7" t="s">
        <v>943</v>
      </c>
      <c r="J52" s="8" t="s">
        <v>7060</v>
      </c>
      <c r="K52" s="7" t="s">
        <v>998</v>
      </c>
      <c r="L52" s="7" t="s">
        <v>7061</v>
      </c>
      <c r="M52" s="8" t="s">
        <v>873</v>
      </c>
      <c r="N52" s="8" t="s">
        <v>6870</v>
      </c>
      <c r="O52" s="7" t="n">
        <f aca="false">COUNTIF('Mapa de Marcas'!$C:$C,"Vidros")</f>
        <v>13</v>
      </c>
    </row>
    <row r="53" customFormat="false" ht="23.85" hidden="false" customHeight="false" outlineLevel="0" collapsed="false">
      <c r="A53" s="7" t="s">
        <v>7062</v>
      </c>
      <c r="B53" s="7" t="s">
        <v>531</v>
      </c>
      <c r="C53" s="7" t="s">
        <v>864</v>
      </c>
      <c r="D53" s="7" t="s">
        <v>3992</v>
      </c>
      <c r="E53" s="7" t="s">
        <v>7063</v>
      </c>
      <c r="F53" s="7" t="s">
        <v>4988</v>
      </c>
      <c r="G53" s="7" t="s">
        <v>3408</v>
      </c>
      <c r="H53" s="7" t="s">
        <v>425</v>
      </c>
      <c r="I53" s="7" t="s">
        <v>928</v>
      </c>
      <c r="J53" s="8" t="s">
        <v>7064</v>
      </c>
      <c r="K53" s="7" t="s">
        <v>998</v>
      </c>
      <c r="L53" s="7" t="s">
        <v>7065</v>
      </c>
      <c r="M53" s="8" t="s">
        <v>873</v>
      </c>
      <c r="N53" s="8" t="s">
        <v>6870</v>
      </c>
      <c r="O53" s="7" t="n">
        <f aca="false">COUNTIF('Mapa de Marcas'!$C:$C,"Vidros")</f>
        <v>13</v>
      </c>
    </row>
    <row r="54" customFormat="false" ht="23.85" hidden="false" customHeight="false" outlineLevel="0" collapsed="false">
      <c r="A54" s="7" t="s">
        <v>7066</v>
      </c>
      <c r="B54" s="7" t="s">
        <v>531</v>
      </c>
      <c r="C54" s="7" t="s">
        <v>864</v>
      </c>
      <c r="D54" s="7" t="s">
        <v>3992</v>
      </c>
      <c r="E54" s="7" t="s">
        <v>7067</v>
      </c>
      <c r="F54" s="7" t="s">
        <v>4993</v>
      </c>
      <c r="G54" s="7" t="s">
        <v>1871</v>
      </c>
      <c r="H54" s="7" t="s">
        <v>142</v>
      </c>
      <c r="I54" s="7" t="s">
        <v>943</v>
      </c>
      <c r="J54" s="8" t="s">
        <v>7068</v>
      </c>
      <c r="K54" s="7" t="s">
        <v>998</v>
      </c>
      <c r="L54" s="7" t="s">
        <v>7069</v>
      </c>
      <c r="M54" s="8" t="s">
        <v>873</v>
      </c>
      <c r="N54" s="8" t="s">
        <v>6870</v>
      </c>
      <c r="O54" s="7" t="n">
        <f aca="false">COUNTIF('Mapa de Marcas'!$C:$C,"Vidros")</f>
        <v>13</v>
      </c>
    </row>
    <row r="55" customFormat="false" ht="23.85" hidden="false" customHeight="false" outlineLevel="0" collapsed="false">
      <c r="A55" s="7" t="s">
        <v>7070</v>
      </c>
      <c r="B55" s="7" t="s">
        <v>536</v>
      </c>
      <c r="C55" s="7" t="s">
        <v>864</v>
      </c>
      <c r="D55" s="7" t="s">
        <v>3992</v>
      </c>
      <c r="E55" s="7" t="s">
        <v>7071</v>
      </c>
      <c r="F55" s="7" t="s">
        <v>5035</v>
      </c>
      <c r="G55" s="7"/>
      <c r="H55" s="7" t="s">
        <v>471</v>
      </c>
      <c r="I55" s="7" t="s">
        <v>928</v>
      </c>
      <c r="J55" s="8" t="s">
        <v>7072</v>
      </c>
      <c r="K55" s="7" t="s">
        <v>483</v>
      </c>
      <c r="L55" s="7" t="s">
        <v>7073</v>
      </c>
      <c r="M55" s="8" t="s">
        <v>874</v>
      </c>
      <c r="N55" s="8" t="s">
        <v>6860</v>
      </c>
      <c r="O55" s="7" t="n">
        <f aca="false">COUNTIF('Mapa de Marcas'!$C:$C,"Painéis de madeira")</f>
        <v>7</v>
      </c>
    </row>
    <row r="56" customFormat="false" ht="23.85" hidden="false" customHeight="false" outlineLevel="0" collapsed="false">
      <c r="A56" s="7" t="s">
        <v>7074</v>
      </c>
      <c r="B56" s="7" t="s">
        <v>536</v>
      </c>
      <c r="C56" s="7" t="s">
        <v>864</v>
      </c>
      <c r="D56" s="7" t="s">
        <v>3992</v>
      </c>
      <c r="E56" s="7" t="s">
        <v>7075</v>
      </c>
      <c r="F56" s="7" t="s">
        <v>5039</v>
      </c>
      <c r="G56" s="7" t="s">
        <v>1878</v>
      </c>
      <c r="H56" s="7" t="s">
        <v>142</v>
      </c>
      <c r="I56" s="7" t="s">
        <v>928</v>
      </c>
      <c r="J56" s="8" t="s">
        <v>7076</v>
      </c>
      <c r="K56" s="7" t="s">
        <v>998</v>
      </c>
      <c r="L56" s="7" t="s">
        <v>7077</v>
      </c>
      <c r="M56" s="8" t="s">
        <v>874</v>
      </c>
      <c r="N56" s="8" t="s">
        <v>6870</v>
      </c>
      <c r="O56" s="7" t="n">
        <f aca="false">COUNTIF('Mapa de Marcas'!$C:$C,"Painéis de madeira")</f>
        <v>7</v>
      </c>
    </row>
    <row r="57" customFormat="false" ht="23.85" hidden="false" customHeight="false" outlineLevel="0" collapsed="false">
      <c r="A57" s="7" t="s">
        <v>7078</v>
      </c>
      <c r="B57" s="7" t="s">
        <v>551</v>
      </c>
      <c r="C57" s="7" t="s">
        <v>879</v>
      </c>
      <c r="D57" s="7" t="s">
        <v>5066</v>
      </c>
      <c r="E57" s="7" t="s">
        <v>7079</v>
      </c>
      <c r="F57" s="7" t="s">
        <v>5065</v>
      </c>
      <c r="G57" s="7"/>
      <c r="H57" s="7" t="s">
        <v>471</v>
      </c>
      <c r="I57" s="7" t="s">
        <v>928</v>
      </c>
      <c r="J57" s="8" t="s">
        <v>7080</v>
      </c>
      <c r="K57" s="7" t="s">
        <v>483</v>
      </c>
      <c r="L57" s="7" t="s">
        <v>7081</v>
      </c>
      <c r="M57" s="8" t="s">
        <v>881</v>
      </c>
      <c r="N57" s="8" t="s">
        <v>6860</v>
      </c>
      <c r="O57" s="7" t="n">
        <f aca="false">COUNTIF('Mapa de Marcas'!$C:$C,"Elevadores")</f>
        <v>17</v>
      </c>
    </row>
    <row r="58" customFormat="false" ht="35.05" hidden="false" customHeight="false" outlineLevel="0" collapsed="false">
      <c r="A58" s="7" t="s">
        <v>7082</v>
      </c>
      <c r="B58" s="7" t="s">
        <v>551</v>
      </c>
      <c r="C58" s="7" t="s">
        <v>879</v>
      </c>
      <c r="D58" s="7" t="s">
        <v>5066</v>
      </c>
      <c r="E58" s="7" t="s">
        <v>7083</v>
      </c>
      <c r="F58" s="7" t="s">
        <v>5070</v>
      </c>
      <c r="G58" s="7" t="s">
        <v>3563</v>
      </c>
      <c r="H58" s="7" t="s">
        <v>445</v>
      </c>
      <c r="I58" s="7" t="s">
        <v>928</v>
      </c>
      <c r="J58" s="8" t="s">
        <v>7084</v>
      </c>
      <c r="K58" s="7" t="s">
        <v>606</v>
      </c>
      <c r="L58" s="7" t="s">
        <v>7085</v>
      </c>
      <c r="M58" s="8" t="s">
        <v>881</v>
      </c>
      <c r="N58" s="8" t="s">
        <v>6865</v>
      </c>
      <c r="O58" s="7" t="n">
        <f aca="false">COUNTIF('Mapa de Marcas'!$C:$C,"Elevadores")</f>
        <v>17</v>
      </c>
    </row>
    <row r="59" customFormat="false" ht="23.85" hidden="false" customHeight="false" outlineLevel="0" collapsed="false">
      <c r="A59" s="7" t="s">
        <v>7086</v>
      </c>
      <c r="B59" s="7" t="s">
        <v>551</v>
      </c>
      <c r="C59" s="7" t="s">
        <v>879</v>
      </c>
      <c r="D59" s="7" t="s">
        <v>5066</v>
      </c>
      <c r="E59" s="7" t="s">
        <v>7087</v>
      </c>
      <c r="F59" s="7" t="s">
        <v>5075</v>
      </c>
      <c r="G59" s="7" t="s">
        <v>3563</v>
      </c>
      <c r="H59" s="7" t="s">
        <v>445</v>
      </c>
      <c r="I59" s="7" t="s">
        <v>943</v>
      </c>
      <c r="J59" s="8" t="s">
        <v>7088</v>
      </c>
      <c r="K59" s="7" t="s">
        <v>998</v>
      </c>
      <c r="L59" s="7" t="s">
        <v>7089</v>
      </c>
      <c r="M59" s="8" t="s">
        <v>881</v>
      </c>
      <c r="N59" s="8" t="s">
        <v>6870</v>
      </c>
      <c r="O59" s="7" t="n">
        <f aca="false">COUNTIF('Mapa de Marcas'!$C:$C,"Elevadores")</f>
        <v>17</v>
      </c>
    </row>
    <row r="60" customFormat="false" ht="23.85" hidden="false" customHeight="false" outlineLevel="0" collapsed="false">
      <c r="A60" s="7" t="s">
        <v>7090</v>
      </c>
      <c r="B60" s="7" t="s">
        <v>551</v>
      </c>
      <c r="C60" s="7" t="s">
        <v>879</v>
      </c>
      <c r="D60" s="7" t="s">
        <v>5066</v>
      </c>
      <c r="E60" s="7" t="s">
        <v>7091</v>
      </c>
      <c r="F60" s="7" t="s">
        <v>5079</v>
      </c>
      <c r="G60" s="7" t="s">
        <v>2113</v>
      </c>
      <c r="H60" s="7" t="s">
        <v>182</v>
      </c>
      <c r="I60" s="7" t="s">
        <v>943</v>
      </c>
      <c r="J60" s="8" t="s">
        <v>7092</v>
      </c>
      <c r="K60" s="7" t="s">
        <v>998</v>
      </c>
      <c r="L60" s="7" t="s">
        <v>7093</v>
      </c>
      <c r="M60" s="8" t="s">
        <v>881</v>
      </c>
      <c r="N60" s="8" t="s">
        <v>6870</v>
      </c>
      <c r="O60" s="7" t="n">
        <f aca="false">COUNTIF('Mapa de Marcas'!$C:$C,"Elevadores")</f>
        <v>17</v>
      </c>
    </row>
    <row r="61" customFormat="false" ht="23.85" hidden="false" customHeight="false" outlineLevel="0" collapsed="false">
      <c r="A61" s="7" t="s">
        <v>7094</v>
      </c>
      <c r="B61" s="7" t="s">
        <v>556</v>
      </c>
      <c r="C61" s="7" t="s">
        <v>879</v>
      </c>
      <c r="D61" s="7" t="s">
        <v>5066</v>
      </c>
      <c r="E61" s="7" t="s">
        <v>7095</v>
      </c>
      <c r="F61" s="7" t="s">
        <v>5138</v>
      </c>
      <c r="G61" s="7"/>
      <c r="H61" s="7" t="s">
        <v>471</v>
      </c>
      <c r="I61" s="7" t="s">
        <v>928</v>
      </c>
      <c r="J61" s="8" t="s">
        <v>7096</v>
      </c>
      <c r="K61" s="7" t="s">
        <v>483</v>
      </c>
      <c r="L61" s="7" t="s">
        <v>7097</v>
      </c>
      <c r="M61" s="8" t="s">
        <v>882</v>
      </c>
      <c r="N61" s="8" t="s">
        <v>6860</v>
      </c>
      <c r="O61" s="7" t="n">
        <f aca="false">COUNTIF('Mapa de Marcas'!$C:$C,"Climatização")</f>
        <v>25</v>
      </c>
    </row>
    <row r="62" customFormat="false" ht="23.85" hidden="false" customHeight="false" outlineLevel="0" collapsed="false">
      <c r="A62" s="7" t="s">
        <v>7098</v>
      </c>
      <c r="B62" s="7" t="s">
        <v>556</v>
      </c>
      <c r="C62" s="7" t="s">
        <v>879</v>
      </c>
      <c r="D62" s="7" t="s">
        <v>5066</v>
      </c>
      <c r="E62" s="7" t="s">
        <v>7099</v>
      </c>
      <c r="F62" s="7" t="s">
        <v>5142</v>
      </c>
      <c r="G62" s="7" t="s">
        <v>3555</v>
      </c>
      <c r="H62" s="7" t="s">
        <v>445</v>
      </c>
      <c r="I62" s="7" t="s">
        <v>943</v>
      </c>
      <c r="J62" s="8" t="s">
        <v>7100</v>
      </c>
      <c r="K62" s="7" t="s">
        <v>998</v>
      </c>
      <c r="L62" s="7" t="s">
        <v>7101</v>
      </c>
      <c r="M62" s="8" t="s">
        <v>882</v>
      </c>
      <c r="N62" s="8" t="s">
        <v>6870</v>
      </c>
      <c r="O62" s="7" t="n">
        <f aca="false">COUNTIF('Mapa de Marcas'!$C:$C,"Climatização")</f>
        <v>25</v>
      </c>
    </row>
    <row r="63" customFormat="false" ht="23.85" hidden="false" customHeight="false" outlineLevel="0" collapsed="false">
      <c r="A63" s="7" t="s">
        <v>7102</v>
      </c>
      <c r="B63" s="7" t="s">
        <v>556</v>
      </c>
      <c r="C63" s="7" t="s">
        <v>879</v>
      </c>
      <c r="D63" s="7" t="s">
        <v>5066</v>
      </c>
      <c r="E63" s="7" t="s">
        <v>7103</v>
      </c>
      <c r="F63" s="7" t="s">
        <v>5147</v>
      </c>
      <c r="G63" s="7" t="s">
        <v>2078</v>
      </c>
      <c r="H63" s="7" t="s">
        <v>182</v>
      </c>
      <c r="I63" s="7" t="s">
        <v>943</v>
      </c>
      <c r="J63" s="8" t="s">
        <v>7104</v>
      </c>
      <c r="K63" s="7" t="s">
        <v>998</v>
      </c>
      <c r="L63" s="7" t="s">
        <v>7105</v>
      </c>
      <c r="M63" s="8" t="s">
        <v>882</v>
      </c>
      <c r="N63" s="8" t="s">
        <v>6870</v>
      </c>
      <c r="O63" s="7" t="n">
        <f aca="false">COUNTIF('Mapa de Marcas'!$C:$C,"Climatização")</f>
        <v>25</v>
      </c>
    </row>
    <row r="64" customFormat="false" ht="23.85" hidden="false" customHeight="false" outlineLevel="0" collapsed="false">
      <c r="A64" s="7" t="s">
        <v>7106</v>
      </c>
      <c r="B64" s="7" t="s">
        <v>561</v>
      </c>
      <c r="C64" s="7" t="s">
        <v>879</v>
      </c>
      <c r="D64" s="7" t="s">
        <v>5066</v>
      </c>
      <c r="E64" s="7" t="s">
        <v>7107</v>
      </c>
      <c r="F64" s="7" t="s">
        <v>5246</v>
      </c>
      <c r="G64" s="7"/>
      <c r="H64" s="7" t="s">
        <v>471</v>
      </c>
      <c r="I64" s="7" t="s">
        <v>928</v>
      </c>
      <c r="J64" s="8" t="s">
        <v>7108</v>
      </c>
      <c r="K64" s="7" t="s">
        <v>483</v>
      </c>
      <c r="L64" s="7" t="s">
        <v>7109</v>
      </c>
      <c r="M64" s="8" t="s">
        <v>883</v>
      </c>
      <c r="N64" s="8" t="s">
        <v>6860</v>
      </c>
      <c r="O64" s="7" t="n">
        <f aca="false">COUNTIF('Mapa de Marcas'!$C:$C,"Aquecimento a gás")</f>
        <v>10</v>
      </c>
    </row>
    <row r="65" customFormat="false" ht="23.85" hidden="false" customHeight="false" outlineLevel="0" collapsed="false">
      <c r="A65" s="7" t="s">
        <v>7110</v>
      </c>
      <c r="B65" s="7" t="s">
        <v>561</v>
      </c>
      <c r="C65" s="7" t="s">
        <v>879</v>
      </c>
      <c r="D65" s="7" t="s">
        <v>5066</v>
      </c>
      <c r="E65" s="7" t="s">
        <v>7111</v>
      </c>
      <c r="F65" s="7" t="s">
        <v>5250</v>
      </c>
      <c r="G65" s="7" t="s">
        <v>3528</v>
      </c>
      <c r="H65" s="7" t="s">
        <v>445</v>
      </c>
      <c r="I65" s="7" t="s">
        <v>943</v>
      </c>
      <c r="J65" s="8" t="s">
        <v>7112</v>
      </c>
      <c r="K65" s="7" t="s">
        <v>998</v>
      </c>
      <c r="L65" s="7" t="s">
        <v>7113</v>
      </c>
      <c r="M65" s="8" t="s">
        <v>883</v>
      </c>
      <c r="N65" s="8" t="s">
        <v>6870</v>
      </c>
      <c r="O65" s="7" t="n">
        <f aca="false">COUNTIF('Mapa de Marcas'!$C:$C,"Aquecimento a gás")</f>
        <v>10</v>
      </c>
    </row>
    <row r="66" customFormat="false" ht="23.85" hidden="false" customHeight="false" outlineLevel="0" collapsed="false">
      <c r="A66" s="7" t="s">
        <v>7114</v>
      </c>
      <c r="B66" s="7" t="s">
        <v>561</v>
      </c>
      <c r="C66" s="7" t="s">
        <v>879</v>
      </c>
      <c r="D66" s="7" t="s">
        <v>5066</v>
      </c>
      <c r="E66" s="7" t="s">
        <v>7115</v>
      </c>
      <c r="F66" s="7" t="s">
        <v>5255</v>
      </c>
      <c r="G66" s="7" t="s">
        <v>2008</v>
      </c>
      <c r="H66" s="7" t="s">
        <v>182</v>
      </c>
      <c r="I66" s="7" t="s">
        <v>943</v>
      </c>
      <c r="J66" s="8" t="s">
        <v>7116</v>
      </c>
      <c r="K66" s="7" t="s">
        <v>998</v>
      </c>
      <c r="L66" s="7" t="s">
        <v>7117</v>
      </c>
      <c r="M66" s="8" t="s">
        <v>883</v>
      </c>
      <c r="N66" s="8" t="s">
        <v>6870</v>
      </c>
      <c r="O66" s="7" t="n">
        <f aca="false">COUNTIF('Mapa de Marcas'!$C:$C,"Aquecimento a gás")</f>
        <v>10</v>
      </c>
    </row>
    <row r="67" customFormat="false" ht="23.85" hidden="false" customHeight="false" outlineLevel="0" collapsed="false">
      <c r="A67" s="7" t="s">
        <v>7118</v>
      </c>
      <c r="B67" s="7" t="s">
        <v>566</v>
      </c>
      <c r="C67" s="7" t="s">
        <v>879</v>
      </c>
      <c r="D67" s="7" t="s">
        <v>5066</v>
      </c>
      <c r="E67" s="7" t="s">
        <v>7119</v>
      </c>
      <c r="F67" s="7" t="s">
        <v>5288</v>
      </c>
      <c r="G67" s="7"/>
      <c r="H67" s="7" t="s">
        <v>471</v>
      </c>
      <c r="I67" s="7" t="s">
        <v>928</v>
      </c>
      <c r="J67" s="8" t="s">
        <v>7120</v>
      </c>
      <c r="K67" s="7" t="s">
        <v>483</v>
      </c>
      <c r="L67" s="7" t="s">
        <v>7121</v>
      </c>
      <c r="M67" s="8" t="s">
        <v>884</v>
      </c>
      <c r="N67" s="8" t="s">
        <v>6860</v>
      </c>
      <c r="O67" s="7" t="n">
        <f aca="false">COUNTIF('Mapa de Marcas'!$C:$C,"Geradores")</f>
        <v>10</v>
      </c>
    </row>
    <row r="68" customFormat="false" ht="23.85" hidden="false" customHeight="false" outlineLevel="0" collapsed="false">
      <c r="A68" s="7" t="s">
        <v>7122</v>
      </c>
      <c r="B68" s="7" t="s">
        <v>566</v>
      </c>
      <c r="C68" s="7" t="s">
        <v>879</v>
      </c>
      <c r="D68" s="7" t="s">
        <v>5066</v>
      </c>
      <c r="E68" s="7" t="s">
        <v>7123</v>
      </c>
      <c r="F68" s="7" t="s">
        <v>5292</v>
      </c>
      <c r="G68" s="7" t="s">
        <v>3489</v>
      </c>
      <c r="H68" s="7" t="s">
        <v>445</v>
      </c>
      <c r="I68" s="7" t="s">
        <v>943</v>
      </c>
      <c r="J68" s="8" t="s">
        <v>7124</v>
      </c>
      <c r="K68" s="7" t="s">
        <v>998</v>
      </c>
      <c r="L68" s="7" t="s">
        <v>7125</v>
      </c>
      <c r="M68" s="8" t="s">
        <v>884</v>
      </c>
      <c r="N68" s="8" t="s">
        <v>6870</v>
      </c>
      <c r="O68" s="7" t="n">
        <f aca="false">COUNTIF('Mapa de Marcas'!$C:$C,"Geradores")</f>
        <v>10</v>
      </c>
    </row>
    <row r="69" customFormat="false" ht="23.85" hidden="false" customHeight="false" outlineLevel="0" collapsed="false">
      <c r="A69" s="7" t="s">
        <v>7126</v>
      </c>
      <c r="B69" s="7" t="s">
        <v>566</v>
      </c>
      <c r="C69" s="7" t="s">
        <v>879</v>
      </c>
      <c r="D69" s="7" t="s">
        <v>5066</v>
      </c>
      <c r="E69" s="7" t="s">
        <v>7127</v>
      </c>
      <c r="F69" s="7" t="s">
        <v>5297</v>
      </c>
      <c r="G69" s="7" t="s">
        <v>1971</v>
      </c>
      <c r="H69" s="7" t="s">
        <v>182</v>
      </c>
      <c r="I69" s="7" t="s">
        <v>943</v>
      </c>
      <c r="J69" s="8" t="s">
        <v>7128</v>
      </c>
      <c r="K69" s="7" t="s">
        <v>998</v>
      </c>
      <c r="L69" s="7" t="s">
        <v>7129</v>
      </c>
      <c r="M69" s="8" t="s">
        <v>884</v>
      </c>
      <c r="N69" s="8" t="s">
        <v>6870</v>
      </c>
      <c r="O69" s="7" t="n">
        <f aca="false">COUNTIF('Mapa de Marcas'!$C:$C,"Geradores")</f>
        <v>10</v>
      </c>
    </row>
    <row r="70" customFormat="false" ht="23.85" hidden="false" customHeight="false" outlineLevel="0" collapsed="false">
      <c r="A70" s="7" t="s">
        <v>7130</v>
      </c>
      <c r="B70" s="7" t="s">
        <v>571</v>
      </c>
      <c r="C70" s="7" t="s">
        <v>879</v>
      </c>
      <c r="D70" s="7" t="s">
        <v>5066</v>
      </c>
      <c r="E70" s="7" t="s">
        <v>7131</v>
      </c>
      <c r="F70" s="7" t="s">
        <v>5330</v>
      </c>
      <c r="G70" s="7"/>
      <c r="H70" s="7" t="s">
        <v>471</v>
      </c>
      <c r="I70" s="7" t="s">
        <v>928</v>
      </c>
      <c r="J70" s="8" t="s">
        <v>7132</v>
      </c>
      <c r="K70" s="7" t="s">
        <v>483</v>
      </c>
      <c r="L70" s="7" t="s">
        <v>7133</v>
      </c>
      <c r="M70" s="8" t="s">
        <v>885</v>
      </c>
      <c r="N70" s="8" t="s">
        <v>6860</v>
      </c>
      <c r="O70" s="7" t="n">
        <f aca="false">COUNTIF('Mapa de Marcas'!$C:$C,"Energia solar")</f>
        <v>16</v>
      </c>
    </row>
    <row r="71" customFormat="false" ht="23.85" hidden="false" customHeight="false" outlineLevel="0" collapsed="false">
      <c r="A71" s="7" t="s">
        <v>7134</v>
      </c>
      <c r="B71" s="7" t="s">
        <v>571</v>
      </c>
      <c r="C71" s="7" t="s">
        <v>879</v>
      </c>
      <c r="D71" s="7" t="s">
        <v>5066</v>
      </c>
      <c r="E71" s="7" t="s">
        <v>7135</v>
      </c>
      <c r="F71" s="7" t="s">
        <v>5333</v>
      </c>
      <c r="G71" s="7" t="s">
        <v>3497</v>
      </c>
      <c r="H71" s="7" t="s">
        <v>445</v>
      </c>
      <c r="I71" s="7" t="s">
        <v>928</v>
      </c>
      <c r="J71" s="8" t="s">
        <v>7136</v>
      </c>
      <c r="K71" s="7" t="s">
        <v>998</v>
      </c>
      <c r="L71" s="7" t="s">
        <v>7137</v>
      </c>
      <c r="M71" s="8" t="s">
        <v>885</v>
      </c>
      <c r="N71" s="8" t="s">
        <v>6870</v>
      </c>
      <c r="O71" s="7" t="n">
        <f aca="false">COUNTIF('Mapa de Marcas'!$C:$C,"Energia solar")</f>
        <v>16</v>
      </c>
    </row>
    <row r="72" customFormat="false" ht="23.85" hidden="false" customHeight="false" outlineLevel="0" collapsed="false">
      <c r="A72" s="7" t="s">
        <v>7138</v>
      </c>
      <c r="B72" s="7" t="s">
        <v>571</v>
      </c>
      <c r="C72" s="7" t="s">
        <v>879</v>
      </c>
      <c r="D72" s="7" t="s">
        <v>5066</v>
      </c>
      <c r="E72" s="7" t="s">
        <v>7139</v>
      </c>
      <c r="F72" s="7" t="s">
        <v>5338</v>
      </c>
      <c r="G72" s="7" t="s">
        <v>2326</v>
      </c>
      <c r="H72" s="7" t="s">
        <v>231</v>
      </c>
      <c r="I72" s="7" t="s">
        <v>943</v>
      </c>
      <c r="J72" s="8" t="s">
        <v>7140</v>
      </c>
      <c r="K72" s="7" t="s">
        <v>998</v>
      </c>
      <c r="L72" s="7" t="s">
        <v>7141</v>
      </c>
      <c r="M72" s="8" t="s">
        <v>885</v>
      </c>
      <c r="N72" s="8" t="s">
        <v>6870</v>
      </c>
      <c r="O72" s="7" t="n">
        <f aca="false">COUNTIF('Mapa de Marcas'!$C:$C,"Energia solar")</f>
        <v>16</v>
      </c>
    </row>
    <row r="73" customFormat="false" ht="23.85" hidden="false" customHeight="false" outlineLevel="0" collapsed="false">
      <c r="A73" s="7" t="s">
        <v>7142</v>
      </c>
      <c r="B73" s="7" t="s">
        <v>576</v>
      </c>
      <c r="C73" s="7" t="s">
        <v>879</v>
      </c>
      <c r="D73" s="7" t="s">
        <v>5066</v>
      </c>
      <c r="E73" s="7" t="s">
        <v>7143</v>
      </c>
      <c r="F73" s="7" t="s">
        <v>5397</v>
      </c>
      <c r="G73" s="7"/>
      <c r="H73" s="7" t="s">
        <v>471</v>
      </c>
      <c r="I73" s="7" t="s">
        <v>928</v>
      </c>
      <c r="J73" s="8" t="s">
        <v>7144</v>
      </c>
      <c r="K73" s="7" t="s">
        <v>483</v>
      </c>
      <c r="L73" s="7" t="s">
        <v>7145</v>
      </c>
      <c r="M73" s="8" t="s">
        <v>886</v>
      </c>
      <c r="N73" s="8" t="s">
        <v>6860</v>
      </c>
      <c r="O73" s="7" t="n">
        <f aca="false">COUNTIF('Mapa de Marcas'!$C:$C,"Automação")</f>
        <v>16</v>
      </c>
    </row>
    <row r="74" customFormat="false" ht="23.85" hidden="false" customHeight="false" outlineLevel="0" collapsed="false">
      <c r="A74" s="7" t="s">
        <v>7146</v>
      </c>
      <c r="B74" s="7" t="s">
        <v>576</v>
      </c>
      <c r="C74" s="7" t="s">
        <v>879</v>
      </c>
      <c r="D74" s="7" t="s">
        <v>5066</v>
      </c>
      <c r="E74" s="7" t="s">
        <v>7147</v>
      </c>
      <c r="F74" s="7" t="s">
        <v>5401</v>
      </c>
      <c r="G74" s="7" t="s">
        <v>3505</v>
      </c>
      <c r="H74" s="7" t="s">
        <v>445</v>
      </c>
      <c r="I74" s="7" t="s">
        <v>928</v>
      </c>
      <c r="J74" s="8" t="s">
        <v>7148</v>
      </c>
      <c r="K74" s="7" t="s">
        <v>998</v>
      </c>
      <c r="L74" s="7" t="s">
        <v>7149</v>
      </c>
      <c r="M74" s="8" t="s">
        <v>886</v>
      </c>
      <c r="N74" s="8" t="s">
        <v>6870</v>
      </c>
      <c r="O74" s="7" t="n">
        <f aca="false">COUNTIF('Mapa de Marcas'!$C:$C,"Automação")</f>
        <v>16</v>
      </c>
    </row>
    <row r="75" customFormat="false" ht="23.85" hidden="false" customHeight="false" outlineLevel="0" collapsed="false">
      <c r="A75" s="7" t="s">
        <v>7150</v>
      </c>
      <c r="B75" s="7" t="s">
        <v>576</v>
      </c>
      <c r="C75" s="7" t="s">
        <v>879</v>
      </c>
      <c r="D75" s="7" t="s">
        <v>5066</v>
      </c>
      <c r="E75" s="7" t="s">
        <v>7151</v>
      </c>
      <c r="F75" s="7" t="s">
        <v>5406</v>
      </c>
      <c r="G75" s="7" t="s">
        <v>2000</v>
      </c>
      <c r="H75" s="7" t="s">
        <v>182</v>
      </c>
      <c r="I75" s="7" t="s">
        <v>943</v>
      </c>
      <c r="J75" s="8" t="s">
        <v>7152</v>
      </c>
      <c r="K75" s="7" t="s">
        <v>998</v>
      </c>
      <c r="L75" s="7" t="s">
        <v>7153</v>
      </c>
      <c r="M75" s="8" t="s">
        <v>886</v>
      </c>
      <c r="N75" s="8" t="s">
        <v>6870</v>
      </c>
      <c r="O75" s="7" t="n">
        <f aca="false">COUNTIF('Mapa de Marcas'!$C:$C,"Automação")</f>
        <v>16</v>
      </c>
    </row>
    <row r="76" customFormat="false" ht="23.85" hidden="false" customHeight="false" outlineLevel="0" collapsed="false">
      <c r="A76" s="7" t="s">
        <v>7154</v>
      </c>
      <c r="B76" s="7" t="s">
        <v>581</v>
      </c>
      <c r="C76" s="7" t="s">
        <v>879</v>
      </c>
      <c r="D76" s="7" t="s">
        <v>5066</v>
      </c>
      <c r="E76" s="7" t="s">
        <v>7155</v>
      </c>
      <c r="F76" s="7" t="s">
        <v>5465</v>
      </c>
      <c r="G76" s="7"/>
      <c r="H76" s="7" t="s">
        <v>471</v>
      </c>
      <c r="I76" s="7" t="s">
        <v>928</v>
      </c>
      <c r="J76" s="8" t="s">
        <v>7156</v>
      </c>
      <c r="K76" s="7" t="s">
        <v>483</v>
      </c>
      <c r="L76" s="7" t="s">
        <v>7157</v>
      </c>
      <c r="M76" s="8" t="s">
        <v>887</v>
      </c>
      <c r="N76" s="8" t="s">
        <v>6860</v>
      </c>
      <c r="O76" s="7" t="n">
        <f aca="false">COUNTIF('Mapa de Marcas'!$C:$C,"Segurança eletrônica")</f>
        <v>7</v>
      </c>
    </row>
    <row r="77" customFormat="false" ht="23.85" hidden="false" customHeight="false" outlineLevel="0" collapsed="false">
      <c r="A77" s="7" t="s">
        <v>7158</v>
      </c>
      <c r="B77" s="7" t="s">
        <v>581</v>
      </c>
      <c r="C77" s="7" t="s">
        <v>879</v>
      </c>
      <c r="D77" s="7" t="s">
        <v>5066</v>
      </c>
      <c r="E77" s="7" t="s">
        <v>7159</v>
      </c>
      <c r="F77" s="7" t="s">
        <v>5468</v>
      </c>
      <c r="G77" s="7" t="s">
        <v>3508</v>
      </c>
      <c r="H77" s="7" t="s">
        <v>445</v>
      </c>
      <c r="I77" s="7" t="s">
        <v>943</v>
      </c>
      <c r="J77" s="8" t="s">
        <v>7160</v>
      </c>
      <c r="K77" s="7" t="s">
        <v>998</v>
      </c>
      <c r="L77" s="7" t="s">
        <v>7161</v>
      </c>
      <c r="M77" s="8" t="s">
        <v>887</v>
      </c>
      <c r="N77" s="8" t="s">
        <v>6870</v>
      </c>
      <c r="O77" s="7" t="n">
        <f aca="false">COUNTIF('Mapa de Marcas'!$C:$C,"Segurança eletrônica")</f>
        <v>7</v>
      </c>
    </row>
    <row r="78" customFormat="false" ht="23.85" hidden="false" customHeight="false" outlineLevel="0" collapsed="false">
      <c r="A78" s="7" t="s">
        <v>7162</v>
      </c>
      <c r="B78" s="7" t="s">
        <v>581</v>
      </c>
      <c r="C78" s="7" t="s">
        <v>879</v>
      </c>
      <c r="D78" s="7" t="s">
        <v>5066</v>
      </c>
      <c r="E78" s="7" t="s">
        <v>7163</v>
      </c>
      <c r="F78" s="7" t="s">
        <v>5473</v>
      </c>
      <c r="G78" s="7" t="s">
        <v>1991</v>
      </c>
      <c r="H78" s="7" t="s">
        <v>182</v>
      </c>
      <c r="I78" s="7" t="s">
        <v>943</v>
      </c>
      <c r="J78" s="8" t="s">
        <v>7164</v>
      </c>
      <c r="K78" s="7" t="s">
        <v>998</v>
      </c>
      <c r="L78" s="7" t="s">
        <v>7165</v>
      </c>
      <c r="M78" s="8" t="s">
        <v>887</v>
      </c>
      <c r="N78" s="8" t="s">
        <v>6870</v>
      </c>
      <c r="O78" s="7" t="n">
        <f aca="false">COUNTIF('Mapa de Marcas'!$C:$C,"Segurança eletrônica")</f>
        <v>7</v>
      </c>
    </row>
    <row r="79" customFormat="false" ht="23.85" hidden="false" customHeight="false" outlineLevel="0" collapsed="false">
      <c r="A79" s="7" t="s">
        <v>7166</v>
      </c>
      <c r="B79" s="7" t="s">
        <v>586</v>
      </c>
      <c r="C79" s="7" t="s">
        <v>879</v>
      </c>
      <c r="D79" s="7" t="s">
        <v>5066</v>
      </c>
      <c r="E79" s="7" t="s">
        <v>7167</v>
      </c>
      <c r="F79" s="7" t="s">
        <v>5494</v>
      </c>
      <c r="G79" s="7"/>
      <c r="H79" s="7" t="s">
        <v>471</v>
      </c>
      <c r="I79" s="7" t="s">
        <v>928</v>
      </c>
      <c r="J79" s="8" t="s">
        <v>7168</v>
      </c>
      <c r="K79" s="7" t="s">
        <v>483</v>
      </c>
      <c r="L79" s="7" t="s">
        <v>7169</v>
      </c>
      <c r="M79" s="8" t="s">
        <v>888</v>
      </c>
      <c r="N79" s="8" t="s">
        <v>6860</v>
      </c>
      <c r="O79" s="7" t="n">
        <f aca="false">COUNTIF('Mapa de Marcas'!$C:$C,"Material elétrico")</f>
        <v>16</v>
      </c>
    </row>
    <row r="80" customFormat="false" ht="23.85" hidden="false" customHeight="false" outlineLevel="0" collapsed="false">
      <c r="A80" s="7" t="s">
        <v>7170</v>
      </c>
      <c r="B80" s="7" t="s">
        <v>586</v>
      </c>
      <c r="C80" s="7" t="s">
        <v>879</v>
      </c>
      <c r="D80" s="7" t="s">
        <v>5066</v>
      </c>
      <c r="E80" s="7" t="s">
        <v>7171</v>
      </c>
      <c r="F80" s="7" t="s">
        <v>5498</v>
      </c>
      <c r="G80" s="7" t="s">
        <v>3483</v>
      </c>
      <c r="H80" s="7" t="s">
        <v>445</v>
      </c>
      <c r="I80" s="7" t="s">
        <v>943</v>
      </c>
      <c r="J80" s="8" t="s">
        <v>7172</v>
      </c>
      <c r="K80" s="7" t="s">
        <v>998</v>
      </c>
      <c r="L80" s="7" t="s">
        <v>7173</v>
      </c>
      <c r="M80" s="8" t="s">
        <v>888</v>
      </c>
      <c r="N80" s="8" t="s">
        <v>6870</v>
      </c>
      <c r="O80" s="7" t="n">
        <f aca="false">COUNTIF('Mapa de Marcas'!$C:$C,"Material elétrico")</f>
        <v>16</v>
      </c>
    </row>
    <row r="81" customFormat="false" ht="23.85" hidden="false" customHeight="false" outlineLevel="0" collapsed="false">
      <c r="A81" s="7" t="s">
        <v>7174</v>
      </c>
      <c r="B81" s="7" t="s">
        <v>586</v>
      </c>
      <c r="C81" s="7" t="s">
        <v>879</v>
      </c>
      <c r="D81" s="7" t="s">
        <v>5066</v>
      </c>
      <c r="E81" s="7" t="s">
        <v>7175</v>
      </c>
      <c r="F81" s="7" t="s">
        <v>5503</v>
      </c>
      <c r="G81" s="7" t="s">
        <v>3477</v>
      </c>
      <c r="H81" s="7" t="s">
        <v>445</v>
      </c>
      <c r="I81" s="7" t="s">
        <v>943</v>
      </c>
      <c r="J81" s="8" t="s">
        <v>7176</v>
      </c>
      <c r="K81" s="7" t="s">
        <v>998</v>
      </c>
      <c r="L81" s="7" t="s">
        <v>7177</v>
      </c>
      <c r="M81" s="8" t="s">
        <v>888</v>
      </c>
      <c r="N81" s="8" t="s">
        <v>6870</v>
      </c>
      <c r="O81" s="7" t="n">
        <f aca="false">COUNTIF('Mapa de Marcas'!$C:$C,"Material elétrico")</f>
        <v>16</v>
      </c>
    </row>
    <row r="82" customFormat="false" ht="23.85" hidden="false" customHeight="false" outlineLevel="0" collapsed="false">
      <c r="A82" s="7" t="s">
        <v>7178</v>
      </c>
      <c r="B82" s="7" t="s">
        <v>591</v>
      </c>
      <c r="C82" s="7" t="s">
        <v>879</v>
      </c>
      <c r="D82" s="7" t="s">
        <v>5066</v>
      </c>
      <c r="E82" s="7" t="s">
        <v>7179</v>
      </c>
      <c r="F82" s="7" t="s">
        <v>5561</v>
      </c>
      <c r="G82" s="7"/>
      <c r="H82" s="7" t="s">
        <v>471</v>
      </c>
      <c r="I82" s="7" t="s">
        <v>928</v>
      </c>
      <c r="J82" s="8" t="s">
        <v>7180</v>
      </c>
      <c r="K82" s="7" t="s">
        <v>483</v>
      </c>
      <c r="L82" s="7" t="s">
        <v>7181</v>
      </c>
      <c r="M82" s="8" t="s">
        <v>889</v>
      </c>
      <c r="N82" s="8" t="s">
        <v>6860</v>
      </c>
      <c r="O82" s="7" t="n">
        <f aca="false">COUNTIF('Mapa de Marcas'!$C:$C,"Piscinas")</f>
        <v>13</v>
      </c>
    </row>
    <row r="83" customFormat="false" ht="23.85" hidden="false" customHeight="false" outlineLevel="0" collapsed="false">
      <c r="A83" s="7" t="s">
        <v>7182</v>
      </c>
      <c r="B83" s="7" t="s">
        <v>591</v>
      </c>
      <c r="C83" s="7" t="s">
        <v>879</v>
      </c>
      <c r="D83" s="7" t="s">
        <v>5066</v>
      </c>
      <c r="E83" s="7" t="s">
        <v>7183</v>
      </c>
      <c r="F83" s="7" t="s">
        <v>5565</v>
      </c>
      <c r="G83" s="7" t="s">
        <v>1258</v>
      </c>
      <c r="H83" s="7" t="s">
        <v>79</v>
      </c>
      <c r="I83" s="7" t="s">
        <v>928</v>
      </c>
      <c r="J83" s="8" t="s">
        <v>7184</v>
      </c>
      <c r="K83" s="7" t="s">
        <v>998</v>
      </c>
      <c r="L83" s="7" t="s">
        <v>7185</v>
      </c>
      <c r="M83" s="8" t="s">
        <v>889</v>
      </c>
      <c r="N83" s="8" t="s">
        <v>6870</v>
      </c>
      <c r="O83" s="7" t="n">
        <f aca="false">COUNTIF('Mapa de Marcas'!$C:$C,"Piscinas")</f>
        <v>13</v>
      </c>
    </row>
    <row r="84" customFormat="false" ht="23.85" hidden="false" customHeight="false" outlineLevel="0" collapsed="false">
      <c r="A84" s="7" t="s">
        <v>7186</v>
      </c>
      <c r="B84" s="7" t="s">
        <v>591</v>
      </c>
      <c r="C84" s="7" t="s">
        <v>879</v>
      </c>
      <c r="D84" s="7" t="s">
        <v>5066</v>
      </c>
      <c r="E84" s="7" t="s">
        <v>7187</v>
      </c>
      <c r="F84" s="7" t="s">
        <v>5570</v>
      </c>
      <c r="G84" s="7" t="s">
        <v>1723</v>
      </c>
      <c r="H84" s="7" t="s">
        <v>142</v>
      </c>
      <c r="I84" s="7" t="s">
        <v>928</v>
      </c>
      <c r="J84" s="8" t="s">
        <v>7188</v>
      </c>
      <c r="K84" s="7" t="s">
        <v>998</v>
      </c>
      <c r="L84" s="7" t="s">
        <v>7189</v>
      </c>
      <c r="M84" s="8" t="s">
        <v>889</v>
      </c>
      <c r="N84" s="8" t="s">
        <v>6870</v>
      </c>
      <c r="O84" s="7" t="n">
        <f aca="false">COUNTIF('Mapa de Marcas'!$C:$C,"Piscinas")</f>
        <v>13</v>
      </c>
    </row>
    <row r="85" customFormat="false" ht="57.45" hidden="false" customHeight="false" outlineLevel="0" collapsed="false">
      <c r="A85" s="7" t="s">
        <v>7190</v>
      </c>
      <c r="B85" s="7" t="s">
        <v>91</v>
      </c>
      <c r="C85" s="7" t="s">
        <v>91</v>
      </c>
      <c r="D85" s="7" t="s">
        <v>5617</v>
      </c>
      <c r="E85" s="7" t="s">
        <v>7191</v>
      </c>
      <c r="F85" s="7" t="s">
        <v>5621</v>
      </c>
      <c r="G85" s="7" t="s">
        <v>1182</v>
      </c>
      <c r="H85" s="7" t="s">
        <v>79</v>
      </c>
      <c r="I85" s="7" t="s">
        <v>928</v>
      </c>
      <c r="J85" s="8" t="s">
        <v>7192</v>
      </c>
      <c r="K85" s="7" t="s">
        <v>1009</v>
      </c>
      <c r="L85" s="7" t="s">
        <v>7193</v>
      </c>
      <c r="M85" s="8" t="s">
        <v>7194</v>
      </c>
      <c r="N85" s="8" t="s">
        <v>6865</v>
      </c>
      <c r="O85" s="7" t="n">
        <f aca="false">COUNTIF('Mapa de Marcas'!$C:$C,"Sistemas construtivos")</f>
        <v>134</v>
      </c>
    </row>
    <row r="86" customFormat="false" ht="57.45" hidden="false" customHeight="false" outlineLevel="0" collapsed="false">
      <c r="A86" s="7" t="s">
        <v>7195</v>
      </c>
      <c r="B86" s="7" t="s">
        <v>91</v>
      </c>
      <c r="C86" s="7" t="s">
        <v>91</v>
      </c>
      <c r="D86" s="7" t="s">
        <v>5617</v>
      </c>
      <c r="E86" s="7" t="s">
        <v>7196</v>
      </c>
      <c r="F86" s="7" t="s">
        <v>5626</v>
      </c>
      <c r="G86" s="7" t="s">
        <v>1903</v>
      </c>
      <c r="H86" s="7" t="s">
        <v>182</v>
      </c>
      <c r="I86" s="7" t="s">
        <v>943</v>
      </c>
      <c r="J86" s="8" t="s">
        <v>7197</v>
      </c>
      <c r="K86" s="7" t="s">
        <v>1016</v>
      </c>
      <c r="L86" s="7" t="s">
        <v>7198</v>
      </c>
      <c r="M86" s="8" t="s">
        <v>7194</v>
      </c>
      <c r="N86" s="8" t="s">
        <v>6870</v>
      </c>
      <c r="O86" s="7" t="n">
        <f aca="false">COUNTIF('Mapa de Marcas'!$C:$C,"Sistemas construtivos")</f>
        <v>134</v>
      </c>
    </row>
    <row r="87" customFormat="false" ht="57.45" hidden="false" customHeight="false" outlineLevel="0" collapsed="false">
      <c r="A87" s="7" t="s">
        <v>7199</v>
      </c>
      <c r="B87" s="7" t="s">
        <v>91</v>
      </c>
      <c r="C87" s="7" t="s">
        <v>91</v>
      </c>
      <c r="D87" s="7" t="s">
        <v>5617</v>
      </c>
      <c r="E87" s="7" t="s">
        <v>7200</v>
      </c>
      <c r="F87" s="7" t="s">
        <v>5631</v>
      </c>
      <c r="G87" s="7" t="s">
        <v>2195</v>
      </c>
      <c r="H87" s="7" t="s">
        <v>182</v>
      </c>
      <c r="I87" s="7" t="s">
        <v>1029</v>
      </c>
      <c r="J87" s="8" t="s">
        <v>7201</v>
      </c>
      <c r="K87" s="7" t="s">
        <v>1016</v>
      </c>
      <c r="L87" s="7" t="s">
        <v>7202</v>
      </c>
      <c r="M87" s="8" t="s">
        <v>7194</v>
      </c>
      <c r="N87" s="8" t="s">
        <v>6870</v>
      </c>
      <c r="O87" s="7" t="n">
        <f aca="false">COUNTIF('Mapa de Marcas'!$C:$C,"Sistemas construtivos")</f>
        <v>134</v>
      </c>
    </row>
    <row r="88" customFormat="false" ht="57.45" hidden="false" customHeight="false" outlineLevel="0" collapsed="false">
      <c r="A88" s="7" t="s">
        <v>7203</v>
      </c>
      <c r="B88" s="7" t="s">
        <v>91</v>
      </c>
      <c r="C88" s="7" t="s">
        <v>91</v>
      </c>
      <c r="D88" s="7" t="s">
        <v>5617</v>
      </c>
      <c r="E88" s="7" t="s">
        <v>7204</v>
      </c>
      <c r="F88" s="7" t="s">
        <v>5636</v>
      </c>
      <c r="G88" s="7" t="s">
        <v>2239</v>
      </c>
      <c r="H88" s="7" t="s">
        <v>231</v>
      </c>
      <c r="I88" s="7" t="s">
        <v>943</v>
      </c>
      <c r="J88" s="8" t="s">
        <v>7205</v>
      </c>
      <c r="K88" s="7" t="s">
        <v>1016</v>
      </c>
      <c r="L88" s="7" t="s">
        <v>7206</v>
      </c>
      <c r="M88" s="8" t="s">
        <v>7194</v>
      </c>
      <c r="N88" s="8" t="s">
        <v>6870</v>
      </c>
      <c r="O88" s="7" t="n">
        <f aca="false">COUNTIF('Mapa de Marcas'!$C:$C,"Sistemas construtivos")</f>
        <v>134</v>
      </c>
    </row>
    <row r="89" customFormat="false" ht="57.45" hidden="false" customHeight="false" outlineLevel="0" collapsed="false">
      <c r="A89" s="7" t="s">
        <v>7207</v>
      </c>
      <c r="B89" s="7" t="s">
        <v>91</v>
      </c>
      <c r="C89" s="7" t="s">
        <v>91</v>
      </c>
      <c r="D89" s="7" t="s">
        <v>5617</v>
      </c>
      <c r="E89" s="7" t="s">
        <v>7208</v>
      </c>
      <c r="F89" s="7" t="s">
        <v>5641</v>
      </c>
      <c r="G89" s="7" t="s">
        <v>1523</v>
      </c>
      <c r="H89" s="7" t="s">
        <v>142</v>
      </c>
      <c r="I89" s="7" t="s">
        <v>928</v>
      </c>
      <c r="J89" s="8" t="s">
        <v>7209</v>
      </c>
      <c r="K89" s="7" t="s">
        <v>1016</v>
      </c>
      <c r="L89" s="7" t="s">
        <v>7210</v>
      </c>
      <c r="M89" s="8" t="s">
        <v>7194</v>
      </c>
      <c r="N89" s="8" t="s">
        <v>6870</v>
      </c>
      <c r="O89" s="7" t="n">
        <f aca="false">COUNTIF('Mapa de Marcas'!$C:$C,"Sistemas construtivos")</f>
        <v>134</v>
      </c>
    </row>
    <row r="90" customFormat="false" ht="57.45" hidden="false" customHeight="false" outlineLevel="0" collapsed="false">
      <c r="A90" s="7" t="s">
        <v>7211</v>
      </c>
      <c r="B90" s="7" t="s">
        <v>91</v>
      </c>
      <c r="C90" s="7" t="s">
        <v>91</v>
      </c>
      <c r="D90" s="7" t="s">
        <v>5617</v>
      </c>
      <c r="E90" s="7" t="s">
        <v>7212</v>
      </c>
      <c r="F90" s="7" t="s">
        <v>5646</v>
      </c>
      <c r="G90" s="7" t="s">
        <v>2231</v>
      </c>
      <c r="H90" s="7" t="s">
        <v>182</v>
      </c>
      <c r="I90" s="7" t="s">
        <v>1029</v>
      </c>
      <c r="J90" s="8" t="s">
        <v>7213</v>
      </c>
      <c r="K90" s="7" t="s">
        <v>720</v>
      </c>
      <c r="L90" s="7" t="s">
        <v>7214</v>
      </c>
      <c r="M90" s="8" t="s">
        <v>7194</v>
      </c>
      <c r="N90" s="8" t="s">
        <v>7215</v>
      </c>
      <c r="O90" s="7" t="n">
        <f aca="false">COUNTIF('Mapa de Marcas'!$C:$C,"Sistemas construtivos")</f>
        <v>134</v>
      </c>
    </row>
    <row r="91" customFormat="false" ht="35.05" hidden="false" customHeight="false" outlineLevel="0" collapsed="false">
      <c r="A91" s="7" t="s">
        <v>7216</v>
      </c>
      <c r="B91" s="7" t="s">
        <v>91</v>
      </c>
      <c r="C91" s="7" t="s">
        <v>91</v>
      </c>
      <c r="D91" s="7" t="s">
        <v>5617</v>
      </c>
      <c r="E91" s="7" t="s">
        <v>7217</v>
      </c>
      <c r="F91" s="7" t="s">
        <v>5875</v>
      </c>
      <c r="G91" s="7" t="s">
        <v>1182</v>
      </c>
      <c r="H91" s="7" t="s">
        <v>79</v>
      </c>
      <c r="I91" s="7" t="s">
        <v>928</v>
      </c>
      <c r="J91" s="8" t="s">
        <v>7218</v>
      </c>
      <c r="K91" s="7" t="s">
        <v>1009</v>
      </c>
      <c r="L91" s="7" t="s">
        <v>7219</v>
      </c>
      <c r="M91" s="8" t="s">
        <v>7220</v>
      </c>
      <c r="N91" s="8" t="s">
        <v>6865</v>
      </c>
      <c r="O91" s="7" t="n">
        <f aca="false">COUNTIF('Mapa de Marcas'!$C:$C,"Sistemas construtivos")</f>
        <v>134</v>
      </c>
    </row>
    <row r="92" customFormat="false" ht="23.85" hidden="false" customHeight="false" outlineLevel="0" collapsed="false">
      <c r="A92" s="7" t="s">
        <v>7221</v>
      </c>
      <c r="B92" s="7" t="s">
        <v>91</v>
      </c>
      <c r="C92" s="7" t="s">
        <v>91</v>
      </c>
      <c r="D92" s="7" t="s">
        <v>5617</v>
      </c>
      <c r="E92" s="7" t="s">
        <v>7222</v>
      </c>
      <c r="F92" s="7" t="s">
        <v>5879</v>
      </c>
      <c r="G92" s="7" t="s">
        <v>1903</v>
      </c>
      <c r="H92" s="7" t="s">
        <v>182</v>
      </c>
      <c r="I92" s="7" t="s">
        <v>943</v>
      </c>
      <c r="J92" s="8" t="s">
        <v>7223</v>
      </c>
      <c r="K92" s="7" t="s">
        <v>1016</v>
      </c>
      <c r="L92" s="7" t="s">
        <v>7198</v>
      </c>
      <c r="M92" s="8" t="s">
        <v>7220</v>
      </c>
      <c r="N92" s="8" t="s">
        <v>6870</v>
      </c>
      <c r="O92" s="7" t="n">
        <f aca="false">COUNTIF('Mapa de Marcas'!$C:$C,"Sistemas construtivos")</f>
        <v>134</v>
      </c>
    </row>
    <row r="93" customFormat="false" ht="23.85" hidden="false" customHeight="false" outlineLevel="0" collapsed="false">
      <c r="A93" s="7" t="s">
        <v>7224</v>
      </c>
      <c r="B93" s="7" t="s">
        <v>91</v>
      </c>
      <c r="C93" s="7" t="s">
        <v>91</v>
      </c>
      <c r="D93" s="7" t="s">
        <v>5617</v>
      </c>
      <c r="E93" s="7" t="s">
        <v>7200</v>
      </c>
      <c r="F93" s="7" t="s">
        <v>5883</v>
      </c>
      <c r="G93" s="7" t="s">
        <v>2195</v>
      </c>
      <c r="H93" s="7" t="s">
        <v>182</v>
      </c>
      <c r="I93" s="7" t="s">
        <v>1029</v>
      </c>
      <c r="J93" s="8" t="s">
        <v>7225</v>
      </c>
      <c r="K93" s="7" t="s">
        <v>1016</v>
      </c>
      <c r="L93" s="7" t="s">
        <v>7202</v>
      </c>
      <c r="M93" s="8" t="s">
        <v>7220</v>
      </c>
      <c r="N93" s="8" t="s">
        <v>6870</v>
      </c>
      <c r="O93" s="7" t="n">
        <f aca="false">COUNTIF('Mapa de Marcas'!$C:$C,"Sistemas construtivos")</f>
        <v>134</v>
      </c>
    </row>
    <row r="94" customFormat="false" ht="23.85" hidden="false" customHeight="false" outlineLevel="0" collapsed="false">
      <c r="A94" s="7" t="s">
        <v>7226</v>
      </c>
      <c r="B94" s="7" t="s">
        <v>91</v>
      </c>
      <c r="C94" s="7" t="s">
        <v>91</v>
      </c>
      <c r="D94" s="7" t="s">
        <v>5617</v>
      </c>
      <c r="E94" s="7" t="s">
        <v>7204</v>
      </c>
      <c r="F94" s="7" t="s">
        <v>5887</v>
      </c>
      <c r="G94" s="7" t="s">
        <v>2311</v>
      </c>
      <c r="H94" s="7" t="s">
        <v>231</v>
      </c>
      <c r="I94" s="7" t="s">
        <v>943</v>
      </c>
      <c r="J94" s="8" t="s">
        <v>7227</v>
      </c>
      <c r="K94" s="7" t="s">
        <v>1016</v>
      </c>
      <c r="L94" s="7" t="s">
        <v>7206</v>
      </c>
      <c r="M94" s="8" t="s">
        <v>7220</v>
      </c>
      <c r="N94" s="8" t="s">
        <v>6870</v>
      </c>
      <c r="O94" s="7" t="n">
        <f aca="false">COUNTIF('Mapa de Marcas'!$C:$C,"Sistemas construtivos")</f>
        <v>134</v>
      </c>
    </row>
    <row r="95" customFormat="false" ht="23.85" hidden="false" customHeight="false" outlineLevel="0" collapsed="false">
      <c r="A95" s="7" t="s">
        <v>7228</v>
      </c>
      <c r="B95" s="7" t="s">
        <v>91</v>
      </c>
      <c r="C95" s="7" t="s">
        <v>91</v>
      </c>
      <c r="D95" s="7" t="s">
        <v>5617</v>
      </c>
      <c r="E95" s="7" t="s">
        <v>7212</v>
      </c>
      <c r="F95" s="7" t="s">
        <v>5892</v>
      </c>
      <c r="G95" s="7" t="s">
        <v>2231</v>
      </c>
      <c r="H95" s="7" t="s">
        <v>182</v>
      </c>
      <c r="I95" s="7" t="s">
        <v>1029</v>
      </c>
      <c r="J95" s="8" t="s">
        <v>7229</v>
      </c>
      <c r="K95" s="7" t="s">
        <v>720</v>
      </c>
      <c r="L95" s="7" t="s">
        <v>7214</v>
      </c>
      <c r="M95" s="8" t="s">
        <v>7220</v>
      </c>
      <c r="N95" s="8" t="s">
        <v>7215</v>
      </c>
      <c r="O95" s="7" t="n">
        <f aca="false">COUNTIF('Mapa de Marcas'!$C:$C,"Sistemas construtivos")</f>
        <v>134</v>
      </c>
    </row>
    <row r="96" customFormat="false" ht="68.65" hidden="false" customHeight="false" outlineLevel="0" collapsed="false">
      <c r="A96" s="7" t="s">
        <v>7230</v>
      </c>
      <c r="B96" s="7" t="s">
        <v>6157</v>
      </c>
      <c r="C96" s="7" t="s">
        <v>7231</v>
      </c>
      <c r="D96" s="7" t="s">
        <v>3915</v>
      </c>
      <c r="E96" s="7" t="s">
        <v>7232</v>
      </c>
      <c r="F96" s="7" t="s">
        <v>6158</v>
      </c>
      <c r="G96" s="7" t="s">
        <v>2369</v>
      </c>
      <c r="H96" s="7" t="s">
        <v>231</v>
      </c>
      <c r="I96" s="7" t="s">
        <v>943</v>
      </c>
      <c r="J96" s="8" t="s">
        <v>7233</v>
      </c>
      <c r="K96" s="7" t="s">
        <v>483</v>
      </c>
      <c r="L96" s="7" t="s">
        <v>7234</v>
      </c>
      <c r="M96" s="8" t="s">
        <v>7235</v>
      </c>
      <c r="N96" s="8" t="s">
        <v>7236</v>
      </c>
      <c r="O96" s="7" t="n">
        <f aca="false">COUNTIF('Mapa de Marcas'!$C:$C,"Seguradoras")</f>
        <v>25</v>
      </c>
    </row>
    <row r="97" customFormat="false" ht="35.05" hidden="false" customHeight="false" outlineLevel="0" collapsed="false">
      <c r="A97" s="7" t="s">
        <v>7237</v>
      </c>
      <c r="B97" s="7" t="s">
        <v>6157</v>
      </c>
      <c r="C97" s="7" t="s">
        <v>7231</v>
      </c>
      <c r="D97" s="7" t="s">
        <v>3915</v>
      </c>
      <c r="E97" s="7" t="s">
        <v>7238</v>
      </c>
      <c r="F97" s="7" t="s">
        <v>6273</v>
      </c>
      <c r="G97" s="7" t="s">
        <v>2369</v>
      </c>
      <c r="H97" s="7" t="s">
        <v>231</v>
      </c>
      <c r="I97" s="7" t="s">
        <v>943</v>
      </c>
      <c r="J97" s="8" t="s">
        <v>7239</v>
      </c>
      <c r="K97" s="7" t="s">
        <v>1021</v>
      </c>
      <c r="L97" s="7" t="s">
        <v>7240</v>
      </c>
      <c r="M97" s="8" t="s">
        <v>7241</v>
      </c>
      <c r="N97" s="8" t="s">
        <v>6870</v>
      </c>
      <c r="O97" s="7" t="n">
        <f aca="false">COUNTIF('Mapa de Marcas'!$C:$C,"Seguradoras")</f>
        <v>25</v>
      </c>
    </row>
    <row r="98" customFormat="false" ht="23.85" hidden="false" customHeight="false" outlineLevel="0" collapsed="false">
      <c r="A98" s="7" t="s">
        <v>7242</v>
      </c>
      <c r="B98" s="7" t="s">
        <v>6284</v>
      </c>
      <c r="C98" s="7" t="s">
        <v>7231</v>
      </c>
      <c r="D98" s="7" t="s">
        <v>6287</v>
      </c>
      <c r="E98" s="7" t="s">
        <v>7243</v>
      </c>
      <c r="F98" s="7" t="s">
        <v>6286</v>
      </c>
      <c r="G98" s="7" t="s">
        <v>2369</v>
      </c>
      <c r="H98" s="7" t="s">
        <v>231</v>
      </c>
      <c r="I98" s="7" t="s">
        <v>943</v>
      </c>
      <c r="J98" s="8" t="s">
        <v>7244</v>
      </c>
      <c r="K98" s="7" t="s">
        <v>720</v>
      </c>
      <c r="L98" s="7" t="s">
        <v>7245</v>
      </c>
      <c r="M98" s="8" t="s">
        <v>7246</v>
      </c>
      <c r="N98" s="8" t="s">
        <v>6870</v>
      </c>
      <c r="O98" s="7" t="n">
        <f aca="false">COUNTIF('Mapa de Marcas'!$C:$C,"Reguladoras de sinistro")</f>
        <v>3</v>
      </c>
    </row>
    <row r="99" customFormat="false" ht="23.85" hidden="false" customHeight="false" outlineLevel="0" collapsed="false">
      <c r="A99" s="7" t="s">
        <v>7247</v>
      </c>
      <c r="B99" s="7" t="s">
        <v>6303</v>
      </c>
      <c r="C99" s="7" t="s">
        <v>7231</v>
      </c>
      <c r="D99" s="7" t="s">
        <v>6306</v>
      </c>
      <c r="E99" s="7" t="s">
        <v>7248</v>
      </c>
      <c r="F99" s="7" t="s">
        <v>6305</v>
      </c>
      <c r="G99" s="7" t="s">
        <v>2369</v>
      </c>
      <c r="H99" s="7" t="s">
        <v>231</v>
      </c>
      <c r="I99" s="7" t="s">
        <v>1029</v>
      </c>
      <c r="J99" s="8" t="s">
        <v>7249</v>
      </c>
      <c r="K99" s="7" t="s">
        <v>720</v>
      </c>
      <c r="L99" s="7" t="s">
        <v>7250</v>
      </c>
      <c r="M99" s="8" t="s">
        <v>7251</v>
      </c>
      <c r="N99" s="8" t="s">
        <v>6870</v>
      </c>
      <c r="O99" s="7" t="n">
        <f aca="false">COUNTIF('Mapa de Marcas'!$C:$C,"Assistências residenciais")</f>
        <v>2</v>
      </c>
    </row>
    <row r="100" customFormat="false" ht="46.25" hidden="false" customHeight="false" outlineLevel="0" collapsed="false">
      <c r="A100" s="7" t="s">
        <v>7252</v>
      </c>
      <c r="B100" s="7" t="s">
        <v>6316</v>
      </c>
      <c r="C100" s="7" t="s">
        <v>7231</v>
      </c>
      <c r="D100" s="7" t="s">
        <v>3937</v>
      </c>
      <c r="E100" s="7" t="s">
        <v>7253</v>
      </c>
      <c r="F100" s="7" t="s">
        <v>6317</v>
      </c>
      <c r="G100" s="7" t="s">
        <v>2695</v>
      </c>
      <c r="H100" s="7" t="s">
        <v>291</v>
      </c>
      <c r="I100" s="7" t="s">
        <v>943</v>
      </c>
      <c r="J100" s="8" t="s">
        <v>7254</v>
      </c>
      <c r="K100" s="7" t="s">
        <v>483</v>
      </c>
      <c r="L100" s="7" t="s">
        <v>7255</v>
      </c>
      <c r="M100" s="8" t="s">
        <v>7256</v>
      </c>
      <c r="N100" s="8" t="s">
        <v>7236</v>
      </c>
      <c r="O100" s="7" t="n">
        <f aca="false">COUNTIF('Mapa de Marcas'!$C:$C,"Bancos e financeiras")</f>
        <v>17</v>
      </c>
    </row>
    <row r="101" customFormat="false" ht="23.85" hidden="false" customHeight="false" outlineLevel="0" collapsed="false">
      <c r="A101" s="7" t="s">
        <v>7257</v>
      </c>
      <c r="B101" s="7" t="s">
        <v>6316</v>
      </c>
      <c r="C101" s="7" t="s">
        <v>7231</v>
      </c>
      <c r="D101" s="7" t="s">
        <v>3937</v>
      </c>
      <c r="E101" s="7" t="s">
        <v>7258</v>
      </c>
      <c r="F101" s="7" t="s">
        <v>6372</v>
      </c>
      <c r="G101" s="7" t="s">
        <v>2767</v>
      </c>
      <c r="H101" s="7" t="s">
        <v>309</v>
      </c>
      <c r="I101" s="7" t="s">
        <v>943</v>
      </c>
      <c r="J101" s="8" t="s">
        <v>7259</v>
      </c>
      <c r="K101" s="7" t="s">
        <v>1021</v>
      </c>
      <c r="L101" s="7" t="s">
        <v>7260</v>
      </c>
      <c r="M101" s="8" t="s">
        <v>7261</v>
      </c>
      <c r="N101" s="8" t="s">
        <v>6870</v>
      </c>
      <c r="O101" s="7" t="n">
        <f aca="false">COUNTIF('Mapa de Marcas'!$C:$C,"Bancos e financeiras")</f>
        <v>17</v>
      </c>
    </row>
    <row r="102" customFormat="false" ht="68.65" hidden="false" customHeight="false" outlineLevel="0" collapsed="false">
      <c r="A102" s="7" t="s">
        <v>7262</v>
      </c>
      <c r="B102" s="7" t="s">
        <v>6400</v>
      </c>
      <c r="C102" s="7" t="s">
        <v>7231</v>
      </c>
      <c r="D102" s="7" t="s">
        <v>6403</v>
      </c>
      <c r="E102" s="7" t="s">
        <v>7263</v>
      </c>
      <c r="F102" s="7" t="s">
        <v>6402</v>
      </c>
      <c r="G102" s="7" t="s">
        <v>2441</v>
      </c>
      <c r="H102" s="7" t="s">
        <v>265</v>
      </c>
      <c r="I102" s="7" t="s">
        <v>943</v>
      </c>
      <c r="J102" s="8" t="s">
        <v>7264</v>
      </c>
      <c r="K102" s="7" t="s">
        <v>483</v>
      </c>
      <c r="L102" s="7" t="s">
        <v>7265</v>
      </c>
      <c r="M102" s="8" t="s">
        <v>7266</v>
      </c>
      <c r="N102" s="8" t="s">
        <v>7236</v>
      </c>
      <c r="O102" s="7" t="n">
        <f aca="false">COUNTIF('Mapa de Marcas'!$C:$C,"Construtoras e incorporadoras")</f>
        <v>28</v>
      </c>
    </row>
    <row r="103" customFormat="false" ht="35.05" hidden="false" customHeight="false" outlineLevel="0" collapsed="false">
      <c r="A103" s="7" t="s">
        <v>7267</v>
      </c>
      <c r="B103" s="7" t="s">
        <v>6400</v>
      </c>
      <c r="C103" s="7" t="s">
        <v>7231</v>
      </c>
      <c r="D103" s="7" t="s">
        <v>6403</v>
      </c>
      <c r="E103" s="7" t="s">
        <v>7268</v>
      </c>
      <c r="F103" s="7" t="s">
        <v>6513</v>
      </c>
      <c r="G103" s="7" t="s">
        <v>1536</v>
      </c>
      <c r="H103" s="7" t="s">
        <v>142</v>
      </c>
      <c r="I103" s="7" t="s">
        <v>928</v>
      </c>
      <c r="J103" s="8" t="s">
        <v>7269</v>
      </c>
      <c r="K103" s="7" t="s">
        <v>720</v>
      </c>
      <c r="L103" s="7" t="s">
        <v>7270</v>
      </c>
      <c r="M103" s="8" t="s">
        <v>7271</v>
      </c>
      <c r="N103" s="8" t="s">
        <v>6870</v>
      </c>
      <c r="O103" s="7" t="n">
        <f aca="false">COUNTIF('Mapa de Marcas'!$C:$C,"Construtoras e incorporadoras")</f>
        <v>28</v>
      </c>
    </row>
    <row r="104" customFormat="false" ht="23.85" hidden="false" customHeight="false" outlineLevel="0" collapsed="false">
      <c r="A104" s="7" t="s">
        <v>7272</v>
      </c>
      <c r="B104" s="7" t="s">
        <v>6539</v>
      </c>
      <c r="C104" s="7" t="s">
        <v>7231</v>
      </c>
      <c r="D104" s="7" t="s">
        <v>6542</v>
      </c>
      <c r="E104" s="7" t="s">
        <v>7273</v>
      </c>
      <c r="F104" s="7" t="s">
        <v>6541</v>
      </c>
      <c r="G104" s="7" t="s">
        <v>1523</v>
      </c>
      <c r="H104" s="7" t="s">
        <v>142</v>
      </c>
      <c r="I104" s="7" t="s">
        <v>921</v>
      </c>
      <c r="J104" s="8" t="s">
        <v>7274</v>
      </c>
      <c r="K104" s="7" t="s">
        <v>1044</v>
      </c>
      <c r="L104" s="7" t="s">
        <v>1049</v>
      </c>
      <c r="M104" s="8" t="s">
        <v>7275</v>
      </c>
      <c r="N104" s="8" t="s">
        <v>7276</v>
      </c>
      <c r="O104" s="7" t="n">
        <f aca="false">COUNTIF('Mapa de Marcas'!$C:$C,"Lojas e home centers")</f>
        <v>5</v>
      </c>
    </row>
    <row r="105" customFormat="false" ht="23.85" hidden="false" customHeight="false" outlineLevel="0" collapsed="false">
      <c r="A105" s="7" t="s">
        <v>7277</v>
      </c>
      <c r="B105" s="7" t="s">
        <v>6563</v>
      </c>
      <c r="C105" s="7" t="s">
        <v>7231</v>
      </c>
      <c r="D105" s="7" t="s">
        <v>6566</v>
      </c>
      <c r="E105" s="7" t="s">
        <v>7278</v>
      </c>
      <c r="F105" s="7" t="s">
        <v>6565</v>
      </c>
      <c r="G105" s="7" t="s">
        <v>1965</v>
      </c>
      <c r="H105" s="7" t="s">
        <v>182</v>
      </c>
      <c r="I105" s="7" t="s">
        <v>943</v>
      </c>
      <c r="J105" s="8" t="s">
        <v>7279</v>
      </c>
      <c r="K105" s="7" t="s">
        <v>483</v>
      </c>
      <c r="L105" s="7" t="s">
        <v>7280</v>
      </c>
      <c r="M105" s="8" t="s">
        <v>6562</v>
      </c>
      <c r="N105" s="8" t="s">
        <v>7236</v>
      </c>
      <c r="O105" s="7" t="n">
        <f aca="false">COUNTIF('Mapa de Marcas'!$C:$C,"Concessionárias")</f>
        <v>6</v>
      </c>
    </row>
    <row r="106" customFormat="false" ht="23.85" hidden="false" customHeight="false" outlineLevel="0" collapsed="false">
      <c r="A106" s="7" t="s">
        <v>7281</v>
      </c>
      <c r="B106" s="7" t="s">
        <v>6563</v>
      </c>
      <c r="C106" s="7" t="s">
        <v>7231</v>
      </c>
      <c r="D106" s="7" t="s">
        <v>6566</v>
      </c>
      <c r="E106" s="7" t="s">
        <v>7282</v>
      </c>
      <c r="F106" s="7" t="s">
        <v>6570</v>
      </c>
      <c r="G106" s="7" t="s">
        <v>3486</v>
      </c>
      <c r="H106" s="7" t="s">
        <v>445</v>
      </c>
      <c r="I106" s="7" t="s">
        <v>943</v>
      </c>
      <c r="J106" s="8" t="s">
        <v>7283</v>
      </c>
      <c r="K106" s="7" t="s">
        <v>483</v>
      </c>
      <c r="L106" s="7" t="s">
        <v>7284</v>
      </c>
      <c r="M106" s="8" t="s">
        <v>6562</v>
      </c>
      <c r="N106" s="8" t="s">
        <v>7236</v>
      </c>
      <c r="O106" s="7" t="n">
        <f aca="false">COUNTIF('Mapa de Marcas'!$C:$C,"Concessionárias")</f>
        <v>6</v>
      </c>
    </row>
    <row r="107" customFormat="false" ht="23.85" hidden="false" customHeight="false" outlineLevel="0" collapsed="false">
      <c r="A107" s="7" t="s">
        <v>7285</v>
      </c>
      <c r="B107" s="7" t="s">
        <v>6563</v>
      </c>
      <c r="C107" s="7" t="s">
        <v>7231</v>
      </c>
      <c r="D107" s="7" t="s">
        <v>6566</v>
      </c>
      <c r="E107" s="7" t="s">
        <v>7286</v>
      </c>
      <c r="F107" s="7" t="s">
        <v>6575</v>
      </c>
      <c r="G107" s="7" t="s">
        <v>2008</v>
      </c>
      <c r="H107" s="7" t="s">
        <v>182</v>
      </c>
      <c r="I107" s="7" t="s">
        <v>943</v>
      </c>
      <c r="J107" s="8" t="s">
        <v>7287</v>
      </c>
      <c r="K107" s="7" t="s">
        <v>483</v>
      </c>
      <c r="L107" s="7" t="s">
        <v>7288</v>
      </c>
      <c r="M107" s="8" t="s">
        <v>7289</v>
      </c>
      <c r="N107" s="8" t="s">
        <v>7236</v>
      </c>
      <c r="O107" s="7" t="n">
        <f aca="false">COUNTIF('Mapa de Marcas'!$C:$C,"Concessionárias")</f>
        <v>6</v>
      </c>
    </row>
    <row r="108" customFormat="false" ht="23.85" hidden="false" customHeight="false" outlineLevel="0" collapsed="false">
      <c r="A108" s="7" t="s">
        <v>7290</v>
      </c>
      <c r="B108" s="7" t="s">
        <v>6563</v>
      </c>
      <c r="C108" s="7" t="s">
        <v>7231</v>
      </c>
      <c r="D108" s="7" t="s">
        <v>6566</v>
      </c>
      <c r="E108" s="7" t="s">
        <v>7291</v>
      </c>
      <c r="F108" s="7" t="s">
        <v>6591</v>
      </c>
      <c r="G108" s="7" t="s">
        <v>2049</v>
      </c>
      <c r="H108" s="7" t="s">
        <v>182</v>
      </c>
      <c r="I108" s="7" t="s">
        <v>943</v>
      </c>
      <c r="J108" s="8" t="s">
        <v>7292</v>
      </c>
      <c r="K108" s="7" t="s">
        <v>483</v>
      </c>
      <c r="L108" s="7" t="s">
        <v>7293</v>
      </c>
      <c r="M108" s="8" t="s">
        <v>6590</v>
      </c>
      <c r="N108" s="8" t="s">
        <v>7236</v>
      </c>
      <c r="O108" s="7" t="n">
        <f aca="false">COUNTIF('Mapa de Marcas'!$C:$C,"Concessionárias")</f>
        <v>6</v>
      </c>
    </row>
    <row r="109" customFormat="false" ht="46.25" hidden="false" customHeight="false" outlineLevel="0" collapsed="false">
      <c r="A109" s="7" t="s">
        <v>7294</v>
      </c>
      <c r="B109" s="7" t="s">
        <v>6596</v>
      </c>
      <c r="C109" s="7" t="s">
        <v>7231</v>
      </c>
      <c r="D109" s="7" t="s">
        <v>6599</v>
      </c>
      <c r="E109" s="7" t="s">
        <v>7295</v>
      </c>
      <c r="F109" s="7" t="s">
        <v>6598</v>
      </c>
      <c r="G109" s="7" t="s">
        <v>3200</v>
      </c>
      <c r="H109" s="7" t="s">
        <v>400</v>
      </c>
      <c r="I109" s="7" t="s">
        <v>943</v>
      </c>
      <c r="J109" s="8" t="s">
        <v>7296</v>
      </c>
      <c r="K109" s="7" t="s">
        <v>965</v>
      </c>
      <c r="L109" s="7" t="s">
        <v>7297</v>
      </c>
      <c r="M109" s="8" t="s">
        <v>7298</v>
      </c>
      <c r="N109" s="8" t="s">
        <v>7299</v>
      </c>
      <c r="O109" s="7" t="n">
        <f aca="false">COUNTIF('Mapa de Marcas'!$C:$C,"Órgãos públicos")</f>
        <v>25</v>
      </c>
    </row>
    <row r="110" customFormat="false" ht="23.85" hidden="false" customHeight="false" outlineLevel="0" collapsed="false">
      <c r="A110" s="7" t="s">
        <v>7300</v>
      </c>
      <c r="B110" s="7" t="s">
        <v>6596</v>
      </c>
      <c r="C110" s="7" t="s">
        <v>7231</v>
      </c>
      <c r="D110" s="7" t="s">
        <v>6599</v>
      </c>
      <c r="E110" s="7" t="s">
        <v>7301</v>
      </c>
      <c r="F110" s="7" t="s">
        <v>6639</v>
      </c>
      <c r="G110" s="7" t="s">
        <v>3209</v>
      </c>
      <c r="H110" s="7" t="s">
        <v>400</v>
      </c>
      <c r="I110" s="7" t="s">
        <v>943</v>
      </c>
      <c r="J110" s="8" t="s">
        <v>7302</v>
      </c>
      <c r="K110" s="7" t="s">
        <v>965</v>
      </c>
      <c r="L110" s="7" t="s">
        <v>7303</v>
      </c>
      <c r="M110" s="8" t="s">
        <v>7304</v>
      </c>
      <c r="N110" s="8" t="s">
        <v>7299</v>
      </c>
      <c r="O110" s="7" t="n">
        <f aca="false">COUNTIF('Mapa de Marcas'!$C:$C,"Órgãos públicos")</f>
        <v>25</v>
      </c>
    </row>
    <row r="111" customFormat="false" ht="23.85" hidden="false" customHeight="false" outlineLevel="0" collapsed="false">
      <c r="A111" s="7" t="s">
        <v>7305</v>
      </c>
      <c r="B111" s="7" t="s">
        <v>6596</v>
      </c>
      <c r="C111" s="7" t="s">
        <v>7231</v>
      </c>
      <c r="D111" s="7" t="s">
        <v>6599</v>
      </c>
      <c r="E111" s="7" t="s">
        <v>7306</v>
      </c>
      <c r="F111" s="7" t="s">
        <v>6652</v>
      </c>
      <c r="G111" s="7" t="s">
        <v>3232</v>
      </c>
      <c r="H111" s="7" t="s">
        <v>400</v>
      </c>
      <c r="I111" s="7" t="s">
        <v>943</v>
      </c>
      <c r="J111" s="8" t="s">
        <v>7307</v>
      </c>
      <c r="K111" s="7" t="s">
        <v>483</v>
      </c>
      <c r="L111" s="7" t="s">
        <v>7308</v>
      </c>
      <c r="M111" s="8" t="s">
        <v>6651</v>
      </c>
      <c r="N111" s="8" t="s">
        <v>7236</v>
      </c>
      <c r="O111" s="7" t="n">
        <f aca="false">COUNTIF('Mapa de Marcas'!$C:$C,"Órgãos públicos")</f>
        <v>25</v>
      </c>
    </row>
    <row r="112" customFormat="false" ht="23.85" hidden="false" customHeight="false" outlineLevel="0" collapsed="false">
      <c r="A112" s="7" t="s">
        <v>7309</v>
      </c>
      <c r="B112" s="7" t="s">
        <v>6596</v>
      </c>
      <c r="C112" s="7" t="s">
        <v>7231</v>
      </c>
      <c r="D112" s="7" t="s">
        <v>6599</v>
      </c>
      <c r="E112" s="7" t="s">
        <v>7310</v>
      </c>
      <c r="F112" s="7" t="s">
        <v>6657</v>
      </c>
      <c r="G112" s="7" t="s">
        <v>3247</v>
      </c>
      <c r="H112" s="7" t="s">
        <v>400</v>
      </c>
      <c r="I112" s="7" t="s">
        <v>943</v>
      </c>
      <c r="J112" s="8" t="s">
        <v>7311</v>
      </c>
      <c r="K112" s="7" t="s">
        <v>1021</v>
      </c>
      <c r="L112" s="7" t="s">
        <v>7312</v>
      </c>
      <c r="M112" s="8" t="s">
        <v>7313</v>
      </c>
      <c r="N112" s="8" t="s">
        <v>6870</v>
      </c>
      <c r="O112" s="7" t="n">
        <f aca="false">COUNTIF('Mapa de Marcas'!$C:$C,"Órgãos públicos")</f>
        <v>25</v>
      </c>
    </row>
    <row r="113" customFormat="false" ht="23.85" hidden="false" customHeight="false" outlineLevel="0" collapsed="false">
      <c r="A113" s="7" t="s">
        <v>7314</v>
      </c>
      <c r="B113" s="7" t="s">
        <v>6596</v>
      </c>
      <c r="C113" s="7" t="s">
        <v>7231</v>
      </c>
      <c r="D113" s="7" t="s">
        <v>6599</v>
      </c>
      <c r="E113" s="7" t="s">
        <v>7315</v>
      </c>
      <c r="F113" s="7" t="s">
        <v>6668</v>
      </c>
      <c r="G113" s="7" t="s">
        <v>3250</v>
      </c>
      <c r="H113" s="7" t="s">
        <v>400</v>
      </c>
      <c r="I113" s="7" t="s">
        <v>1029</v>
      </c>
      <c r="J113" s="8" t="s">
        <v>7316</v>
      </c>
      <c r="K113" s="7" t="s">
        <v>720</v>
      </c>
      <c r="L113" s="7" t="s">
        <v>7317</v>
      </c>
      <c r="M113" s="8" t="s">
        <v>6667</v>
      </c>
      <c r="N113" s="8" t="s">
        <v>6870</v>
      </c>
      <c r="O113" s="7" t="n">
        <f aca="false">COUNTIF('Mapa de Marcas'!$C:$C,"Órgãos públicos")</f>
        <v>25</v>
      </c>
    </row>
    <row r="114" customFormat="false" ht="23.85" hidden="false" customHeight="false" outlineLevel="0" collapsed="false">
      <c r="A114" s="7" t="s">
        <v>7318</v>
      </c>
      <c r="B114" s="7" t="s">
        <v>6596</v>
      </c>
      <c r="C114" s="7" t="s">
        <v>7231</v>
      </c>
      <c r="D114" s="7" t="s">
        <v>6599</v>
      </c>
      <c r="E114" s="7" t="s">
        <v>7319</v>
      </c>
      <c r="F114" s="7" t="s">
        <v>6674</v>
      </c>
      <c r="G114" s="7" t="s">
        <v>3152</v>
      </c>
      <c r="H114" s="7" t="s">
        <v>371</v>
      </c>
      <c r="I114" s="7" t="s">
        <v>1029</v>
      </c>
      <c r="J114" s="8" t="s">
        <v>7320</v>
      </c>
      <c r="K114" s="7" t="s">
        <v>720</v>
      </c>
      <c r="L114" s="7" t="s">
        <v>7321</v>
      </c>
      <c r="M114" s="8" t="s">
        <v>6673</v>
      </c>
      <c r="N114" s="8" t="s">
        <v>6870</v>
      </c>
      <c r="O114" s="7" t="n">
        <f aca="false">COUNTIF('Mapa de Marcas'!$C:$C,"Órgãos públicos")</f>
        <v>25</v>
      </c>
    </row>
    <row r="115" customFormat="false" ht="23.85" hidden="false" customHeight="false" outlineLevel="0" collapsed="false">
      <c r="A115" s="7" t="s">
        <v>7322</v>
      </c>
      <c r="B115" s="7" t="s">
        <v>6596</v>
      </c>
      <c r="C115" s="7" t="s">
        <v>7231</v>
      </c>
      <c r="D115" s="7" t="s">
        <v>6599</v>
      </c>
      <c r="E115" s="7" t="s">
        <v>7323</v>
      </c>
      <c r="F115" s="7" t="s">
        <v>6680</v>
      </c>
      <c r="G115" s="7" t="s">
        <v>3221</v>
      </c>
      <c r="H115" s="7" t="s">
        <v>400</v>
      </c>
      <c r="I115" s="7" t="s">
        <v>1029</v>
      </c>
      <c r="J115" s="8" t="s">
        <v>7324</v>
      </c>
      <c r="K115" s="7" t="s">
        <v>720</v>
      </c>
      <c r="L115" s="7" t="s">
        <v>7325</v>
      </c>
      <c r="M115" s="8" t="s">
        <v>6679</v>
      </c>
      <c r="N115" s="8" t="s">
        <v>6870</v>
      </c>
      <c r="O115" s="7" t="n">
        <f aca="false">COUNTIF('Mapa de Marcas'!$C:$C,"Órgãos públicos")</f>
        <v>25</v>
      </c>
    </row>
    <row r="116" customFormat="false" ht="23.85" hidden="false" customHeight="false" outlineLevel="0" collapsed="false">
      <c r="A116" s="7" t="s">
        <v>7326</v>
      </c>
      <c r="B116" s="7" t="s">
        <v>6596</v>
      </c>
      <c r="C116" s="7" t="s">
        <v>7231</v>
      </c>
      <c r="D116" s="7" t="s">
        <v>6599</v>
      </c>
      <c r="E116" s="7" t="s">
        <v>7327</v>
      </c>
      <c r="F116" s="7" t="s">
        <v>6685</v>
      </c>
      <c r="G116" s="7" t="s">
        <v>3224</v>
      </c>
      <c r="H116" s="7" t="s">
        <v>400</v>
      </c>
      <c r="I116" s="7" t="s">
        <v>1029</v>
      </c>
      <c r="J116" s="8" t="s">
        <v>7328</v>
      </c>
      <c r="K116" s="7" t="s">
        <v>720</v>
      </c>
      <c r="L116" s="7" t="s">
        <v>7329</v>
      </c>
      <c r="M116" s="8" t="s">
        <v>6684</v>
      </c>
      <c r="N116" s="8" t="s">
        <v>6870</v>
      </c>
      <c r="O116" s="7" t="n">
        <f aca="false">COUNTIF('Mapa de Marcas'!$C:$C,"Órgãos públicos")</f>
        <v>25</v>
      </c>
    </row>
    <row r="117" customFormat="false" ht="23.85" hidden="false" customHeight="false" outlineLevel="0" collapsed="false">
      <c r="A117" s="7" t="s">
        <v>7330</v>
      </c>
      <c r="B117" s="7" t="s">
        <v>6596</v>
      </c>
      <c r="C117" s="7" t="s">
        <v>7231</v>
      </c>
      <c r="D117" s="7" t="s">
        <v>6599</v>
      </c>
      <c r="E117" s="7" t="s">
        <v>7331</v>
      </c>
      <c r="F117" s="7" t="s">
        <v>6690</v>
      </c>
      <c r="G117" s="7" t="s">
        <v>3238</v>
      </c>
      <c r="H117" s="7" t="s">
        <v>400</v>
      </c>
      <c r="I117" s="7" t="s">
        <v>943</v>
      </c>
      <c r="J117" s="8" t="s">
        <v>7332</v>
      </c>
      <c r="K117" s="7" t="s">
        <v>483</v>
      </c>
      <c r="L117" s="7" t="s">
        <v>7333</v>
      </c>
      <c r="M117" s="8" t="s">
        <v>6689</v>
      </c>
      <c r="N117" s="8" t="s">
        <v>7236</v>
      </c>
      <c r="O117" s="7" t="n">
        <f aca="false">COUNTIF('Mapa de Marcas'!$C:$C,"Órgãos públicos")</f>
        <v>25</v>
      </c>
    </row>
    <row r="118" customFormat="false" ht="23.85" hidden="false" customHeight="false" outlineLevel="0" collapsed="false">
      <c r="A118" s="7" t="s">
        <v>7334</v>
      </c>
      <c r="B118" s="7" t="s">
        <v>6596</v>
      </c>
      <c r="C118" s="7" t="s">
        <v>7231</v>
      </c>
      <c r="D118" s="7" t="s">
        <v>6599</v>
      </c>
      <c r="E118" s="7" t="s">
        <v>7335</v>
      </c>
      <c r="F118" s="7" t="s">
        <v>6695</v>
      </c>
      <c r="G118" s="7" t="s">
        <v>3241</v>
      </c>
      <c r="H118" s="7" t="s">
        <v>400</v>
      </c>
      <c r="I118" s="7" t="s">
        <v>1029</v>
      </c>
      <c r="J118" s="8" t="s">
        <v>7336</v>
      </c>
      <c r="K118" s="7" t="s">
        <v>720</v>
      </c>
      <c r="L118" s="7" t="s">
        <v>7337</v>
      </c>
      <c r="M118" s="8" t="s">
        <v>6694</v>
      </c>
      <c r="N118" s="8" t="s">
        <v>6870</v>
      </c>
      <c r="O118" s="7" t="n">
        <f aca="false">COUNTIF('Mapa de Marcas'!$C:$C,"Órgãos públicos")</f>
        <v>25</v>
      </c>
    </row>
    <row r="119" customFormat="false" ht="23.85" hidden="false" customHeight="false" outlineLevel="0" collapsed="false">
      <c r="A119" s="7" t="s">
        <v>7338</v>
      </c>
      <c r="B119" s="7" t="s">
        <v>6596</v>
      </c>
      <c r="C119" s="7" t="s">
        <v>7231</v>
      </c>
      <c r="D119" s="7" t="s">
        <v>6599</v>
      </c>
      <c r="E119" s="7" t="s">
        <v>7339</v>
      </c>
      <c r="F119" s="7" t="s">
        <v>6700</v>
      </c>
      <c r="G119" s="7" t="s">
        <v>2473</v>
      </c>
      <c r="H119" s="7" t="s">
        <v>231</v>
      </c>
      <c r="I119" s="7" t="s">
        <v>943</v>
      </c>
      <c r="J119" s="8" t="s">
        <v>7340</v>
      </c>
      <c r="K119" s="7" t="s">
        <v>1021</v>
      </c>
      <c r="L119" s="7" t="s">
        <v>7341</v>
      </c>
      <c r="M119" s="8" t="s">
        <v>7342</v>
      </c>
      <c r="N119" s="8" t="s">
        <v>6870</v>
      </c>
      <c r="O119" s="7" t="n">
        <f aca="false">COUNTIF('Mapa de Marcas'!$C:$C,"Órgãos públicos")</f>
        <v>25</v>
      </c>
    </row>
    <row r="120" customFormat="false" ht="23.85" hidden="false" customHeight="false" outlineLevel="0" collapsed="false">
      <c r="A120" s="7" t="s">
        <v>7343</v>
      </c>
      <c r="B120" s="7" t="s">
        <v>6596</v>
      </c>
      <c r="C120" s="7" t="s">
        <v>7231</v>
      </c>
      <c r="D120" s="7" t="s">
        <v>6599</v>
      </c>
      <c r="E120" s="7" t="s">
        <v>7344</v>
      </c>
      <c r="F120" s="7" t="s">
        <v>6711</v>
      </c>
      <c r="G120" s="7" t="s">
        <v>3218</v>
      </c>
      <c r="H120" s="7" t="s">
        <v>400</v>
      </c>
      <c r="I120" s="7" t="s">
        <v>1029</v>
      </c>
      <c r="J120" s="8" t="s">
        <v>7345</v>
      </c>
      <c r="K120" s="7" t="s">
        <v>720</v>
      </c>
      <c r="L120" s="7" t="s">
        <v>7346</v>
      </c>
      <c r="M120" s="8" t="s">
        <v>6710</v>
      </c>
      <c r="N120" s="8" t="s">
        <v>6870</v>
      </c>
      <c r="O120" s="7" t="n">
        <f aca="false">COUNTIF('Mapa de Marcas'!$C:$C,"Órgãos públicos")</f>
        <v>25</v>
      </c>
    </row>
    <row r="121" customFormat="false" ht="23.85" hidden="false" customHeight="false" outlineLevel="0" collapsed="false">
      <c r="A121" s="7" t="s">
        <v>7347</v>
      </c>
      <c r="B121" s="7" t="s">
        <v>6596</v>
      </c>
      <c r="C121" s="7" t="s">
        <v>7231</v>
      </c>
      <c r="D121" s="7" t="s">
        <v>6599</v>
      </c>
      <c r="E121" s="7" t="s">
        <v>7348</v>
      </c>
      <c r="F121" s="7" t="s">
        <v>6717</v>
      </c>
      <c r="G121" s="7" t="s">
        <v>2653</v>
      </c>
      <c r="H121" s="7" t="s">
        <v>291</v>
      </c>
      <c r="I121" s="7" t="s">
        <v>1029</v>
      </c>
      <c r="J121" s="8" t="s">
        <v>7349</v>
      </c>
      <c r="K121" s="7" t="s">
        <v>720</v>
      </c>
      <c r="L121" s="7" t="s">
        <v>7350</v>
      </c>
      <c r="M121" s="8" t="s">
        <v>6716</v>
      </c>
      <c r="N121" s="8" t="s">
        <v>6870</v>
      </c>
      <c r="O121" s="7" t="n">
        <f aca="false">COUNTIF('Mapa de Marcas'!$C:$C,"Órgãos públicos")</f>
        <v>25</v>
      </c>
    </row>
    <row r="122" customFormat="false" ht="23.85" hidden="false" customHeight="false" outlineLevel="0" collapsed="false">
      <c r="A122" s="7" t="s">
        <v>7351</v>
      </c>
      <c r="B122" s="7" t="s">
        <v>6596</v>
      </c>
      <c r="C122" s="7" t="s">
        <v>7231</v>
      </c>
      <c r="D122" s="7" t="s">
        <v>6599</v>
      </c>
      <c r="E122" s="7" t="s">
        <v>7352</v>
      </c>
      <c r="F122" s="7" t="s">
        <v>6723</v>
      </c>
      <c r="G122" s="7" t="s">
        <v>2630</v>
      </c>
      <c r="H122" s="7" t="s">
        <v>291</v>
      </c>
      <c r="I122" s="7" t="s">
        <v>943</v>
      </c>
      <c r="J122" s="8" t="s">
        <v>7353</v>
      </c>
      <c r="K122" s="7" t="s">
        <v>1021</v>
      </c>
      <c r="L122" s="7" t="s">
        <v>7354</v>
      </c>
      <c r="M122" s="8" t="s">
        <v>6722</v>
      </c>
      <c r="N122" s="8" t="s">
        <v>6870</v>
      </c>
      <c r="O122" s="7" t="n">
        <f aca="false">COUNTIF('Mapa de Marcas'!$C:$C,"Órgãos públicos")</f>
        <v>25</v>
      </c>
    </row>
    <row r="123" customFormat="false" ht="35.05" hidden="false" customHeight="false" outlineLevel="0" collapsed="false">
      <c r="A123" s="7" t="s">
        <v>7355</v>
      </c>
      <c r="B123" s="7" t="s">
        <v>6728</v>
      </c>
      <c r="C123" s="7" t="s">
        <v>7231</v>
      </c>
      <c r="D123" s="7" t="s">
        <v>6731</v>
      </c>
      <c r="E123" s="7" t="s">
        <v>7356</v>
      </c>
      <c r="F123" s="7" t="s">
        <v>6730</v>
      </c>
      <c r="G123" s="7" t="s">
        <v>2195</v>
      </c>
      <c r="H123" s="7" t="s">
        <v>182</v>
      </c>
      <c r="I123" s="7" t="s">
        <v>1029</v>
      </c>
      <c r="J123" s="8" t="s">
        <v>7357</v>
      </c>
      <c r="K123" s="7" t="s">
        <v>720</v>
      </c>
      <c r="L123" s="7" t="s">
        <v>7358</v>
      </c>
      <c r="M123" s="8" t="s">
        <v>6727</v>
      </c>
      <c r="N123" s="8" t="s">
        <v>6870</v>
      </c>
      <c r="O123" s="7" t="n">
        <f aca="false">COUNTIF('Mapa de Marcas'!$C:$C,"Entidades e conselhos")</f>
        <v>9</v>
      </c>
    </row>
    <row r="124" customFormat="false" ht="23.85" hidden="false" customHeight="false" outlineLevel="0" collapsed="false">
      <c r="A124" s="7" t="s">
        <v>7359</v>
      </c>
      <c r="B124" s="7" t="s">
        <v>6728</v>
      </c>
      <c r="C124" s="7" t="s">
        <v>7231</v>
      </c>
      <c r="D124" s="7" t="s">
        <v>6731</v>
      </c>
      <c r="E124" s="7" t="s">
        <v>7360</v>
      </c>
      <c r="F124" s="7" t="s">
        <v>6737</v>
      </c>
      <c r="G124" s="7" t="s">
        <v>1125</v>
      </c>
      <c r="H124" s="7" t="s">
        <v>371</v>
      </c>
      <c r="I124" s="7" t="s">
        <v>921</v>
      </c>
      <c r="J124" s="8" t="s">
        <v>7361</v>
      </c>
      <c r="K124" s="7" t="s">
        <v>1034</v>
      </c>
      <c r="L124" s="7" t="s">
        <v>7362</v>
      </c>
      <c r="M124" s="8" t="s">
        <v>7363</v>
      </c>
      <c r="N124" s="8" t="s">
        <v>6870</v>
      </c>
      <c r="O124" s="7" t="n">
        <f aca="false">COUNTIF('Mapa de Marcas'!$C:$C,"Entidades e conselhos")</f>
        <v>9</v>
      </c>
    </row>
    <row r="125" customFormat="false" ht="23.85" hidden="false" customHeight="false" outlineLevel="0" collapsed="false">
      <c r="A125" s="7" t="s">
        <v>7364</v>
      </c>
      <c r="B125" s="7" t="s">
        <v>6728</v>
      </c>
      <c r="C125" s="7" t="s">
        <v>7231</v>
      </c>
      <c r="D125" s="7" t="s">
        <v>6731</v>
      </c>
      <c r="E125" s="7" t="s">
        <v>7365</v>
      </c>
      <c r="F125" s="7" t="s">
        <v>6748</v>
      </c>
      <c r="G125" s="7" t="s">
        <v>2670</v>
      </c>
      <c r="H125" s="7" t="s">
        <v>291</v>
      </c>
      <c r="I125" s="7" t="s">
        <v>921</v>
      </c>
      <c r="J125" s="8" t="s">
        <v>7366</v>
      </c>
      <c r="K125" s="7" t="s">
        <v>1026</v>
      </c>
      <c r="L125" s="7" t="s">
        <v>7367</v>
      </c>
      <c r="M125" s="8" t="s">
        <v>7368</v>
      </c>
      <c r="N125" s="8" t="s">
        <v>6870</v>
      </c>
      <c r="O125" s="7" t="n">
        <f aca="false">COUNTIF('Mapa de Marcas'!$C:$C,"Entidades e conselhos")</f>
        <v>9</v>
      </c>
    </row>
    <row r="126" customFormat="false" ht="23.85" hidden="false" customHeight="false" outlineLevel="0" collapsed="false">
      <c r="A126" s="7" t="s">
        <v>7369</v>
      </c>
      <c r="B126" s="7" t="s">
        <v>6728</v>
      </c>
      <c r="C126" s="7" t="s">
        <v>7231</v>
      </c>
      <c r="D126" s="7" t="s">
        <v>6731</v>
      </c>
      <c r="E126" s="7" t="s">
        <v>7370</v>
      </c>
      <c r="F126" s="7" t="s">
        <v>6758</v>
      </c>
      <c r="G126" s="7" t="s">
        <v>3126</v>
      </c>
      <c r="H126" s="7" t="s">
        <v>371</v>
      </c>
      <c r="I126" s="7" t="s">
        <v>921</v>
      </c>
      <c r="J126" s="8" t="s">
        <v>7371</v>
      </c>
      <c r="K126" s="7" t="s">
        <v>1044</v>
      </c>
      <c r="L126" s="7" t="s">
        <v>1049</v>
      </c>
      <c r="M126" s="8" t="s">
        <v>6757</v>
      </c>
      <c r="N126" s="8" t="s">
        <v>7276</v>
      </c>
      <c r="O126" s="7" t="n">
        <f aca="false">COUNTIF('Mapa de Marcas'!$C:$C,"Entidades e conselhos")</f>
        <v>9</v>
      </c>
    </row>
    <row r="127" customFormat="false" ht="23.85" hidden="false" customHeight="false" outlineLevel="0" collapsed="false">
      <c r="A127" s="7" t="s">
        <v>7372</v>
      </c>
      <c r="B127" s="7" t="s">
        <v>6728</v>
      </c>
      <c r="C127" s="7" t="s">
        <v>7231</v>
      </c>
      <c r="D127" s="7" t="s">
        <v>6731</v>
      </c>
      <c r="E127" s="7" t="s">
        <v>7373</v>
      </c>
      <c r="F127" s="7" t="s">
        <v>6761</v>
      </c>
      <c r="G127" s="7" t="s">
        <v>1182</v>
      </c>
      <c r="H127" s="7" t="s">
        <v>79</v>
      </c>
      <c r="I127" s="7" t="s">
        <v>921</v>
      </c>
      <c r="J127" s="8" t="s">
        <v>7374</v>
      </c>
      <c r="K127" s="7" t="s">
        <v>1039</v>
      </c>
      <c r="L127" s="7" t="s">
        <v>7375</v>
      </c>
      <c r="M127" s="8" t="s">
        <v>7376</v>
      </c>
      <c r="N127" s="8" t="s">
        <v>6870</v>
      </c>
      <c r="O127" s="7" t="n">
        <f aca="false">COUNTIF('Mapa de Marcas'!$C:$C,"Entidades e conselhos")</f>
        <v>9</v>
      </c>
    </row>
    <row r="128" customFormat="false" ht="23.85" hidden="false" customHeight="false" outlineLevel="0" collapsed="false">
      <c r="A128" s="7" t="s">
        <v>7377</v>
      </c>
      <c r="B128" s="7" t="s">
        <v>6776</v>
      </c>
      <c r="C128" s="7" t="s">
        <v>7231</v>
      </c>
      <c r="D128" s="7" t="s">
        <v>6779</v>
      </c>
      <c r="E128" s="7" t="s">
        <v>7378</v>
      </c>
      <c r="F128" s="7" t="s">
        <v>6778</v>
      </c>
      <c r="G128" s="7" t="s">
        <v>1571</v>
      </c>
      <c r="H128" s="7" t="s">
        <v>142</v>
      </c>
      <c r="I128" s="7" t="s">
        <v>928</v>
      </c>
      <c r="J128" s="8" t="s">
        <v>7379</v>
      </c>
      <c r="K128" s="7" t="s">
        <v>483</v>
      </c>
      <c r="L128" s="7" t="s">
        <v>7380</v>
      </c>
      <c r="M128" s="8" t="s">
        <v>7381</v>
      </c>
      <c r="N128" s="8" t="s">
        <v>7236</v>
      </c>
      <c r="O128" s="7" t="n">
        <f aca="false">COUNTIF('Mapa de Marcas'!$C:$C,"Plataformas")</f>
        <v>9</v>
      </c>
    </row>
    <row r="129" customFormat="false" ht="23.85" hidden="false" customHeight="false" outlineLevel="0" collapsed="false">
      <c r="A129" s="7" t="s">
        <v>7382</v>
      </c>
      <c r="B129" s="7" t="s">
        <v>6776</v>
      </c>
      <c r="C129" s="7" t="s">
        <v>7231</v>
      </c>
      <c r="D129" s="7" t="s">
        <v>6779</v>
      </c>
      <c r="E129" s="7" t="s">
        <v>7383</v>
      </c>
      <c r="F129" s="7" t="s">
        <v>6790</v>
      </c>
      <c r="G129" s="7" t="s">
        <v>2500</v>
      </c>
      <c r="H129" s="7" t="s">
        <v>265</v>
      </c>
      <c r="I129" s="7" t="s">
        <v>943</v>
      </c>
      <c r="J129" s="8" t="s">
        <v>7384</v>
      </c>
      <c r="K129" s="7" t="s">
        <v>720</v>
      </c>
      <c r="L129" s="7" t="s">
        <v>7385</v>
      </c>
      <c r="M129" s="8" t="s">
        <v>7386</v>
      </c>
      <c r="N129" s="8" t="s">
        <v>6870</v>
      </c>
      <c r="O129" s="7" t="n">
        <f aca="false">COUNTIF('Mapa de Marcas'!$C:$C,"Plataformas")</f>
        <v>9</v>
      </c>
    </row>
    <row r="130" customFormat="false" ht="23.85" hidden="false" customHeight="false" outlineLevel="0" collapsed="false">
      <c r="A130" s="7" t="s">
        <v>7387</v>
      </c>
      <c r="B130" s="7" t="s">
        <v>6776</v>
      </c>
      <c r="C130" s="7" t="s">
        <v>7231</v>
      </c>
      <c r="D130" s="7" t="s">
        <v>6779</v>
      </c>
      <c r="E130" s="7" t="s">
        <v>7388</v>
      </c>
      <c r="F130" s="7" t="s">
        <v>6801</v>
      </c>
      <c r="G130" s="7" t="s">
        <v>2494</v>
      </c>
      <c r="H130" s="7" t="s">
        <v>265</v>
      </c>
      <c r="I130" s="7" t="s">
        <v>943</v>
      </c>
      <c r="J130" s="8" t="s">
        <v>7389</v>
      </c>
      <c r="K130" s="7" t="s">
        <v>1044</v>
      </c>
      <c r="L130" s="7" t="s">
        <v>1049</v>
      </c>
      <c r="M130" s="8" t="s">
        <v>7390</v>
      </c>
      <c r="N130" s="8" t="s">
        <v>7276</v>
      </c>
      <c r="O130" s="7" t="n">
        <f aca="false">COUNTIF('Mapa de Marcas'!$C:$C,"Plataformas")</f>
        <v>9</v>
      </c>
    </row>
    <row r="131" customFormat="false" ht="23.85" hidden="false" customHeight="false" outlineLevel="0" collapsed="false">
      <c r="A131" s="7" t="s">
        <v>7391</v>
      </c>
      <c r="B131" s="7" t="s">
        <v>6776</v>
      </c>
      <c r="C131" s="7" t="s">
        <v>7231</v>
      </c>
      <c r="D131" s="7" t="s">
        <v>6779</v>
      </c>
      <c r="E131" s="7" t="s">
        <v>7392</v>
      </c>
      <c r="F131" s="7" t="s">
        <v>6814</v>
      </c>
      <c r="G131" s="7" t="s">
        <v>1125</v>
      </c>
      <c r="H131" s="7" t="s">
        <v>371</v>
      </c>
      <c r="I131" s="7" t="s">
        <v>921</v>
      </c>
      <c r="J131" s="8" t="s">
        <v>7393</v>
      </c>
      <c r="K131" s="7" t="s">
        <v>1044</v>
      </c>
      <c r="L131" s="7" t="s">
        <v>1049</v>
      </c>
      <c r="M131" s="8" t="s">
        <v>7394</v>
      </c>
      <c r="N131" s="8" t="s">
        <v>7276</v>
      </c>
      <c r="O131" s="7" t="n">
        <f aca="false">COUNTIF('Mapa de Marcas'!$C:$C,"Plataformas")</f>
        <v>9</v>
      </c>
    </row>
    <row r="132" customFormat="false" ht="23.85" hidden="false" customHeight="false" outlineLevel="0" collapsed="false">
      <c r="A132" s="7" t="s">
        <v>7395</v>
      </c>
      <c r="B132" s="7" t="s">
        <v>6823</v>
      </c>
      <c r="C132" s="7" t="s">
        <v>7231</v>
      </c>
      <c r="D132" s="7" t="s">
        <v>6826</v>
      </c>
      <c r="E132" s="7" t="s">
        <v>7396</v>
      </c>
      <c r="F132" s="7" t="s">
        <v>6825</v>
      </c>
      <c r="G132" s="7" t="s">
        <v>1182</v>
      </c>
      <c r="H132" s="7" t="s">
        <v>79</v>
      </c>
      <c r="I132" s="7" t="s">
        <v>921</v>
      </c>
      <c r="J132" s="8" t="s">
        <v>7397</v>
      </c>
      <c r="K132" s="7" t="s">
        <v>1039</v>
      </c>
      <c r="L132" s="7" t="s">
        <v>7375</v>
      </c>
      <c r="M132" s="8" t="s">
        <v>7398</v>
      </c>
      <c r="N132" s="8" t="s">
        <v>6870</v>
      </c>
      <c r="O132" s="7" t="n">
        <f aca="false">COUNTIF('Mapa de Marcas'!$C:$C,"Redes empresariais")</f>
        <v>5</v>
      </c>
    </row>
  </sheetData>
  <autoFilter ref="A1:O1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7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0"/>
    <col collapsed="false" customWidth="true" hidden="false" outlineLevel="0" max="3" min="3" style="0" width="46"/>
    <col collapsed="false" customWidth="true" hidden="false" outlineLevel="0" max="4" min="4" style="0" width="20"/>
    <col collapsed="false" customWidth="true" hidden="false" outlineLevel="0" max="5" min="5" style="0" width="13"/>
    <col collapsed="false" customWidth="true" hidden="false" outlineLevel="0" max="6" min="6" style="0" width="50"/>
    <col collapsed="false" customWidth="true" hidden="false" outlineLevel="0" max="7" min="7" style="0" width="12"/>
    <col collapsed="false" customWidth="true" hidden="false" outlineLevel="0" max="8" min="8" style="0" width="60"/>
    <col collapsed="false" customWidth="true" hidden="false" outlineLevel="0" max="9" min="9" style="0" width="24"/>
    <col collapsed="false" customWidth="true" hidden="false" outlineLevel="0" max="10" min="10" style="0" width="60"/>
    <col collapsed="false" customWidth="true" hidden="false" outlineLevel="0" max="11" min="11" style="0" width="44"/>
    <col collapsed="false" customWidth="true" hidden="false" outlineLevel="0" max="12" min="12" style="0" width="12"/>
    <col collapsed="false" customWidth="true" hidden="false" outlineLevel="0" max="13" min="13" style="0" width="14"/>
    <col collapsed="false" customWidth="true" hidden="false" outlineLevel="0" max="14" min="14" style="0" width="30"/>
  </cols>
  <sheetData>
    <row r="1" customFormat="false" ht="31.5" hidden="false" customHeight="true" outlineLevel="0" collapsed="false">
      <c r="A1" s="6" t="s">
        <v>7399</v>
      </c>
      <c r="B1" s="6" t="s">
        <v>7400</v>
      </c>
      <c r="C1" s="6" t="s">
        <v>7401</v>
      </c>
      <c r="D1" s="6" t="s">
        <v>7402</v>
      </c>
      <c r="E1" s="6" t="s">
        <v>7403</v>
      </c>
      <c r="F1" s="6" t="s">
        <v>1102</v>
      </c>
      <c r="G1" s="6" t="s">
        <v>914</v>
      </c>
      <c r="H1" s="6" t="s">
        <v>7404</v>
      </c>
      <c r="I1" s="6" t="s">
        <v>44</v>
      </c>
    </row>
    <row r="2" customFormat="false" ht="68.65" hidden="false" customHeight="false" outlineLevel="0" collapsed="false">
      <c r="A2" s="7" t="s">
        <v>7405</v>
      </c>
      <c r="B2" s="8" t="s">
        <v>7406</v>
      </c>
      <c r="C2" s="8" t="s">
        <v>7407</v>
      </c>
      <c r="D2" s="7" t="s">
        <v>7408</v>
      </c>
      <c r="E2" s="7" t="n">
        <f aca="false">COUNTIF($A$15:$A$272,"Serviço por cidade")</f>
        <v>198</v>
      </c>
      <c r="F2" s="7" t="n">
        <f aca="false">COUNTIFS($A$15:$A$272,"Serviço por cidade",$I$15:$I$272,"Página local")</f>
        <v>180</v>
      </c>
      <c r="G2" s="8" t="s">
        <v>7409</v>
      </c>
      <c r="H2" s="8" t="s">
        <v>7410</v>
      </c>
      <c r="I2" s="7" t="s">
        <v>1151</v>
      </c>
    </row>
    <row r="3" customFormat="false" ht="57.45" hidden="false" customHeight="false" outlineLevel="0" collapsed="false">
      <c r="A3" s="7" t="s">
        <v>7411</v>
      </c>
      <c r="B3" s="8" t="s">
        <v>7412</v>
      </c>
      <c r="C3" s="8" t="s">
        <v>7413</v>
      </c>
      <c r="D3" s="7" t="s">
        <v>7408</v>
      </c>
      <c r="E3" s="7" t="n">
        <f aca="false">COUNTIF($A$15:$A$272,"Serviço por bairro")</f>
        <v>60</v>
      </c>
      <c r="F3" s="7" t="n">
        <f aca="false">COUNTIFS($A$15:$A$272,"Serviço por bairro",$I$15:$I$272,"Página local de bairro")</f>
        <v>60</v>
      </c>
      <c r="G3" s="8" t="s">
        <v>7414</v>
      </c>
      <c r="H3" s="8" t="s">
        <v>7415</v>
      </c>
      <c r="I3" s="7" t="s">
        <v>1183</v>
      </c>
    </row>
    <row r="4" customFormat="false" ht="79.85" hidden="false" customHeight="false" outlineLevel="0" collapsed="false">
      <c r="A4" s="7" t="s">
        <v>7416</v>
      </c>
      <c r="B4" s="8" t="s">
        <v>7417</v>
      </c>
      <c r="C4" s="8" t="s">
        <v>4522</v>
      </c>
      <c r="D4" s="7" t="s">
        <v>16</v>
      </c>
      <c r="E4" s="7" t="n">
        <f aca="false">COUNTIF('Mapa de Marcas'!$G:$G,"Marca de material")</f>
        <v>238</v>
      </c>
      <c r="F4" s="7" t="n">
        <f aca="false">COUNTIFS('Mapa de Marcas'!$G:$G,"Marca de material",'Mapa de Marcas'!$L:$L,"Página de marca")+COUNTIFS('Mapa de Marcas'!$G:$G,"Marca de material",'Mapa de Marcas'!$L:$L,"Página de marca por serviço")+COUNTIFS('Mapa de Marcas'!$G:$G,"Marca de material",'Mapa de Marcas'!$L:$L,"Página de sistema construtivo")+COUNTIFS('Mapa de Marcas'!$G:$G,"Marca de material",'Mapa de Marcas'!$L:$L,"Página de sistema por serviço")+COUNTIFS('Mapa de Marcas'!$G:$G,"Marca de material",'Mapa de Marcas'!$L:$L,"Página local")</f>
        <v>102</v>
      </c>
      <c r="G4" s="8" t="s">
        <v>7418</v>
      </c>
      <c r="H4" s="8" t="s">
        <v>7419</v>
      </c>
      <c r="I4" s="7" t="s">
        <v>1183</v>
      </c>
    </row>
    <row r="5" customFormat="false" ht="46.25" hidden="false" customHeight="false" outlineLevel="0" collapsed="false">
      <c r="A5" s="7" t="s">
        <v>7420</v>
      </c>
      <c r="B5" s="8" t="s">
        <v>7421</v>
      </c>
      <c r="C5" s="8" t="s">
        <v>5123</v>
      </c>
      <c r="D5" s="7" t="s">
        <v>16</v>
      </c>
      <c r="E5" s="7" t="n">
        <f aca="false">COUNTIF('Mapa de Marcas'!$G:$G,"Marca de equipamento")</f>
        <v>121</v>
      </c>
      <c r="F5" s="7" t="n">
        <f aca="false">COUNTIFS('Mapa de Marcas'!$G:$G,"Marca de equipamento",'Mapa de Marcas'!$L:$L,"Página de marca")+COUNTIFS('Mapa de Marcas'!$G:$G,"Marca de equipamento",'Mapa de Marcas'!$L:$L,"Página de marca por serviço")+COUNTIFS('Mapa de Marcas'!$G:$G,"Marca de equipamento",'Mapa de Marcas'!$L:$L,"Página de sistema construtivo")+COUNTIFS('Mapa de Marcas'!$G:$G,"Marca de equipamento",'Mapa de Marcas'!$L:$L,"Página de sistema por serviço")+COUNTIFS('Mapa de Marcas'!$G:$G,"Marca de equipamento",'Mapa de Marcas'!$L:$L,"Página local")</f>
        <v>43</v>
      </c>
      <c r="G5" s="8" t="s">
        <v>7422</v>
      </c>
      <c r="H5" s="8" t="s">
        <v>7423</v>
      </c>
      <c r="I5" s="7" t="s">
        <v>1480</v>
      </c>
    </row>
    <row r="6" customFormat="false" ht="79.85" hidden="false" customHeight="false" outlineLevel="0" collapsed="false">
      <c r="A6" s="7" t="s">
        <v>7424</v>
      </c>
      <c r="B6" s="8" t="s">
        <v>7425</v>
      </c>
      <c r="C6" s="8" t="s">
        <v>5621</v>
      </c>
      <c r="D6" s="7" t="s">
        <v>16</v>
      </c>
      <c r="E6" s="7" t="n">
        <f aca="false">COUNTIF('Mapa de Marcas'!$G:$G,"Sistema construtivo")</f>
        <v>133</v>
      </c>
      <c r="F6" s="7" t="n">
        <f aca="false">COUNTIFS('Mapa de Marcas'!$G:$G,"Sistema construtivo",'Mapa de Marcas'!$L:$L,"Página de marca")+COUNTIFS('Mapa de Marcas'!$G:$G,"Sistema construtivo",'Mapa de Marcas'!$L:$L,"Página de marca por serviço")+COUNTIFS('Mapa de Marcas'!$G:$G,"Sistema construtivo",'Mapa de Marcas'!$L:$L,"Página de sistema construtivo")+COUNTIFS('Mapa de Marcas'!$G:$G,"Sistema construtivo",'Mapa de Marcas'!$L:$L,"Página de sistema por serviço")+COUNTIFS('Mapa de Marcas'!$G:$G,"Sistema construtivo",'Mapa de Marcas'!$L:$L,"Página local")</f>
        <v>40</v>
      </c>
      <c r="G6" s="8" t="s">
        <v>7426</v>
      </c>
      <c r="H6" s="8" t="s">
        <v>7427</v>
      </c>
      <c r="I6" s="7" t="s">
        <v>1183</v>
      </c>
    </row>
    <row r="7" customFormat="false" ht="57.45" hidden="false" customHeight="false" outlineLevel="0" collapsed="false">
      <c r="A7" s="7" t="s">
        <v>7428</v>
      </c>
      <c r="B7" s="8" t="s">
        <v>7429</v>
      </c>
      <c r="C7" s="8" t="s">
        <v>6158</v>
      </c>
      <c r="D7" s="7" t="s">
        <v>16</v>
      </c>
      <c r="E7" s="7" t="n">
        <f aca="false">COUNTIF('Mapa de Marcas'!$G:$G,"Seguradora")</f>
        <v>25</v>
      </c>
      <c r="F7" s="7" t="n">
        <f aca="false">COUNTIFS('Mapa de Marcas'!$G:$G,"Seguradora",'Mapa de Marcas'!$L:$L,"Página de marca")+COUNTIFS('Mapa de Marcas'!$G:$G,"Seguradora",'Mapa de Marcas'!$L:$L,"Página de marca por serviço")+COUNTIFS('Mapa de Marcas'!$G:$G,"Seguradora",'Mapa de Marcas'!$L:$L,"Página de sistema construtivo")+COUNTIFS('Mapa de Marcas'!$G:$G,"Seguradora",'Mapa de Marcas'!$L:$L,"Página de sistema por serviço")+COUNTIFS('Mapa de Marcas'!$G:$G,"Seguradora",'Mapa de Marcas'!$L:$L,"Página local")</f>
        <v>23</v>
      </c>
      <c r="G7" s="8" t="s">
        <v>7430</v>
      </c>
      <c r="H7" s="8" t="s">
        <v>7431</v>
      </c>
      <c r="I7" s="7" t="s">
        <v>1183</v>
      </c>
    </row>
    <row r="8" customFormat="false" ht="46.25" hidden="false" customHeight="false" outlineLevel="0" collapsed="false">
      <c r="A8" s="7" t="s">
        <v>7432</v>
      </c>
      <c r="B8" s="8" t="s">
        <v>7433</v>
      </c>
      <c r="C8" s="8" t="s">
        <v>6317</v>
      </c>
      <c r="D8" s="7" t="s">
        <v>16</v>
      </c>
      <c r="E8" s="7" t="n">
        <f aca="false">COUNTIF('Mapa de Marcas'!$G:$G,"Banco")</f>
        <v>17</v>
      </c>
      <c r="F8" s="7" t="n">
        <f aca="false">COUNTIFS('Mapa de Marcas'!$G:$G,"Banco",'Mapa de Marcas'!$L:$L,"Página de marca")+COUNTIFS('Mapa de Marcas'!$G:$G,"Banco",'Mapa de Marcas'!$L:$L,"Página de marca por serviço")+COUNTIFS('Mapa de Marcas'!$G:$G,"Banco",'Mapa de Marcas'!$L:$L,"Página de sistema construtivo")+COUNTIFS('Mapa de Marcas'!$G:$G,"Banco",'Mapa de Marcas'!$L:$L,"Página de sistema por serviço")+COUNTIFS('Mapa de Marcas'!$G:$G,"Banco",'Mapa de Marcas'!$L:$L,"Página local")</f>
        <v>11</v>
      </c>
      <c r="G8" s="8" t="s">
        <v>7434</v>
      </c>
      <c r="H8" s="8" t="s">
        <v>7435</v>
      </c>
      <c r="I8" s="7" t="s">
        <v>1480</v>
      </c>
    </row>
    <row r="9" customFormat="false" ht="79.85" hidden="false" customHeight="false" outlineLevel="0" collapsed="false">
      <c r="A9" s="7" t="s">
        <v>7436</v>
      </c>
      <c r="B9" s="8" t="s">
        <v>7437</v>
      </c>
      <c r="C9" s="8" t="s">
        <v>6402</v>
      </c>
      <c r="D9" s="7" t="s">
        <v>16</v>
      </c>
      <c r="E9" s="7" t="n">
        <f aca="false">COUNTIF('Mapa de Marcas'!$G:$G,"Construtora")</f>
        <v>28</v>
      </c>
      <c r="F9" s="7" t="n">
        <f aca="false">COUNTIFS('Mapa de Marcas'!$G:$G,"Construtora",'Mapa de Marcas'!$L:$L,"Página de marca")+COUNTIFS('Mapa de Marcas'!$G:$G,"Construtora",'Mapa de Marcas'!$L:$L,"Página de marca por serviço")+COUNTIFS('Mapa de Marcas'!$G:$G,"Construtora",'Mapa de Marcas'!$L:$L,"Página de sistema construtivo")+COUNTIFS('Mapa de Marcas'!$G:$G,"Construtora",'Mapa de Marcas'!$L:$L,"Página de sistema por serviço")+COUNTIFS('Mapa de Marcas'!$G:$G,"Construtora",'Mapa de Marcas'!$L:$L,"Página local")</f>
        <v>22</v>
      </c>
      <c r="G9" s="8" t="s">
        <v>7438</v>
      </c>
      <c r="H9" s="8" t="s">
        <v>7439</v>
      </c>
      <c r="I9" s="7" t="s">
        <v>1183</v>
      </c>
    </row>
    <row r="10" customFormat="false" ht="79.85" hidden="false" customHeight="false" outlineLevel="0" collapsed="false">
      <c r="A10" s="7" t="s">
        <v>7440</v>
      </c>
      <c r="B10" s="8" t="s">
        <v>7441</v>
      </c>
      <c r="C10" s="8" t="s">
        <v>6605</v>
      </c>
      <c r="D10" s="7" t="s">
        <v>16</v>
      </c>
      <c r="E10" s="7" t="n">
        <f aca="false">COUNTIF('Mapa de Marcas'!$G:$G,"Órgão público")</f>
        <v>25</v>
      </c>
      <c r="F10" s="7" t="n">
        <f aca="false">COUNTIFS('Mapa de Marcas'!$G:$G,"Órgão público",'Mapa de Marcas'!$L:$L,"Página de marca")+COUNTIFS('Mapa de Marcas'!$G:$G,"Órgão público",'Mapa de Marcas'!$L:$L,"Página de marca por serviço")+COUNTIFS('Mapa de Marcas'!$G:$G,"Órgão público",'Mapa de Marcas'!$L:$L,"Página de sistema construtivo")+COUNTIFS('Mapa de Marcas'!$G:$G,"Órgão público",'Mapa de Marcas'!$L:$L,"Página de sistema por serviço")+COUNTIFS('Mapa de Marcas'!$G:$G,"Órgão público",'Mapa de Marcas'!$L:$L,"Página local")</f>
        <v>13</v>
      </c>
      <c r="G10" s="8" t="s">
        <v>7442</v>
      </c>
      <c r="H10" s="8" t="s">
        <v>7443</v>
      </c>
      <c r="I10" s="7" t="s">
        <v>1183</v>
      </c>
    </row>
    <row r="11" customFormat="false" ht="46.25" hidden="false" customHeight="false" outlineLevel="0" collapsed="false">
      <c r="A11" s="7" t="s">
        <v>7444</v>
      </c>
      <c r="B11" s="8" t="s">
        <v>7445</v>
      </c>
      <c r="C11" s="8" t="s">
        <v>6565</v>
      </c>
      <c r="D11" s="7" t="s">
        <v>16</v>
      </c>
      <c r="E11" s="7" t="n">
        <f aca="false">COUNTIF('Mapa de Marcas'!$G:$G,"Concessionária")</f>
        <v>6</v>
      </c>
      <c r="F11" s="7" t="n">
        <f aca="false">COUNTIFS('Mapa de Marcas'!$G:$G,"Concessionária",'Mapa de Marcas'!$L:$L,"Página de marca")+COUNTIFS('Mapa de Marcas'!$G:$G,"Concessionária",'Mapa de Marcas'!$L:$L,"Página de marca por serviço")+COUNTIFS('Mapa de Marcas'!$G:$G,"Concessionária",'Mapa de Marcas'!$L:$L,"Página de sistema construtivo")+COUNTIFS('Mapa de Marcas'!$G:$G,"Concessionária",'Mapa de Marcas'!$L:$L,"Página de sistema por serviço")+COUNTIFS('Mapa de Marcas'!$G:$G,"Concessionária",'Mapa de Marcas'!$L:$L,"Página local")</f>
        <v>6</v>
      </c>
      <c r="G11" s="8" t="s">
        <v>7446</v>
      </c>
      <c r="H11" s="8" t="s">
        <v>7447</v>
      </c>
      <c r="I11" s="7" t="s">
        <v>1151</v>
      </c>
    </row>
    <row r="12" customFormat="false" ht="15" hidden="false" customHeight="false" outlineLevel="0" collapsed="false">
      <c r="A12" s="11" t="s">
        <v>1135</v>
      </c>
      <c r="B12" s="11"/>
      <c r="C12" s="11"/>
      <c r="D12" s="11"/>
      <c r="E12" s="11" t="n">
        <f aca="false">SUM(E2:E11)</f>
        <v>851</v>
      </c>
      <c r="F12" s="11" t="n">
        <f aca="false">SUM(F2:F11)</f>
        <v>500</v>
      </c>
      <c r="G12" s="11"/>
      <c r="H12" s="11"/>
      <c r="I12" s="11"/>
    </row>
    <row r="13" customFormat="false" ht="15" hidden="false" customHeight="false" outlineLevel="0" collapsed="false">
      <c r="A13" s="15" t="s">
        <v>7448</v>
      </c>
    </row>
    <row r="14" customFormat="false" ht="35.05" hidden="false" customHeight="false" outlineLevel="0" collapsed="false">
      <c r="A14" s="6" t="s">
        <v>7399</v>
      </c>
      <c r="B14" s="6" t="s">
        <v>7449</v>
      </c>
      <c r="C14" s="6" t="s">
        <v>1096</v>
      </c>
      <c r="D14" s="6" t="s">
        <v>7450</v>
      </c>
      <c r="E14" s="6" t="s">
        <v>7451</v>
      </c>
      <c r="F14" s="6" t="s">
        <v>1138</v>
      </c>
      <c r="G14" s="6" t="s">
        <v>32</v>
      </c>
      <c r="H14" s="6" t="s">
        <v>36</v>
      </c>
      <c r="I14" s="6" t="s">
        <v>38</v>
      </c>
      <c r="J14" s="6" t="s">
        <v>1140</v>
      </c>
      <c r="K14" s="6" t="s">
        <v>1142</v>
      </c>
      <c r="L14" s="6" t="s">
        <v>44</v>
      </c>
      <c r="M14" s="6" t="s">
        <v>1144</v>
      </c>
      <c r="N14" s="6" t="s">
        <v>822</v>
      </c>
    </row>
    <row r="15" customFormat="false" ht="23.85" hidden="false" customHeight="false" outlineLevel="0" collapsed="false">
      <c r="A15" s="7" t="s">
        <v>7405</v>
      </c>
      <c r="B15" s="7" t="s">
        <v>1182</v>
      </c>
      <c r="C15" s="7" t="s">
        <v>79</v>
      </c>
      <c r="D15" s="7" t="s">
        <v>746</v>
      </c>
      <c r="E15" s="7" t="s">
        <v>7452</v>
      </c>
      <c r="F15" s="7" t="s">
        <v>7453</v>
      </c>
      <c r="G15" s="7" t="s">
        <v>943</v>
      </c>
      <c r="H15" s="8" t="s">
        <v>7454</v>
      </c>
      <c r="I15" s="7" t="s">
        <v>958</v>
      </c>
      <c r="J15" s="7" t="s">
        <v>1181</v>
      </c>
      <c r="K15" s="7" t="s">
        <v>1181</v>
      </c>
      <c r="L15" s="7" t="s">
        <v>1151</v>
      </c>
      <c r="M15" s="12"/>
      <c r="N15" s="12"/>
    </row>
    <row r="16" customFormat="false" ht="23.85" hidden="false" customHeight="false" outlineLevel="0" collapsed="false">
      <c r="A16" s="7" t="s">
        <v>7405</v>
      </c>
      <c r="B16" s="7" t="s">
        <v>1182</v>
      </c>
      <c r="C16" s="7" t="s">
        <v>79</v>
      </c>
      <c r="D16" s="7" t="s">
        <v>751</v>
      </c>
      <c r="E16" s="7" t="s">
        <v>7452</v>
      </c>
      <c r="F16" s="7" t="s">
        <v>7455</v>
      </c>
      <c r="G16" s="7" t="s">
        <v>943</v>
      </c>
      <c r="H16" s="8" t="s">
        <v>7456</v>
      </c>
      <c r="I16" s="7" t="s">
        <v>965</v>
      </c>
      <c r="J16" s="7" t="s">
        <v>7457</v>
      </c>
      <c r="K16" s="7" t="s">
        <v>1181</v>
      </c>
      <c r="L16" s="7" t="s">
        <v>1151</v>
      </c>
      <c r="M16" s="12"/>
      <c r="N16" s="12"/>
    </row>
    <row r="17" customFormat="false" ht="23.85" hidden="false" customHeight="false" outlineLevel="0" collapsed="false">
      <c r="A17" s="7" t="s">
        <v>7405</v>
      </c>
      <c r="B17" s="7" t="s">
        <v>1182</v>
      </c>
      <c r="C17" s="7" t="s">
        <v>79</v>
      </c>
      <c r="D17" s="7" t="s">
        <v>754</v>
      </c>
      <c r="E17" s="7" t="s">
        <v>7452</v>
      </c>
      <c r="F17" s="7" t="s">
        <v>7458</v>
      </c>
      <c r="G17" s="7" t="s">
        <v>943</v>
      </c>
      <c r="H17" s="8" t="s">
        <v>7459</v>
      </c>
      <c r="I17" s="7" t="s">
        <v>965</v>
      </c>
      <c r="J17" s="7" t="s">
        <v>7460</v>
      </c>
      <c r="K17" s="7" t="s">
        <v>1181</v>
      </c>
      <c r="L17" s="7" t="s">
        <v>1151</v>
      </c>
      <c r="M17" s="12"/>
      <c r="N17" s="12"/>
    </row>
    <row r="18" customFormat="false" ht="23.85" hidden="false" customHeight="false" outlineLevel="0" collapsed="false">
      <c r="A18" s="7" t="s">
        <v>7405</v>
      </c>
      <c r="B18" s="7" t="s">
        <v>1182</v>
      </c>
      <c r="C18" s="7" t="s">
        <v>79</v>
      </c>
      <c r="D18" s="7" t="s">
        <v>757</v>
      </c>
      <c r="E18" s="7" t="s">
        <v>7452</v>
      </c>
      <c r="F18" s="7" t="s">
        <v>7461</v>
      </c>
      <c r="G18" s="7" t="s">
        <v>943</v>
      </c>
      <c r="H18" s="8" t="s">
        <v>7462</v>
      </c>
      <c r="I18" s="7" t="s">
        <v>965</v>
      </c>
      <c r="J18" s="7" t="s">
        <v>7463</v>
      </c>
      <c r="K18" s="7" t="s">
        <v>1181</v>
      </c>
      <c r="L18" s="7" t="s">
        <v>1183</v>
      </c>
      <c r="M18" s="12"/>
      <c r="N18" s="12"/>
    </row>
    <row r="19" customFormat="false" ht="35.05" hidden="false" customHeight="false" outlineLevel="0" collapsed="false">
      <c r="A19" s="7" t="s">
        <v>7405</v>
      </c>
      <c r="B19" s="7" t="s">
        <v>1182</v>
      </c>
      <c r="C19" s="7" t="s">
        <v>79</v>
      </c>
      <c r="D19" s="7" t="s">
        <v>760</v>
      </c>
      <c r="E19" s="7" t="s">
        <v>7452</v>
      </c>
      <c r="F19" s="7" t="s">
        <v>7464</v>
      </c>
      <c r="G19" s="7" t="s">
        <v>943</v>
      </c>
      <c r="H19" s="8" t="s">
        <v>7465</v>
      </c>
      <c r="I19" s="7" t="s">
        <v>965</v>
      </c>
      <c r="J19" s="7" t="s">
        <v>7466</v>
      </c>
      <c r="K19" s="7" t="s">
        <v>1181</v>
      </c>
      <c r="L19" s="7" t="s">
        <v>1183</v>
      </c>
      <c r="M19" s="12"/>
      <c r="N19" s="12"/>
    </row>
    <row r="20" customFormat="false" ht="35.05" hidden="false" customHeight="false" outlineLevel="0" collapsed="false">
      <c r="A20" s="7" t="s">
        <v>7405</v>
      </c>
      <c r="B20" s="7" t="s">
        <v>1182</v>
      </c>
      <c r="C20" s="7" t="s">
        <v>79</v>
      </c>
      <c r="D20" s="7" t="s">
        <v>763</v>
      </c>
      <c r="E20" s="7" t="s">
        <v>7452</v>
      </c>
      <c r="F20" s="7" t="s">
        <v>7467</v>
      </c>
      <c r="G20" s="7" t="s">
        <v>943</v>
      </c>
      <c r="H20" s="8" t="s">
        <v>7468</v>
      </c>
      <c r="I20" s="7" t="s">
        <v>965</v>
      </c>
      <c r="J20" s="7" t="s">
        <v>7469</v>
      </c>
      <c r="K20" s="7" t="s">
        <v>1181</v>
      </c>
      <c r="L20" s="7" t="s">
        <v>1480</v>
      </c>
      <c r="M20" s="12"/>
      <c r="N20" s="12"/>
    </row>
    <row r="21" customFormat="false" ht="46.25" hidden="false" customHeight="false" outlineLevel="0" collapsed="false">
      <c r="A21" s="7" t="s">
        <v>7405</v>
      </c>
      <c r="B21" s="7" t="s">
        <v>1182</v>
      </c>
      <c r="C21" s="7" t="s">
        <v>79</v>
      </c>
      <c r="D21" s="7" t="s">
        <v>766</v>
      </c>
      <c r="E21" s="7" t="s">
        <v>7452</v>
      </c>
      <c r="F21" s="7" t="s">
        <v>7470</v>
      </c>
      <c r="G21" s="7" t="s">
        <v>943</v>
      </c>
      <c r="H21" s="8" t="s">
        <v>7471</v>
      </c>
      <c r="I21" s="7" t="s">
        <v>965</v>
      </c>
      <c r="J21" s="7" t="s">
        <v>7472</v>
      </c>
      <c r="K21" s="7" t="s">
        <v>1181</v>
      </c>
      <c r="L21" s="7" t="s">
        <v>1183</v>
      </c>
      <c r="M21" s="12"/>
      <c r="N21" s="12"/>
    </row>
    <row r="22" customFormat="false" ht="46.25" hidden="false" customHeight="false" outlineLevel="0" collapsed="false">
      <c r="A22" s="7" t="s">
        <v>7405</v>
      </c>
      <c r="B22" s="7" t="s">
        <v>1182</v>
      </c>
      <c r="C22" s="7" t="s">
        <v>79</v>
      </c>
      <c r="D22" s="7" t="s">
        <v>769</v>
      </c>
      <c r="E22" s="7" t="s">
        <v>7452</v>
      </c>
      <c r="F22" s="7" t="s">
        <v>7473</v>
      </c>
      <c r="G22" s="7" t="s">
        <v>943</v>
      </c>
      <c r="H22" s="8" t="s">
        <v>7474</v>
      </c>
      <c r="I22" s="7" t="s">
        <v>965</v>
      </c>
      <c r="J22" s="7" t="s">
        <v>7475</v>
      </c>
      <c r="K22" s="7" t="s">
        <v>1181</v>
      </c>
      <c r="L22" s="7" t="s">
        <v>1480</v>
      </c>
      <c r="M22" s="12"/>
      <c r="N22" s="12"/>
    </row>
    <row r="23" customFormat="false" ht="46.25" hidden="false" customHeight="false" outlineLevel="0" collapsed="false">
      <c r="A23" s="7" t="s">
        <v>7405</v>
      </c>
      <c r="B23" s="7" t="s">
        <v>1182</v>
      </c>
      <c r="C23" s="7" t="s">
        <v>79</v>
      </c>
      <c r="D23" s="7" t="s">
        <v>772</v>
      </c>
      <c r="E23" s="7" t="s">
        <v>7452</v>
      </c>
      <c r="F23" s="7" t="s">
        <v>7476</v>
      </c>
      <c r="G23" s="7" t="s">
        <v>943</v>
      </c>
      <c r="H23" s="8" t="s">
        <v>7477</v>
      </c>
      <c r="I23" s="7" t="s">
        <v>965</v>
      </c>
      <c r="J23" s="7" t="s">
        <v>7478</v>
      </c>
      <c r="K23" s="7" t="s">
        <v>1181</v>
      </c>
      <c r="L23" s="7" t="s">
        <v>1183</v>
      </c>
      <c r="M23" s="12"/>
      <c r="N23" s="12"/>
    </row>
    <row r="24" customFormat="false" ht="46.25" hidden="false" customHeight="false" outlineLevel="0" collapsed="false">
      <c r="A24" s="7" t="s">
        <v>7405</v>
      </c>
      <c r="B24" s="7" t="s">
        <v>1182</v>
      </c>
      <c r="C24" s="7" t="s">
        <v>79</v>
      </c>
      <c r="D24" s="7" t="s">
        <v>775</v>
      </c>
      <c r="E24" s="7" t="s">
        <v>7452</v>
      </c>
      <c r="F24" s="7" t="s">
        <v>7479</v>
      </c>
      <c r="G24" s="7" t="s">
        <v>943</v>
      </c>
      <c r="H24" s="8" t="s">
        <v>7480</v>
      </c>
      <c r="I24" s="7" t="s">
        <v>965</v>
      </c>
      <c r="J24" s="7" t="s">
        <v>7481</v>
      </c>
      <c r="K24" s="7" t="s">
        <v>1181</v>
      </c>
      <c r="L24" s="7" t="s">
        <v>1183</v>
      </c>
      <c r="M24" s="12"/>
      <c r="N24" s="12"/>
    </row>
    <row r="25" customFormat="false" ht="46.25" hidden="false" customHeight="false" outlineLevel="0" collapsed="false">
      <c r="A25" s="7" t="s">
        <v>7405</v>
      </c>
      <c r="B25" s="7" t="s">
        <v>1182</v>
      </c>
      <c r="C25" s="7" t="s">
        <v>79</v>
      </c>
      <c r="D25" s="7" t="s">
        <v>778</v>
      </c>
      <c r="E25" s="7" t="s">
        <v>7452</v>
      </c>
      <c r="F25" s="7" t="s">
        <v>7482</v>
      </c>
      <c r="G25" s="7" t="s">
        <v>943</v>
      </c>
      <c r="H25" s="8" t="s">
        <v>7483</v>
      </c>
      <c r="I25" s="7" t="s">
        <v>965</v>
      </c>
      <c r="J25" s="7" t="s">
        <v>7484</v>
      </c>
      <c r="K25" s="7" t="s">
        <v>1181</v>
      </c>
      <c r="L25" s="7" t="s">
        <v>1480</v>
      </c>
      <c r="M25" s="12"/>
      <c r="N25" s="12"/>
    </row>
    <row r="26" customFormat="false" ht="23.85" hidden="false" customHeight="false" outlineLevel="0" collapsed="false">
      <c r="A26" s="7" t="s">
        <v>7405</v>
      </c>
      <c r="B26" s="7" t="s">
        <v>1536</v>
      </c>
      <c r="C26" s="7" t="s">
        <v>142</v>
      </c>
      <c r="D26" s="7" t="s">
        <v>746</v>
      </c>
      <c r="E26" s="7" t="s">
        <v>7452</v>
      </c>
      <c r="F26" s="7" t="s">
        <v>7485</v>
      </c>
      <c r="G26" s="7" t="s">
        <v>943</v>
      </c>
      <c r="H26" s="8" t="s">
        <v>7454</v>
      </c>
      <c r="I26" s="7" t="s">
        <v>958</v>
      </c>
      <c r="J26" s="7" t="s">
        <v>1537</v>
      </c>
      <c r="K26" s="7" t="s">
        <v>1537</v>
      </c>
      <c r="L26" s="7" t="s">
        <v>1151</v>
      </c>
      <c r="M26" s="12"/>
      <c r="N26" s="12"/>
    </row>
    <row r="27" customFormat="false" ht="23.85" hidden="false" customHeight="false" outlineLevel="0" collapsed="false">
      <c r="A27" s="7" t="s">
        <v>7405</v>
      </c>
      <c r="B27" s="7" t="s">
        <v>1536</v>
      </c>
      <c r="C27" s="7" t="s">
        <v>142</v>
      </c>
      <c r="D27" s="7" t="s">
        <v>751</v>
      </c>
      <c r="E27" s="7" t="s">
        <v>7452</v>
      </c>
      <c r="F27" s="7" t="s">
        <v>7486</v>
      </c>
      <c r="G27" s="7" t="s">
        <v>943</v>
      </c>
      <c r="H27" s="8" t="s">
        <v>7456</v>
      </c>
      <c r="I27" s="7" t="s">
        <v>965</v>
      </c>
      <c r="J27" s="7" t="s">
        <v>7487</v>
      </c>
      <c r="K27" s="7" t="s">
        <v>1537</v>
      </c>
      <c r="L27" s="7" t="s">
        <v>1151</v>
      </c>
      <c r="M27" s="12"/>
      <c r="N27" s="12"/>
    </row>
    <row r="28" customFormat="false" ht="23.85" hidden="false" customHeight="false" outlineLevel="0" collapsed="false">
      <c r="A28" s="7" t="s">
        <v>7405</v>
      </c>
      <c r="B28" s="7" t="s">
        <v>1536</v>
      </c>
      <c r="C28" s="7" t="s">
        <v>142</v>
      </c>
      <c r="D28" s="7" t="s">
        <v>754</v>
      </c>
      <c r="E28" s="7" t="s">
        <v>7452</v>
      </c>
      <c r="F28" s="7" t="s">
        <v>7488</v>
      </c>
      <c r="G28" s="7" t="s">
        <v>943</v>
      </c>
      <c r="H28" s="8" t="s">
        <v>7459</v>
      </c>
      <c r="I28" s="7" t="s">
        <v>965</v>
      </c>
      <c r="J28" s="7" t="s">
        <v>7489</v>
      </c>
      <c r="K28" s="7" t="s">
        <v>1537</v>
      </c>
      <c r="L28" s="7" t="s">
        <v>1151</v>
      </c>
      <c r="M28" s="12"/>
      <c r="N28" s="12"/>
    </row>
    <row r="29" customFormat="false" ht="23.85" hidden="false" customHeight="false" outlineLevel="0" collapsed="false">
      <c r="A29" s="7" t="s">
        <v>7405</v>
      </c>
      <c r="B29" s="7" t="s">
        <v>1536</v>
      </c>
      <c r="C29" s="7" t="s">
        <v>142</v>
      </c>
      <c r="D29" s="7" t="s">
        <v>757</v>
      </c>
      <c r="E29" s="7" t="s">
        <v>7452</v>
      </c>
      <c r="F29" s="7" t="s">
        <v>7490</v>
      </c>
      <c r="G29" s="7" t="s">
        <v>943</v>
      </c>
      <c r="H29" s="8" t="s">
        <v>7462</v>
      </c>
      <c r="I29" s="7" t="s">
        <v>965</v>
      </c>
      <c r="J29" s="7" t="s">
        <v>7491</v>
      </c>
      <c r="K29" s="7" t="s">
        <v>1537</v>
      </c>
      <c r="L29" s="7" t="s">
        <v>1183</v>
      </c>
      <c r="M29" s="12"/>
      <c r="N29" s="12"/>
    </row>
    <row r="30" customFormat="false" ht="35.05" hidden="false" customHeight="false" outlineLevel="0" collapsed="false">
      <c r="A30" s="7" t="s">
        <v>7405</v>
      </c>
      <c r="B30" s="7" t="s">
        <v>1536</v>
      </c>
      <c r="C30" s="7" t="s">
        <v>142</v>
      </c>
      <c r="D30" s="7" t="s">
        <v>760</v>
      </c>
      <c r="E30" s="7" t="s">
        <v>7452</v>
      </c>
      <c r="F30" s="7" t="s">
        <v>7492</v>
      </c>
      <c r="G30" s="7" t="s">
        <v>943</v>
      </c>
      <c r="H30" s="8" t="s">
        <v>7465</v>
      </c>
      <c r="I30" s="7" t="s">
        <v>965</v>
      </c>
      <c r="J30" s="7" t="s">
        <v>7493</v>
      </c>
      <c r="K30" s="7" t="s">
        <v>1537</v>
      </c>
      <c r="L30" s="7" t="s">
        <v>1183</v>
      </c>
      <c r="M30" s="12"/>
      <c r="N30" s="12"/>
    </row>
    <row r="31" customFormat="false" ht="35.05" hidden="false" customHeight="false" outlineLevel="0" collapsed="false">
      <c r="A31" s="7" t="s">
        <v>7405</v>
      </c>
      <c r="B31" s="7" t="s">
        <v>1536</v>
      </c>
      <c r="C31" s="7" t="s">
        <v>142</v>
      </c>
      <c r="D31" s="7" t="s">
        <v>763</v>
      </c>
      <c r="E31" s="7" t="s">
        <v>7452</v>
      </c>
      <c r="F31" s="7" t="s">
        <v>7494</v>
      </c>
      <c r="G31" s="7" t="s">
        <v>943</v>
      </c>
      <c r="H31" s="8" t="s">
        <v>7468</v>
      </c>
      <c r="I31" s="7" t="s">
        <v>965</v>
      </c>
      <c r="J31" s="7" t="s">
        <v>7495</v>
      </c>
      <c r="K31" s="7" t="s">
        <v>1537</v>
      </c>
      <c r="L31" s="7" t="s">
        <v>1480</v>
      </c>
      <c r="M31" s="12"/>
      <c r="N31" s="12"/>
    </row>
    <row r="32" customFormat="false" ht="46.25" hidden="false" customHeight="false" outlineLevel="0" collapsed="false">
      <c r="A32" s="7" t="s">
        <v>7405</v>
      </c>
      <c r="B32" s="7" t="s">
        <v>1536</v>
      </c>
      <c r="C32" s="7" t="s">
        <v>142</v>
      </c>
      <c r="D32" s="7" t="s">
        <v>766</v>
      </c>
      <c r="E32" s="7" t="s">
        <v>7452</v>
      </c>
      <c r="F32" s="7" t="s">
        <v>7496</v>
      </c>
      <c r="G32" s="7" t="s">
        <v>943</v>
      </c>
      <c r="H32" s="8" t="s">
        <v>7471</v>
      </c>
      <c r="I32" s="7" t="s">
        <v>965</v>
      </c>
      <c r="J32" s="7" t="s">
        <v>7497</v>
      </c>
      <c r="K32" s="7" t="s">
        <v>1537</v>
      </c>
      <c r="L32" s="7" t="s">
        <v>1183</v>
      </c>
      <c r="M32" s="12"/>
      <c r="N32" s="12"/>
    </row>
    <row r="33" customFormat="false" ht="46.25" hidden="false" customHeight="false" outlineLevel="0" collapsed="false">
      <c r="A33" s="7" t="s">
        <v>7405</v>
      </c>
      <c r="B33" s="7" t="s">
        <v>1536</v>
      </c>
      <c r="C33" s="7" t="s">
        <v>142</v>
      </c>
      <c r="D33" s="7" t="s">
        <v>769</v>
      </c>
      <c r="E33" s="7" t="s">
        <v>7452</v>
      </c>
      <c r="F33" s="7" t="s">
        <v>7498</v>
      </c>
      <c r="G33" s="7" t="s">
        <v>943</v>
      </c>
      <c r="H33" s="8" t="s">
        <v>7474</v>
      </c>
      <c r="I33" s="7" t="s">
        <v>965</v>
      </c>
      <c r="J33" s="7" t="s">
        <v>7499</v>
      </c>
      <c r="K33" s="7" t="s">
        <v>1537</v>
      </c>
      <c r="L33" s="7" t="s">
        <v>1480</v>
      </c>
      <c r="M33" s="12"/>
      <c r="N33" s="12"/>
    </row>
    <row r="34" customFormat="false" ht="46.25" hidden="false" customHeight="false" outlineLevel="0" collapsed="false">
      <c r="A34" s="7" t="s">
        <v>7405</v>
      </c>
      <c r="B34" s="7" t="s">
        <v>1536</v>
      </c>
      <c r="C34" s="7" t="s">
        <v>142</v>
      </c>
      <c r="D34" s="7" t="s">
        <v>772</v>
      </c>
      <c r="E34" s="7" t="s">
        <v>7452</v>
      </c>
      <c r="F34" s="7" t="s">
        <v>7500</v>
      </c>
      <c r="G34" s="7" t="s">
        <v>943</v>
      </c>
      <c r="H34" s="8" t="s">
        <v>7477</v>
      </c>
      <c r="I34" s="7" t="s">
        <v>965</v>
      </c>
      <c r="J34" s="7" t="s">
        <v>7501</v>
      </c>
      <c r="K34" s="7" t="s">
        <v>1537</v>
      </c>
      <c r="L34" s="7" t="s">
        <v>1183</v>
      </c>
      <c r="M34" s="12"/>
      <c r="N34" s="12"/>
    </row>
    <row r="35" customFormat="false" ht="46.25" hidden="false" customHeight="false" outlineLevel="0" collapsed="false">
      <c r="A35" s="7" t="s">
        <v>7405</v>
      </c>
      <c r="B35" s="7" t="s">
        <v>1536</v>
      </c>
      <c r="C35" s="7" t="s">
        <v>142</v>
      </c>
      <c r="D35" s="7" t="s">
        <v>775</v>
      </c>
      <c r="E35" s="7" t="s">
        <v>7452</v>
      </c>
      <c r="F35" s="7" t="s">
        <v>7502</v>
      </c>
      <c r="G35" s="7" t="s">
        <v>943</v>
      </c>
      <c r="H35" s="8" t="s">
        <v>7480</v>
      </c>
      <c r="I35" s="7" t="s">
        <v>965</v>
      </c>
      <c r="J35" s="7" t="s">
        <v>7503</v>
      </c>
      <c r="K35" s="7" t="s">
        <v>1537</v>
      </c>
      <c r="L35" s="7" t="s">
        <v>1183</v>
      </c>
      <c r="M35" s="12"/>
      <c r="N35" s="12"/>
    </row>
    <row r="36" customFormat="false" ht="46.25" hidden="false" customHeight="false" outlineLevel="0" collapsed="false">
      <c r="A36" s="7" t="s">
        <v>7405</v>
      </c>
      <c r="B36" s="7" t="s">
        <v>1536</v>
      </c>
      <c r="C36" s="7" t="s">
        <v>142</v>
      </c>
      <c r="D36" s="7" t="s">
        <v>778</v>
      </c>
      <c r="E36" s="7" t="s">
        <v>7452</v>
      </c>
      <c r="F36" s="7" t="s">
        <v>7504</v>
      </c>
      <c r="G36" s="7" t="s">
        <v>943</v>
      </c>
      <c r="H36" s="8" t="s">
        <v>7483</v>
      </c>
      <c r="I36" s="7" t="s">
        <v>965</v>
      </c>
      <c r="J36" s="7" t="s">
        <v>7505</v>
      </c>
      <c r="K36" s="7" t="s">
        <v>1537</v>
      </c>
      <c r="L36" s="7" t="s">
        <v>1480</v>
      </c>
      <c r="M36" s="12"/>
      <c r="N36" s="12"/>
    </row>
    <row r="37" customFormat="false" ht="23.85" hidden="false" customHeight="false" outlineLevel="0" collapsed="false">
      <c r="A37" s="7" t="s">
        <v>7405</v>
      </c>
      <c r="B37" s="7" t="s">
        <v>1530</v>
      </c>
      <c r="C37" s="7" t="s">
        <v>142</v>
      </c>
      <c r="D37" s="7" t="s">
        <v>746</v>
      </c>
      <c r="E37" s="7" t="s">
        <v>7452</v>
      </c>
      <c r="F37" s="7" t="s">
        <v>7506</v>
      </c>
      <c r="G37" s="7" t="s">
        <v>943</v>
      </c>
      <c r="H37" s="8" t="s">
        <v>7454</v>
      </c>
      <c r="I37" s="7" t="s">
        <v>958</v>
      </c>
      <c r="J37" s="7" t="s">
        <v>1531</v>
      </c>
      <c r="K37" s="7" t="s">
        <v>1531</v>
      </c>
      <c r="L37" s="7" t="s">
        <v>1151</v>
      </c>
      <c r="M37" s="12"/>
      <c r="N37" s="12"/>
    </row>
    <row r="38" customFormat="false" ht="23.85" hidden="false" customHeight="false" outlineLevel="0" collapsed="false">
      <c r="A38" s="7" t="s">
        <v>7405</v>
      </c>
      <c r="B38" s="7" t="s">
        <v>1530</v>
      </c>
      <c r="C38" s="7" t="s">
        <v>142</v>
      </c>
      <c r="D38" s="7" t="s">
        <v>751</v>
      </c>
      <c r="E38" s="7" t="s">
        <v>7452</v>
      </c>
      <c r="F38" s="7" t="s">
        <v>7507</v>
      </c>
      <c r="G38" s="7" t="s">
        <v>943</v>
      </c>
      <c r="H38" s="8" t="s">
        <v>7456</v>
      </c>
      <c r="I38" s="7" t="s">
        <v>965</v>
      </c>
      <c r="J38" s="7" t="s">
        <v>7508</v>
      </c>
      <c r="K38" s="7" t="s">
        <v>1531</v>
      </c>
      <c r="L38" s="7" t="s">
        <v>1151</v>
      </c>
      <c r="M38" s="12"/>
      <c r="N38" s="12"/>
    </row>
    <row r="39" customFormat="false" ht="23.85" hidden="false" customHeight="false" outlineLevel="0" collapsed="false">
      <c r="A39" s="7" t="s">
        <v>7405</v>
      </c>
      <c r="B39" s="7" t="s">
        <v>1530</v>
      </c>
      <c r="C39" s="7" t="s">
        <v>142</v>
      </c>
      <c r="D39" s="7" t="s">
        <v>754</v>
      </c>
      <c r="E39" s="7" t="s">
        <v>7452</v>
      </c>
      <c r="F39" s="7" t="s">
        <v>7509</v>
      </c>
      <c r="G39" s="7" t="s">
        <v>943</v>
      </c>
      <c r="H39" s="8" t="s">
        <v>7459</v>
      </c>
      <c r="I39" s="7" t="s">
        <v>965</v>
      </c>
      <c r="J39" s="7" t="s">
        <v>7510</v>
      </c>
      <c r="K39" s="7" t="s">
        <v>1531</v>
      </c>
      <c r="L39" s="7" t="s">
        <v>1151</v>
      </c>
      <c r="M39" s="12"/>
      <c r="N39" s="12"/>
    </row>
    <row r="40" customFormat="false" ht="23.85" hidden="false" customHeight="false" outlineLevel="0" collapsed="false">
      <c r="A40" s="7" t="s">
        <v>7405</v>
      </c>
      <c r="B40" s="7" t="s">
        <v>1530</v>
      </c>
      <c r="C40" s="7" t="s">
        <v>142</v>
      </c>
      <c r="D40" s="7" t="s">
        <v>757</v>
      </c>
      <c r="E40" s="7" t="s">
        <v>7452</v>
      </c>
      <c r="F40" s="7" t="s">
        <v>7511</v>
      </c>
      <c r="G40" s="7" t="s">
        <v>943</v>
      </c>
      <c r="H40" s="8" t="s">
        <v>7462</v>
      </c>
      <c r="I40" s="7" t="s">
        <v>965</v>
      </c>
      <c r="J40" s="7" t="s">
        <v>7512</v>
      </c>
      <c r="K40" s="7" t="s">
        <v>1531</v>
      </c>
      <c r="L40" s="7" t="s">
        <v>1183</v>
      </c>
      <c r="M40" s="12"/>
      <c r="N40" s="12"/>
    </row>
    <row r="41" customFormat="false" ht="35.05" hidden="false" customHeight="false" outlineLevel="0" collapsed="false">
      <c r="A41" s="7" t="s">
        <v>7405</v>
      </c>
      <c r="B41" s="7" t="s">
        <v>1530</v>
      </c>
      <c r="C41" s="7" t="s">
        <v>142</v>
      </c>
      <c r="D41" s="7" t="s">
        <v>760</v>
      </c>
      <c r="E41" s="7" t="s">
        <v>7452</v>
      </c>
      <c r="F41" s="7" t="s">
        <v>7513</v>
      </c>
      <c r="G41" s="7" t="s">
        <v>943</v>
      </c>
      <c r="H41" s="8" t="s">
        <v>7465</v>
      </c>
      <c r="I41" s="7" t="s">
        <v>965</v>
      </c>
      <c r="J41" s="7" t="s">
        <v>7514</v>
      </c>
      <c r="K41" s="7" t="s">
        <v>1531</v>
      </c>
      <c r="L41" s="7" t="s">
        <v>1183</v>
      </c>
      <c r="M41" s="12"/>
      <c r="N41" s="12"/>
    </row>
    <row r="42" customFormat="false" ht="35.05" hidden="false" customHeight="false" outlineLevel="0" collapsed="false">
      <c r="A42" s="7" t="s">
        <v>7405</v>
      </c>
      <c r="B42" s="7" t="s">
        <v>1530</v>
      </c>
      <c r="C42" s="7" t="s">
        <v>142</v>
      </c>
      <c r="D42" s="7" t="s">
        <v>763</v>
      </c>
      <c r="E42" s="7" t="s">
        <v>7452</v>
      </c>
      <c r="F42" s="7" t="s">
        <v>7515</v>
      </c>
      <c r="G42" s="7" t="s">
        <v>943</v>
      </c>
      <c r="H42" s="8" t="s">
        <v>7468</v>
      </c>
      <c r="I42" s="7" t="s">
        <v>965</v>
      </c>
      <c r="J42" s="7" t="s">
        <v>7516</v>
      </c>
      <c r="K42" s="7" t="s">
        <v>1531</v>
      </c>
      <c r="L42" s="7" t="s">
        <v>1480</v>
      </c>
      <c r="M42" s="12"/>
      <c r="N42" s="12"/>
    </row>
    <row r="43" customFormat="false" ht="46.25" hidden="false" customHeight="false" outlineLevel="0" collapsed="false">
      <c r="A43" s="7" t="s">
        <v>7405</v>
      </c>
      <c r="B43" s="7" t="s">
        <v>1530</v>
      </c>
      <c r="C43" s="7" t="s">
        <v>142</v>
      </c>
      <c r="D43" s="7" t="s">
        <v>766</v>
      </c>
      <c r="E43" s="7" t="s">
        <v>7452</v>
      </c>
      <c r="F43" s="7" t="s">
        <v>7517</v>
      </c>
      <c r="G43" s="7" t="s">
        <v>943</v>
      </c>
      <c r="H43" s="8" t="s">
        <v>7471</v>
      </c>
      <c r="I43" s="7" t="s">
        <v>965</v>
      </c>
      <c r="J43" s="7" t="s">
        <v>7518</v>
      </c>
      <c r="K43" s="7" t="s">
        <v>1531</v>
      </c>
      <c r="L43" s="7" t="s">
        <v>1183</v>
      </c>
      <c r="M43" s="12"/>
      <c r="N43" s="12"/>
    </row>
    <row r="44" customFormat="false" ht="46.25" hidden="false" customHeight="false" outlineLevel="0" collapsed="false">
      <c r="A44" s="7" t="s">
        <v>7405</v>
      </c>
      <c r="B44" s="7" t="s">
        <v>1530</v>
      </c>
      <c r="C44" s="7" t="s">
        <v>142</v>
      </c>
      <c r="D44" s="7" t="s">
        <v>769</v>
      </c>
      <c r="E44" s="7" t="s">
        <v>7452</v>
      </c>
      <c r="F44" s="7" t="s">
        <v>7519</v>
      </c>
      <c r="G44" s="7" t="s">
        <v>943</v>
      </c>
      <c r="H44" s="8" t="s">
        <v>7474</v>
      </c>
      <c r="I44" s="7" t="s">
        <v>965</v>
      </c>
      <c r="J44" s="7" t="s">
        <v>7520</v>
      </c>
      <c r="K44" s="7" t="s">
        <v>1531</v>
      </c>
      <c r="L44" s="7" t="s">
        <v>1480</v>
      </c>
      <c r="M44" s="12"/>
      <c r="N44" s="12"/>
    </row>
    <row r="45" customFormat="false" ht="46.25" hidden="false" customHeight="false" outlineLevel="0" collapsed="false">
      <c r="A45" s="7" t="s">
        <v>7405</v>
      </c>
      <c r="B45" s="7" t="s">
        <v>1530</v>
      </c>
      <c r="C45" s="7" t="s">
        <v>142</v>
      </c>
      <c r="D45" s="7" t="s">
        <v>772</v>
      </c>
      <c r="E45" s="7" t="s">
        <v>7452</v>
      </c>
      <c r="F45" s="7" t="s">
        <v>7521</v>
      </c>
      <c r="G45" s="7" t="s">
        <v>943</v>
      </c>
      <c r="H45" s="8" t="s">
        <v>7477</v>
      </c>
      <c r="I45" s="7" t="s">
        <v>965</v>
      </c>
      <c r="J45" s="7" t="s">
        <v>7522</v>
      </c>
      <c r="K45" s="7" t="s">
        <v>1531</v>
      </c>
      <c r="L45" s="7" t="s">
        <v>1183</v>
      </c>
      <c r="M45" s="12"/>
      <c r="N45" s="12"/>
    </row>
    <row r="46" customFormat="false" ht="46.25" hidden="false" customHeight="false" outlineLevel="0" collapsed="false">
      <c r="A46" s="7" t="s">
        <v>7405</v>
      </c>
      <c r="B46" s="7" t="s">
        <v>1530</v>
      </c>
      <c r="C46" s="7" t="s">
        <v>142</v>
      </c>
      <c r="D46" s="7" t="s">
        <v>775</v>
      </c>
      <c r="E46" s="7" t="s">
        <v>7452</v>
      </c>
      <c r="F46" s="7" t="s">
        <v>7523</v>
      </c>
      <c r="G46" s="7" t="s">
        <v>943</v>
      </c>
      <c r="H46" s="8" t="s">
        <v>7480</v>
      </c>
      <c r="I46" s="7" t="s">
        <v>965</v>
      </c>
      <c r="J46" s="7" t="s">
        <v>7524</v>
      </c>
      <c r="K46" s="7" t="s">
        <v>1531</v>
      </c>
      <c r="L46" s="7" t="s">
        <v>1183</v>
      </c>
      <c r="M46" s="12"/>
      <c r="N46" s="12"/>
    </row>
    <row r="47" customFormat="false" ht="46.25" hidden="false" customHeight="false" outlineLevel="0" collapsed="false">
      <c r="A47" s="7" t="s">
        <v>7405</v>
      </c>
      <c r="B47" s="7" t="s">
        <v>1530</v>
      </c>
      <c r="C47" s="7" t="s">
        <v>142</v>
      </c>
      <c r="D47" s="7" t="s">
        <v>778</v>
      </c>
      <c r="E47" s="7" t="s">
        <v>7452</v>
      </c>
      <c r="F47" s="7" t="s">
        <v>7525</v>
      </c>
      <c r="G47" s="7" t="s">
        <v>943</v>
      </c>
      <c r="H47" s="8" t="s">
        <v>7483</v>
      </c>
      <c r="I47" s="7" t="s">
        <v>965</v>
      </c>
      <c r="J47" s="7" t="s">
        <v>7526</v>
      </c>
      <c r="K47" s="7" t="s">
        <v>1531</v>
      </c>
      <c r="L47" s="7" t="s">
        <v>1480</v>
      </c>
      <c r="M47" s="12"/>
      <c r="N47" s="12"/>
    </row>
    <row r="48" customFormat="false" ht="23.85" hidden="false" customHeight="false" outlineLevel="0" collapsed="false">
      <c r="A48" s="7" t="s">
        <v>7405</v>
      </c>
      <c r="B48" s="7" t="s">
        <v>2719</v>
      </c>
      <c r="C48" s="7" t="s">
        <v>309</v>
      </c>
      <c r="D48" s="7" t="s">
        <v>746</v>
      </c>
      <c r="E48" s="7" t="s">
        <v>7452</v>
      </c>
      <c r="F48" s="7" t="s">
        <v>7527</v>
      </c>
      <c r="G48" s="7" t="s">
        <v>943</v>
      </c>
      <c r="H48" s="8" t="s">
        <v>7454</v>
      </c>
      <c r="I48" s="7" t="s">
        <v>958</v>
      </c>
      <c r="J48" s="7" t="s">
        <v>2720</v>
      </c>
      <c r="K48" s="7" t="s">
        <v>2720</v>
      </c>
      <c r="L48" s="7" t="s">
        <v>1151</v>
      </c>
      <c r="M48" s="12"/>
      <c r="N48" s="12"/>
    </row>
    <row r="49" customFormat="false" ht="23.85" hidden="false" customHeight="false" outlineLevel="0" collapsed="false">
      <c r="A49" s="7" t="s">
        <v>7405</v>
      </c>
      <c r="B49" s="7" t="s">
        <v>2719</v>
      </c>
      <c r="C49" s="7" t="s">
        <v>309</v>
      </c>
      <c r="D49" s="7" t="s">
        <v>751</v>
      </c>
      <c r="E49" s="7" t="s">
        <v>7452</v>
      </c>
      <c r="F49" s="7" t="s">
        <v>7528</v>
      </c>
      <c r="G49" s="7" t="s">
        <v>943</v>
      </c>
      <c r="H49" s="8" t="s">
        <v>7456</v>
      </c>
      <c r="I49" s="7" t="s">
        <v>965</v>
      </c>
      <c r="J49" s="7" t="s">
        <v>7529</v>
      </c>
      <c r="K49" s="7" t="s">
        <v>2720</v>
      </c>
      <c r="L49" s="7" t="s">
        <v>1151</v>
      </c>
      <c r="M49" s="12"/>
      <c r="N49" s="12"/>
    </row>
    <row r="50" customFormat="false" ht="23.85" hidden="false" customHeight="false" outlineLevel="0" collapsed="false">
      <c r="A50" s="7" t="s">
        <v>7405</v>
      </c>
      <c r="B50" s="7" t="s">
        <v>2719</v>
      </c>
      <c r="C50" s="7" t="s">
        <v>309</v>
      </c>
      <c r="D50" s="7" t="s">
        <v>754</v>
      </c>
      <c r="E50" s="7" t="s">
        <v>7452</v>
      </c>
      <c r="F50" s="7" t="s">
        <v>7530</v>
      </c>
      <c r="G50" s="7" t="s">
        <v>943</v>
      </c>
      <c r="H50" s="8" t="s">
        <v>7459</v>
      </c>
      <c r="I50" s="7" t="s">
        <v>965</v>
      </c>
      <c r="J50" s="7" t="s">
        <v>7531</v>
      </c>
      <c r="K50" s="7" t="s">
        <v>2720</v>
      </c>
      <c r="L50" s="7" t="s">
        <v>1151</v>
      </c>
      <c r="M50" s="12"/>
      <c r="N50" s="12"/>
    </row>
    <row r="51" customFormat="false" ht="23.85" hidden="false" customHeight="false" outlineLevel="0" collapsed="false">
      <c r="A51" s="7" t="s">
        <v>7405</v>
      </c>
      <c r="B51" s="7" t="s">
        <v>2719</v>
      </c>
      <c r="C51" s="7" t="s">
        <v>309</v>
      </c>
      <c r="D51" s="7" t="s">
        <v>757</v>
      </c>
      <c r="E51" s="7" t="s">
        <v>7452</v>
      </c>
      <c r="F51" s="7" t="s">
        <v>7532</v>
      </c>
      <c r="G51" s="7" t="s">
        <v>943</v>
      </c>
      <c r="H51" s="8" t="s">
        <v>7462</v>
      </c>
      <c r="I51" s="7" t="s">
        <v>965</v>
      </c>
      <c r="J51" s="7" t="s">
        <v>7533</v>
      </c>
      <c r="K51" s="7" t="s">
        <v>2720</v>
      </c>
      <c r="L51" s="7" t="s">
        <v>1183</v>
      </c>
      <c r="M51" s="12"/>
      <c r="N51" s="12"/>
    </row>
    <row r="52" customFormat="false" ht="35.05" hidden="false" customHeight="false" outlineLevel="0" collapsed="false">
      <c r="A52" s="7" t="s">
        <v>7405</v>
      </c>
      <c r="B52" s="7" t="s">
        <v>2719</v>
      </c>
      <c r="C52" s="7" t="s">
        <v>309</v>
      </c>
      <c r="D52" s="7" t="s">
        <v>760</v>
      </c>
      <c r="E52" s="7" t="s">
        <v>7452</v>
      </c>
      <c r="F52" s="7" t="s">
        <v>7534</v>
      </c>
      <c r="G52" s="7" t="s">
        <v>943</v>
      </c>
      <c r="H52" s="8" t="s">
        <v>7465</v>
      </c>
      <c r="I52" s="7" t="s">
        <v>965</v>
      </c>
      <c r="J52" s="7" t="s">
        <v>7535</v>
      </c>
      <c r="K52" s="7" t="s">
        <v>2720</v>
      </c>
      <c r="L52" s="7" t="s">
        <v>1183</v>
      </c>
      <c r="M52" s="12"/>
      <c r="N52" s="12"/>
    </row>
    <row r="53" customFormat="false" ht="35.05" hidden="false" customHeight="false" outlineLevel="0" collapsed="false">
      <c r="A53" s="7" t="s">
        <v>7405</v>
      </c>
      <c r="B53" s="7" t="s">
        <v>2719</v>
      </c>
      <c r="C53" s="7" t="s">
        <v>309</v>
      </c>
      <c r="D53" s="7" t="s">
        <v>763</v>
      </c>
      <c r="E53" s="7" t="s">
        <v>7452</v>
      </c>
      <c r="F53" s="7" t="s">
        <v>7536</v>
      </c>
      <c r="G53" s="7" t="s">
        <v>943</v>
      </c>
      <c r="H53" s="8" t="s">
        <v>7468</v>
      </c>
      <c r="I53" s="7" t="s">
        <v>965</v>
      </c>
      <c r="J53" s="7" t="s">
        <v>7537</v>
      </c>
      <c r="K53" s="7" t="s">
        <v>2720</v>
      </c>
      <c r="L53" s="7" t="s">
        <v>1480</v>
      </c>
      <c r="M53" s="12"/>
      <c r="N53" s="12"/>
    </row>
    <row r="54" customFormat="false" ht="46.25" hidden="false" customHeight="false" outlineLevel="0" collapsed="false">
      <c r="A54" s="7" t="s">
        <v>7405</v>
      </c>
      <c r="B54" s="7" t="s">
        <v>2719</v>
      </c>
      <c r="C54" s="7" t="s">
        <v>309</v>
      </c>
      <c r="D54" s="7" t="s">
        <v>766</v>
      </c>
      <c r="E54" s="7" t="s">
        <v>7452</v>
      </c>
      <c r="F54" s="7" t="s">
        <v>7538</v>
      </c>
      <c r="G54" s="7" t="s">
        <v>943</v>
      </c>
      <c r="H54" s="8" t="s">
        <v>7471</v>
      </c>
      <c r="I54" s="7" t="s">
        <v>965</v>
      </c>
      <c r="J54" s="7" t="s">
        <v>7539</v>
      </c>
      <c r="K54" s="7" t="s">
        <v>2720</v>
      </c>
      <c r="L54" s="7" t="s">
        <v>1183</v>
      </c>
      <c r="M54" s="12"/>
      <c r="N54" s="12"/>
    </row>
    <row r="55" customFormat="false" ht="46.25" hidden="false" customHeight="false" outlineLevel="0" collapsed="false">
      <c r="A55" s="7" t="s">
        <v>7405</v>
      </c>
      <c r="B55" s="7" t="s">
        <v>2719</v>
      </c>
      <c r="C55" s="7" t="s">
        <v>309</v>
      </c>
      <c r="D55" s="7" t="s">
        <v>769</v>
      </c>
      <c r="E55" s="7" t="s">
        <v>7452</v>
      </c>
      <c r="F55" s="7" t="s">
        <v>7540</v>
      </c>
      <c r="G55" s="7" t="s">
        <v>943</v>
      </c>
      <c r="H55" s="8" t="s">
        <v>7474</v>
      </c>
      <c r="I55" s="7" t="s">
        <v>965</v>
      </c>
      <c r="J55" s="7" t="s">
        <v>7541</v>
      </c>
      <c r="K55" s="7" t="s">
        <v>2720</v>
      </c>
      <c r="L55" s="7" t="s">
        <v>1480</v>
      </c>
      <c r="M55" s="12"/>
      <c r="N55" s="12"/>
    </row>
    <row r="56" customFormat="false" ht="46.25" hidden="false" customHeight="false" outlineLevel="0" collapsed="false">
      <c r="A56" s="7" t="s">
        <v>7405</v>
      </c>
      <c r="B56" s="7" t="s">
        <v>2719</v>
      </c>
      <c r="C56" s="7" t="s">
        <v>309</v>
      </c>
      <c r="D56" s="7" t="s">
        <v>772</v>
      </c>
      <c r="E56" s="7" t="s">
        <v>7452</v>
      </c>
      <c r="F56" s="7" t="s">
        <v>7542</v>
      </c>
      <c r="G56" s="7" t="s">
        <v>943</v>
      </c>
      <c r="H56" s="8" t="s">
        <v>7477</v>
      </c>
      <c r="I56" s="7" t="s">
        <v>965</v>
      </c>
      <c r="J56" s="7" t="s">
        <v>7543</v>
      </c>
      <c r="K56" s="7" t="s">
        <v>2720</v>
      </c>
      <c r="L56" s="7" t="s">
        <v>1183</v>
      </c>
      <c r="M56" s="12"/>
      <c r="N56" s="12"/>
    </row>
    <row r="57" customFormat="false" ht="46.25" hidden="false" customHeight="false" outlineLevel="0" collapsed="false">
      <c r="A57" s="7" t="s">
        <v>7405</v>
      </c>
      <c r="B57" s="7" t="s">
        <v>2719</v>
      </c>
      <c r="C57" s="7" t="s">
        <v>309</v>
      </c>
      <c r="D57" s="7" t="s">
        <v>775</v>
      </c>
      <c r="E57" s="7" t="s">
        <v>7452</v>
      </c>
      <c r="F57" s="7" t="s">
        <v>7544</v>
      </c>
      <c r="G57" s="7" t="s">
        <v>943</v>
      </c>
      <c r="H57" s="8" t="s">
        <v>7480</v>
      </c>
      <c r="I57" s="7" t="s">
        <v>965</v>
      </c>
      <c r="J57" s="7" t="s">
        <v>7545</v>
      </c>
      <c r="K57" s="7" t="s">
        <v>2720</v>
      </c>
      <c r="L57" s="7" t="s">
        <v>1183</v>
      </c>
      <c r="M57" s="12"/>
      <c r="N57" s="12"/>
    </row>
    <row r="58" customFormat="false" ht="46.25" hidden="false" customHeight="false" outlineLevel="0" collapsed="false">
      <c r="A58" s="7" t="s">
        <v>7405</v>
      </c>
      <c r="B58" s="7" t="s">
        <v>2719</v>
      </c>
      <c r="C58" s="7" t="s">
        <v>309</v>
      </c>
      <c r="D58" s="7" t="s">
        <v>778</v>
      </c>
      <c r="E58" s="7" t="s">
        <v>7452</v>
      </c>
      <c r="F58" s="7" t="s">
        <v>7546</v>
      </c>
      <c r="G58" s="7" t="s">
        <v>943</v>
      </c>
      <c r="H58" s="8" t="s">
        <v>7483</v>
      </c>
      <c r="I58" s="7" t="s">
        <v>965</v>
      </c>
      <c r="J58" s="7" t="s">
        <v>7547</v>
      </c>
      <c r="K58" s="7" t="s">
        <v>2720</v>
      </c>
      <c r="L58" s="7" t="s">
        <v>1480</v>
      </c>
      <c r="M58" s="12"/>
      <c r="N58" s="12"/>
    </row>
    <row r="59" customFormat="false" ht="23.85" hidden="false" customHeight="false" outlineLevel="0" collapsed="false">
      <c r="A59" s="7" t="s">
        <v>7405</v>
      </c>
      <c r="B59" s="7" t="s">
        <v>2239</v>
      </c>
      <c r="C59" s="7" t="s">
        <v>231</v>
      </c>
      <c r="D59" s="7" t="s">
        <v>746</v>
      </c>
      <c r="E59" s="7" t="s">
        <v>7452</v>
      </c>
      <c r="F59" s="7" t="s">
        <v>7548</v>
      </c>
      <c r="G59" s="7" t="s">
        <v>943</v>
      </c>
      <c r="H59" s="8" t="s">
        <v>7454</v>
      </c>
      <c r="I59" s="7" t="s">
        <v>958</v>
      </c>
      <c r="J59" s="7" t="s">
        <v>2240</v>
      </c>
      <c r="K59" s="7" t="s">
        <v>2240</v>
      </c>
      <c r="L59" s="7" t="s">
        <v>1151</v>
      </c>
      <c r="M59" s="12"/>
      <c r="N59" s="12"/>
    </row>
    <row r="60" customFormat="false" ht="23.85" hidden="false" customHeight="false" outlineLevel="0" collapsed="false">
      <c r="A60" s="7" t="s">
        <v>7405</v>
      </c>
      <c r="B60" s="7" t="s">
        <v>2239</v>
      </c>
      <c r="C60" s="7" t="s">
        <v>231</v>
      </c>
      <c r="D60" s="7" t="s">
        <v>751</v>
      </c>
      <c r="E60" s="7" t="s">
        <v>7452</v>
      </c>
      <c r="F60" s="7" t="s">
        <v>7407</v>
      </c>
      <c r="G60" s="7" t="s">
        <v>943</v>
      </c>
      <c r="H60" s="8" t="s">
        <v>7456</v>
      </c>
      <c r="I60" s="7" t="s">
        <v>965</v>
      </c>
      <c r="J60" s="7" t="s">
        <v>7549</v>
      </c>
      <c r="K60" s="7" t="s">
        <v>2240</v>
      </c>
      <c r="L60" s="7" t="s">
        <v>1151</v>
      </c>
      <c r="M60" s="12"/>
      <c r="N60" s="12"/>
    </row>
    <row r="61" customFormat="false" ht="23.85" hidden="false" customHeight="false" outlineLevel="0" collapsed="false">
      <c r="A61" s="7" t="s">
        <v>7405</v>
      </c>
      <c r="B61" s="7" t="s">
        <v>2239</v>
      </c>
      <c r="C61" s="7" t="s">
        <v>231</v>
      </c>
      <c r="D61" s="7" t="s">
        <v>754</v>
      </c>
      <c r="E61" s="7" t="s">
        <v>7452</v>
      </c>
      <c r="F61" s="7" t="s">
        <v>7550</v>
      </c>
      <c r="G61" s="7" t="s">
        <v>943</v>
      </c>
      <c r="H61" s="8" t="s">
        <v>7459</v>
      </c>
      <c r="I61" s="7" t="s">
        <v>965</v>
      </c>
      <c r="J61" s="7" t="s">
        <v>7551</v>
      </c>
      <c r="K61" s="7" t="s">
        <v>2240</v>
      </c>
      <c r="L61" s="7" t="s">
        <v>1151</v>
      </c>
      <c r="M61" s="12"/>
      <c r="N61" s="12"/>
    </row>
    <row r="62" customFormat="false" ht="23.85" hidden="false" customHeight="false" outlineLevel="0" collapsed="false">
      <c r="A62" s="7" t="s">
        <v>7405</v>
      </c>
      <c r="B62" s="7" t="s">
        <v>2239</v>
      </c>
      <c r="C62" s="7" t="s">
        <v>231</v>
      </c>
      <c r="D62" s="7" t="s">
        <v>757</v>
      </c>
      <c r="E62" s="7" t="s">
        <v>7452</v>
      </c>
      <c r="F62" s="7" t="s">
        <v>7552</v>
      </c>
      <c r="G62" s="7" t="s">
        <v>943</v>
      </c>
      <c r="H62" s="8" t="s">
        <v>7462</v>
      </c>
      <c r="I62" s="7" t="s">
        <v>965</v>
      </c>
      <c r="J62" s="7" t="s">
        <v>7553</v>
      </c>
      <c r="K62" s="7" t="s">
        <v>2240</v>
      </c>
      <c r="L62" s="7" t="s">
        <v>1183</v>
      </c>
      <c r="M62" s="12"/>
      <c r="N62" s="12"/>
    </row>
    <row r="63" customFormat="false" ht="35.05" hidden="false" customHeight="false" outlineLevel="0" collapsed="false">
      <c r="A63" s="7" t="s">
        <v>7405</v>
      </c>
      <c r="B63" s="7" t="s">
        <v>2239</v>
      </c>
      <c r="C63" s="7" t="s">
        <v>231</v>
      </c>
      <c r="D63" s="7" t="s">
        <v>760</v>
      </c>
      <c r="E63" s="7" t="s">
        <v>7452</v>
      </c>
      <c r="F63" s="7" t="s">
        <v>7554</v>
      </c>
      <c r="G63" s="7" t="s">
        <v>943</v>
      </c>
      <c r="H63" s="8" t="s">
        <v>7465</v>
      </c>
      <c r="I63" s="7" t="s">
        <v>965</v>
      </c>
      <c r="J63" s="7" t="s">
        <v>7555</v>
      </c>
      <c r="K63" s="7" t="s">
        <v>2240</v>
      </c>
      <c r="L63" s="7" t="s">
        <v>1183</v>
      </c>
      <c r="M63" s="12"/>
      <c r="N63" s="12"/>
    </row>
    <row r="64" customFormat="false" ht="35.05" hidden="false" customHeight="false" outlineLevel="0" collapsed="false">
      <c r="A64" s="7" t="s">
        <v>7405</v>
      </c>
      <c r="B64" s="7" t="s">
        <v>2239</v>
      </c>
      <c r="C64" s="7" t="s">
        <v>231</v>
      </c>
      <c r="D64" s="7" t="s">
        <v>763</v>
      </c>
      <c r="E64" s="7" t="s">
        <v>7452</v>
      </c>
      <c r="F64" s="7" t="s">
        <v>7556</v>
      </c>
      <c r="G64" s="7" t="s">
        <v>943</v>
      </c>
      <c r="H64" s="8" t="s">
        <v>7468</v>
      </c>
      <c r="I64" s="7" t="s">
        <v>965</v>
      </c>
      <c r="J64" s="7" t="s">
        <v>7557</v>
      </c>
      <c r="K64" s="7" t="s">
        <v>2240</v>
      </c>
      <c r="L64" s="7" t="s">
        <v>1480</v>
      </c>
      <c r="M64" s="12"/>
      <c r="N64" s="12"/>
    </row>
    <row r="65" customFormat="false" ht="46.25" hidden="false" customHeight="false" outlineLevel="0" collapsed="false">
      <c r="A65" s="7" t="s">
        <v>7405</v>
      </c>
      <c r="B65" s="7" t="s">
        <v>2239</v>
      </c>
      <c r="C65" s="7" t="s">
        <v>231</v>
      </c>
      <c r="D65" s="7" t="s">
        <v>766</v>
      </c>
      <c r="E65" s="7" t="s">
        <v>7452</v>
      </c>
      <c r="F65" s="7" t="s">
        <v>7558</v>
      </c>
      <c r="G65" s="7" t="s">
        <v>943</v>
      </c>
      <c r="H65" s="8" t="s">
        <v>7471</v>
      </c>
      <c r="I65" s="7" t="s">
        <v>965</v>
      </c>
      <c r="J65" s="7" t="s">
        <v>7559</v>
      </c>
      <c r="K65" s="7" t="s">
        <v>2240</v>
      </c>
      <c r="L65" s="7" t="s">
        <v>1183</v>
      </c>
      <c r="M65" s="12"/>
      <c r="N65" s="12"/>
    </row>
    <row r="66" customFormat="false" ht="46.25" hidden="false" customHeight="false" outlineLevel="0" collapsed="false">
      <c r="A66" s="7" t="s">
        <v>7405</v>
      </c>
      <c r="B66" s="7" t="s">
        <v>2239</v>
      </c>
      <c r="C66" s="7" t="s">
        <v>231</v>
      </c>
      <c r="D66" s="7" t="s">
        <v>769</v>
      </c>
      <c r="E66" s="7" t="s">
        <v>7452</v>
      </c>
      <c r="F66" s="7" t="s">
        <v>7560</v>
      </c>
      <c r="G66" s="7" t="s">
        <v>943</v>
      </c>
      <c r="H66" s="8" t="s">
        <v>7474</v>
      </c>
      <c r="I66" s="7" t="s">
        <v>965</v>
      </c>
      <c r="J66" s="7" t="s">
        <v>7561</v>
      </c>
      <c r="K66" s="7" t="s">
        <v>2240</v>
      </c>
      <c r="L66" s="7" t="s">
        <v>1480</v>
      </c>
      <c r="M66" s="12"/>
      <c r="N66" s="12"/>
    </row>
    <row r="67" customFormat="false" ht="46.25" hidden="false" customHeight="false" outlineLevel="0" collapsed="false">
      <c r="A67" s="7" t="s">
        <v>7405</v>
      </c>
      <c r="B67" s="7" t="s">
        <v>2239</v>
      </c>
      <c r="C67" s="7" t="s">
        <v>231</v>
      </c>
      <c r="D67" s="7" t="s">
        <v>772</v>
      </c>
      <c r="E67" s="7" t="s">
        <v>7452</v>
      </c>
      <c r="F67" s="7" t="s">
        <v>7562</v>
      </c>
      <c r="G67" s="7" t="s">
        <v>943</v>
      </c>
      <c r="H67" s="8" t="s">
        <v>7477</v>
      </c>
      <c r="I67" s="7" t="s">
        <v>965</v>
      </c>
      <c r="J67" s="7" t="s">
        <v>7563</v>
      </c>
      <c r="K67" s="7" t="s">
        <v>2240</v>
      </c>
      <c r="L67" s="7" t="s">
        <v>1183</v>
      </c>
      <c r="M67" s="12"/>
      <c r="N67" s="12"/>
    </row>
    <row r="68" customFormat="false" ht="46.25" hidden="false" customHeight="false" outlineLevel="0" collapsed="false">
      <c r="A68" s="7" t="s">
        <v>7405</v>
      </c>
      <c r="B68" s="7" t="s">
        <v>2239</v>
      </c>
      <c r="C68" s="7" t="s">
        <v>231</v>
      </c>
      <c r="D68" s="7" t="s">
        <v>775</v>
      </c>
      <c r="E68" s="7" t="s">
        <v>7452</v>
      </c>
      <c r="F68" s="7" t="s">
        <v>7564</v>
      </c>
      <c r="G68" s="7" t="s">
        <v>943</v>
      </c>
      <c r="H68" s="8" t="s">
        <v>7480</v>
      </c>
      <c r="I68" s="7" t="s">
        <v>965</v>
      </c>
      <c r="J68" s="7" t="s">
        <v>7565</v>
      </c>
      <c r="K68" s="7" t="s">
        <v>2240</v>
      </c>
      <c r="L68" s="7" t="s">
        <v>1183</v>
      </c>
      <c r="M68" s="12"/>
      <c r="N68" s="12"/>
    </row>
    <row r="69" customFormat="false" ht="46.25" hidden="false" customHeight="false" outlineLevel="0" collapsed="false">
      <c r="A69" s="7" t="s">
        <v>7405</v>
      </c>
      <c r="B69" s="7" t="s">
        <v>2239</v>
      </c>
      <c r="C69" s="7" t="s">
        <v>231</v>
      </c>
      <c r="D69" s="7" t="s">
        <v>778</v>
      </c>
      <c r="E69" s="7" t="s">
        <v>7452</v>
      </c>
      <c r="F69" s="7" t="s">
        <v>7566</v>
      </c>
      <c r="G69" s="7" t="s">
        <v>943</v>
      </c>
      <c r="H69" s="8" t="s">
        <v>7483</v>
      </c>
      <c r="I69" s="7" t="s">
        <v>965</v>
      </c>
      <c r="J69" s="7" t="s">
        <v>7567</v>
      </c>
      <c r="K69" s="7" t="s">
        <v>2240</v>
      </c>
      <c r="L69" s="7" t="s">
        <v>1480</v>
      </c>
      <c r="M69" s="12"/>
      <c r="N69" s="12"/>
    </row>
    <row r="70" customFormat="false" ht="23.85" hidden="false" customHeight="false" outlineLevel="0" collapsed="false">
      <c r="A70" s="7" t="s">
        <v>7405</v>
      </c>
      <c r="B70" s="7" t="s">
        <v>2248</v>
      </c>
      <c r="C70" s="7" t="s">
        <v>231</v>
      </c>
      <c r="D70" s="7" t="s">
        <v>746</v>
      </c>
      <c r="E70" s="7" t="s">
        <v>7452</v>
      </c>
      <c r="F70" s="7" t="s">
        <v>7568</v>
      </c>
      <c r="G70" s="7" t="s">
        <v>943</v>
      </c>
      <c r="H70" s="8" t="s">
        <v>7454</v>
      </c>
      <c r="I70" s="7" t="s">
        <v>958</v>
      </c>
      <c r="J70" s="7" t="s">
        <v>2249</v>
      </c>
      <c r="K70" s="7" t="s">
        <v>2249</v>
      </c>
      <c r="L70" s="7" t="s">
        <v>1151</v>
      </c>
      <c r="M70" s="12"/>
      <c r="N70" s="12"/>
    </row>
    <row r="71" customFormat="false" ht="23.85" hidden="false" customHeight="false" outlineLevel="0" collapsed="false">
      <c r="A71" s="7" t="s">
        <v>7405</v>
      </c>
      <c r="B71" s="7" t="s">
        <v>2248</v>
      </c>
      <c r="C71" s="7" t="s">
        <v>231</v>
      </c>
      <c r="D71" s="7" t="s">
        <v>751</v>
      </c>
      <c r="E71" s="7" t="s">
        <v>7452</v>
      </c>
      <c r="F71" s="7" t="s">
        <v>7569</v>
      </c>
      <c r="G71" s="7" t="s">
        <v>943</v>
      </c>
      <c r="H71" s="8" t="s">
        <v>7456</v>
      </c>
      <c r="I71" s="7" t="s">
        <v>965</v>
      </c>
      <c r="J71" s="7" t="s">
        <v>7570</v>
      </c>
      <c r="K71" s="7" t="s">
        <v>2249</v>
      </c>
      <c r="L71" s="7" t="s">
        <v>1151</v>
      </c>
      <c r="M71" s="12"/>
      <c r="N71" s="12"/>
    </row>
    <row r="72" customFormat="false" ht="23.85" hidden="false" customHeight="false" outlineLevel="0" collapsed="false">
      <c r="A72" s="7" t="s">
        <v>7405</v>
      </c>
      <c r="B72" s="7" t="s">
        <v>2248</v>
      </c>
      <c r="C72" s="7" t="s">
        <v>231</v>
      </c>
      <c r="D72" s="7" t="s">
        <v>754</v>
      </c>
      <c r="E72" s="7" t="s">
        <v>7452</v>
      </c>
      <c r="F72" s="7" t="s">
        <v>7571</v>
      </c>
      <c r="G72" s="7" t="s">
        <v>943</v>
      </c>
      <c r="H72" s="8" t="s">
        <v>7459</v>
      </c>
      <c r="I72" s="7" t="s">
        <v>965</v>
      </c>
      <c r="J72" s="7" t="s">
        <v>7572</v>
      </c>
      <c r="K72" s="7" t="s">
        <v>2249</v>
      </c>
      <c r="L72" s="7" t="s">
        <v>1151</v>
      </c>
      <c r="M72" s="12"/>
      <c r="N72" s="12"/>
    </row>
    <row r="73" customFormat="false" ht="23.85" hidden="false" customHeight="false" outlineLevel="0" collapsed="false">
      <c r="A73" s="7" t="s">
        <v>7405</v>
      </c>
      <c r="B73" s="7" t="s">
        <v>2248</v>
      </c>
      <c r="C73" s="7" t="s">
        <v>231</v>
      </c>
      <c r="D73" s="7" t="s">
        <v>757</v>
      </c>
      <c r="E73" s="7" t="s">
        <v>7452</v>
      </c>
      <c r="F73" s="7" t="s">
        <v>7573</v>
      </c>
      <c r="G73" s="7" t="s">
        <v>943</v>
      </c>
      <c r="H73" s="8" t="s">
        <v>7462</v>
      </c>
      <c r="I73" s="7" t="s">
        <v>965</v>
      </c>
      <c r="J73" s="7" t="s">
        <v>7574</v>
      </c>
      <c r="K73" s="7" t="s">
        <v>2249</v>
      </c>
      <c r="L73" s="7" t="s">
        <v>1183</v>
      </c>
      <c r="M73" s="12"/>
      <c r="N73" s="12"/>
    </row>
    <row r="74" customFormat="false" ht="35.05" hidden="false" customHeight="false" outlineLevel="0" collapsed="false">
      <c r="A74" s="7" t="s">
        <v>7405</v>
      </c>
      <c r="B74" s="7" t="s">
        <v>2248</v>
      </c>
      <c r="C74" s="7" t="s">
        <v>231</v>
      </c>
      <c r="D74" s="7" t="s">
        <v>760</v>
      </c>
      <c r="E74" s="7" t="s">
        <v>7452</v>
      </c>
      <c r="F74" s="7" t="s">
        <v>7575</v>
      </c>
      <c r="G74" s="7" t="s">
        <v>943</v>
      </c>
      <c r="H74" s="8" t="s">
        <v>7465</v>
      </c>
      <c r="I74" s="7" t="s">
        <v>965</v>
      </c>
      <c r="J74" s="7" t="s">
        <v>7576</v>
      </c>
      <c r="K74" s="7" t="s">
        <v>2249</v>
      </c>
      <c r="L74" s="7" t="s">
        <v>1183</v>
      </c>
      <c r="M74" s="12"/>
      <c r="N74" s="12"/>
    </row>
    <row r="75" customFormat="false" ht="35.05" hidden="false" customHeight="false" outlineLevel="0" collapsed="false">
      <c r="A75" s="7" t="s">
        <v>7405</v>
      </c>
      <c r="B75" s="7" t="s">
        <v>2248</v>
      </c>
      <c r="C75" s="7" t="s">
        <v>231</v>
      </c>
      <c r="D75" s="7" t="s">
        <v>763</v>
      </c>
      <c r="E75" s="7" t="s">
        <v>7452</v>
      </c>
      <c r="F75" s="7" t="s">
        <v>7577</v>
      </c>
      <c r="G75" s="7" t="s">
        <v>943</v>
      </c>
      <c r="H75" s="8" t="s">
        <v>7468</v>
      </c>
      <c r="I75" s="7" t="s">
        <v>965</v>
      </c>
      <c r="J75" s="7" t="s">
        <v>7578</v>
      </c>
      <c r="K75" s="7" t="s">
        <v>2249</v>
      </c>
      <c r="L75" s="7" t="s">
        <v>1480</v>
      </c>
      <c r="M75" s="12"/>
      <c r="N75" s="12"/>
    </row>
    <row r="76" customFormat="false" ht="46.25" hidden="false" customHeight="false" outlineLevel="0" collapsed="false">
      <c r="A76" s="7" t="s">
        <v>7405</v>
      </c>
      <c r="B76" s="7" t="s">
        <v>2248</v>
      </c>
      <c r="C76" s="7" t="s">
        <v>231</v>
      </c>
      <c r="D76" s="7" t="s">
        <v>766</v>
      </c>
      <c r="E76" s="7" t="s">
        <v>7452</v>
      </c>
      <c r="F76" s="7" t="s">
        <v>7579</v>
      </c>
      <c r="G76" s="7" t="s">
        <v>943</v>
      </c>
      <c r="H76" s="8" t="s">
        <v>7471</v>
      </c>
      <c r="I76" s="7" t="s">
        <v>965</v>
      </c>
      <c r="J76" s="7" t="s">
        <v>7580</v>
      </c>
      <c r="K76" s="7" t="s">
        <v>2249</v>
      </c>
      <c r="L76" s="7" t="s">
        <v>1183</v>
      </c>
      <c r="M76" s="12"/>
      <c r="N76" s="12"/>
    </row>
    <row r="77" customFormat="false" ht="46.25" hidden="false" customHeight="false" outlineLevel="0" collapsed="false">
      <c r="A77" s="7" t="s">
        <v>7405</v>
      </c>
      <c r="B77" s="7" t="s">
        <v>2248</v>
      </c>
      <c r="C77" s="7" t="s">
        <v>231</v>
      </c>
      <c r="D77" s="7" t="s">
        <v>769</v>
      </c>
      <c r="E77" s="7" t="s">
        <v>7452</v>
      </c>
      <c r="F77" s="7" t="s">
        <v>7581</v>
      </c>
      <c r="G77" s="7" t="s">
        <v>943</v>
      </c>
      <c r="H77" s="8" t="s">
        <v>7474</v>
      </c>
      <c r="I77" s="7" t="s">
        <v>965</v>
      </c>
      <c r="J77" s="7" t="s">
        <v>7582</v>
      </c>
      <c r="K77" s="7" t="s">
        <v>2249</v>
      </c>
      <c r="L77" s="7" t="s">
        <v>1480</v>
      </c>
      <c r="M77" s="12"/>
      <c r="N77" s="12"/>
    </row>
    <row r="78" customFormat="false" ht="46.25" hidden="false" customHeight="false" outlineLevel="0" collapsed="false">
      <c r="A78" s="7" t="s">
        <v>7405</v>
      </c>
      <c r="B78" s="7" t="s">
        <v>2248</v>
      </c>
      <c r="C78" s="7" t="s">
        <v>231</v>
      </c>
      <c r="D78" s="7" t="s">
        <v>772</v>
      </c>
      <c r="E78" s="7" t="s">
        <v>7452</v>
      </c>
      <c r="F78" s="7" t="s">
        <v>7583</v>
      </c>
      <c r="G78" s="7" t="s">
        <v>943</v>
      </c>
      <c r="H78" s="8" t="s">
        <v>7477</v>
      </c>
      <c r="I78" s="7" t="s">
        <v>965</v>
      </c>
      <c r="J78" s="7" t="s">
        <v>7584</v>
      </c>
      <c r="K78" s="7" t="s">
        <v>2249</v>
      </c>
      <c r="L78" s="7" t="s">
        <v>1183</v>
      </c>
      <c r="M78" s="12"/>
      <c r="N78" s="12"/>
    </row>
    <row r="79" customFormat="false" ht="46.25" hidden="false" customHeight="false" outlineLevel="0" collapsed="false">
      <c r="A79" s="7" t="s">
        <v>7405</v>
      </c>
      <c r="B79" s="7" t="s">
        <v>2248</v>
      </c>
      <c r="C79" s="7" t="s">
        <v>231</v>
      </c>
      <c r="D79" s="7" t="s">
        <v>775</v>
      </c>
      <c r="E79" s="7" t="s">
        <v>7452</v>
      </c>
      <c r="F79" s="7" t="s">
        <v>7585</v>
      </c>
      <c r="G79" s="7" t="s">
        <v>943</v>
      </c>
      <c r="H79" s="8" t="s">
        <v>7480</v>
      </c>
      <c r="I79" s="7" t="s">
        <v>965</v>
      </c>
      <c r="J79" s="7" t="s">
        <v>7586</v>
      </c>
      <c r="K79" s="7" t="s">
        <v>2249</v>
      </c>
      <c r="L79" s="7" t="s">
        <v>1183</v>
      </c>
      <c r="M79" s="12"/>
      <c r="N79" s="12"/>
    </row>
    <row r="80" customFormat="false" ht="46.25" hidden="false" customHeight="false" outlineLevel="0" collapsed="false">
      <c r="A80" s="7" t="s">
        <v>7405</v>
      </c>
      <c r="B80" s="7" t="s">
        <v>2248</v>
      </c>
      <c r="C80" s="7" t="s">
        <v>231</v>
      </c>
      <c r="D80" s="7" t="s">
        <v>778</v>
      </c>
      <c r="E80" s="7" t="s">
        <v>7452</v>
      </c>
      <c r="F80" s="7" t="s">
        <v>7587</v>
      </c>
      <c r="G80" s="7" t="s">
        <v>943</v>
      </c>
      <c r="H80" s="8" t="s">
        <v>7483</v>
      </c>
      <c r="I80" s="7" t="s">
        <v>965</v>
      </c>
      <c r="J80" s="7" t="s">
        <v>7588</v>
      </c>
      <c r="K80" s="7" t="s">
        <v>2249</v>
      </c>
      <c r="L80" s="7" t="s">
        <v>1480</v>
      </c>
      <c r="M80" s="12"/>
      <c r="N80" s="12"/>
    </row>
    <row r="81" customFormat="false" ht="23.85" hidden="false" customHeight="false" outlineLevel="0" collapsed="false">
      <c r="A81" s="7" t="s">
        <v>7405</v>
      </c>
      <c r="B81" s="7" t="s">
        <v>2299</v>
      </c>
      <c r="C81" s="7" t="s">
        <v>231</v>
      </c>
      <c r="D81" s="7" t="s">
        <v>746</v>
      </c>
      <c r="E81" s="7" t="s">
        <v>7452</v>
      </c>
      <c r="F81" s="7" t="s">
        <v>7589</v>
      </c>
      <c r="G81" s="7" t="s">
        <v>943</v>
      </c>
      <c r="H81" s="8" t="s">
        <v>7454</v>
      </c>
      <c r="I81" s="7" t="s">
        <v>958</v>
      </c>
      <c r="J81" s="7" t="s">
        <v>2300</v>
      </c>
      <c r="K81" s="7" t="s">
        <v>2300</v>
      </c>
      <c r="L81" s="7" t="s">
        <v>1151</v>
      </c>
      <c r="M81" s="12"/>
      <c r="N81" s="12"/>
    </row>
    <row r="82" customFormat="false" ht="23.85" hidden="false" customHeight="false" outlineLevel="0" collapsed="false">
      <c r="A82" s="7" t="s">
        <v>7405</v>
      </c>
      <c r="B82" s="7" t="s">
        <v>2299</v>
      </c>
      <c r="C82" s="7" t="s">
        <v>231</v>
      </c>
      <c r="D82" s="7" t="s">
        <v>751</v>
      </c>
      <c r="E82" s="7" t="s">
        <v>7452</v>
      </c>
      <c r="F82" s="7" t="s">
        <v>7590</v>
      </c>
      <c r="G82" s="7" t="s">
        <v>943</v>
      </c>
      <c r="H82" s="8" t="s">
        <v>7456</v>
      </c>
      <c r="I82" s="7" t="s">
        <v>965</v>
      </c>
      <c r="J82" s="7" t="s">
        <v>7591</v>
      </c>
      <c r="K82" s="7" t="s">
        <v>2300</v>
      </c>
      <c r="L82" s="7" t="s">
        <v>1151</v>
      </c>
      <c r="M82" s="12"/>
      <c r="N82" s="12"/>
    </row>
    <row r="83" customFormat="false" ht="23.85" hidden="false" customHeight="false" outlineLevel="0" collapsed="false">
      <c r="A83" s="7" t="s">
        <v>7405</v>
      </c>
      <c r="B83" s="7" t="s">
        <v>2299</v>
      </c>
      <c r="C83" s="7" t="s">
        <v>231</v>
      </c>
      <c r="D83" s="7" t="s">
        <v>754</v>
      </c>
      <c r="E83" s="7" t="s">
        <v>7452</v>
      </c>
      <c r="F83" s="7" t="s">
        <v>7592</v>
      </c>
      <c r="G83" s="7" t="s">
        <v>943</v>
      </c>
      <c r="H83" s="8" t="s">
        <v>7459</v>
      </c>
      <c r="I83" s="7" t="s">
        <v>965</v>
      </c>
      <c r="J83" s="7" t="s">
        <v>7593</v>
      </c>
      <c r="K83" s="7" t="s">
        <v>2300</v>
      </c>
      <c r="L83" s="7" t="s">
        <v>1151</v>
      </c>
      <c r="M83" s="12"/>
      <c r="N83" s="12"/>
    </row>
    <row r="84" customFormat="false" ht="23.85" hidden="false" customHeight="false" outlineLevel="0" collapsed="false">
      <c r="A84" s="7" t="s">
        <v>7405</v>
      </c>
      <c r="B84" s="7" t="s">
        <v>2299</v>
      </c>
      <c r="C84" s="7" t="s">
        <v>231</v>
      </c>
      <c r="D84" s="7" t="s">
        <v>757</v>
      </c>
      <c r="E84" s="7" t="s">
        <v>7452</v>
      </c>
      <c r="F84" s="7" t="s">
        <v>7594</v>
      </c>
      <c r="G84" s="7" t="s">
        <v>943</v>
      </c>
      <c r="H84" s="8" t="s">
        <v>7462</v>
      </c>
      <c r="I84" s="7" t="s">
        <v>965</v>
      </c>
      <c r="J84" s="7" t="s">
        <v>7595</v>
      </c>
      <c r="K84" s="7" t="s">
        <v>2300</v>
      </c>
      <c r="L84" s="7" t="s">
        <v>1183</v>
      </c>
      <c r="M84" s="12"/>
      <c r="N84" s="12"/>
    </row>
    <row r="85" customFormat="false" ht="35.05" hidden="false" customHeight="false" outlineLevel="0" collapsed="false">
      <c r="A85" s="7" t="s">
        <v>7405</v>
      </c>
      <c r="B85" s="7" t="s">
        <v>2299</v>
      </c>
      <c r="C85" s="7" t="s">
        <v>231</v>
      </c>
      <c r="D85" s="7" t="s">
        <v>760</v>
      </c>
      <c r="E85" s="7" t="s">
        <v>7452</v>
      </c>
      <c r="F85" s="7" t="s">
        <v>7596</v>
      </c>
      <c r="G85" s="7" t="s">
        <v>943</v>
      </c>
      <c r="H85" s="8" t="s">
        <v>7465</v>
      </c>
      <c r="I85" s="7" t="s">
        <v>965</v>
      </c>
      <c r="J85" s="7" t="s">
        <v>7597</v>
      </c>
      <c r="K85" s="7" t="s">
        <v>2300</v>
      </c>
      <c r="L85" s="7" t="s">
        <v>1183</v>
      </c>
      <c r="M85" s="12"/>
      <c r="N85" s="12"/>
    </row>
    <row r="86" customFormat="false" ht="35.05" hidden="false" customHeight="false" outlineLevel="0" collapsed="false">
      <c r="A86" s="7" t="s">
        <v>7405</v>
      </c>
      <c r="B86" s="7" t="s">
        <v>2299</v>
      </c>
      <c r="C86" s="7" t="s">
        <v>231</v>
      </c>
      <c r="D86" s="7" t="s">
        <v>763</v>
      </c>
      <c r="E86" s="7" t="s">
        <v>7452</v>
      </c>
      <c r="F86" s="7" t="s">
        <v>7598</v>
      </c>
      <c r="G86" s="7" t="s">
        <v>943</v>
      </c>
      <c r="H86" s="8" t="s">
        <v>7468</v>
      </c>
      <c r="I86" s="7" t="s">
        <v>965</v>
      </c>
      <c r="J86" s="7" t="s">
        <v>7599</v>
      </c>
      <c r="K86" s="7" t="s">
        <v>2300</v>
      </c>
      <c r="L86" s="7" t="s">
        <v>1480</v>
      </c>
      <c r="M86" s="12"/>
      <c r="N86" s="12"/>
    </row>
    <row r="87" customFormat="false" ht="46.25" hidden="false" customHeight="false" outlineLevel="0" collapsed="false">
      <c r="A87" s="7" t="s">
        <v>7405</v>
      </c>
      <c r="B87" s="7" t="s">
        <v>2299</v>
      </c>
      <c r="C87" s="7" t="s">
        <v>231</v>
      </c>
      <c r="D87" s="7" t="s">
        <v>766</v>
      </c>
      <c r="E87" s="7" t="s">
        <v>7452</v>
      </c>
      <c r="F87" s="7" t="s">
        <v>7600</v>
      </c>
      <c r="G87" s="7" t="s">
        <v>943</v>
      </c>
      <c r="H87" s="8" t="s">
        <v>7471</v>
      </c>
      <c r="I87" s="7" t="s">
        <v>965</v>
      </c>
      <c r="J87" s="7" t="s">
        <v>7601</v>
      </c>
      <c r="K87" s="7" t="s">
        <v>2300</v>
      </c>
      <c r="L87" s="7" t="s">
        <v>1183</v>
      </c>
      <c r="M87" s="12"/>
      <c r="N87" s="12"/>
    </row>
    <row r="88" customFormat="false" ht="46.25" hidden="false" customHeight="false" outlineLevel="0" collapsed="false">
      <c r="A88" s="7" t="s">
        <v>7405</v>
      </c>
      <c r="B88" s="7" t="s">
        <v>2299</v>
      </c>
      <c r="C88" s="7" t="s">
        <v>231</v>
      </c>
      <c r="D88" s="7" t="s">
        <v>769</v>
      </c>
      <c r="E88" s="7" t="s">
        <v>7452</v>
      </c>
      <c r="F88" s="7" t="s">
        <v>7602</v>
      </c>
      <c r="G88" s="7" t="s">
        <v>943</v>
      </c>
      <c r="H88" s="8" t="s">
        <v>7474</v>
      </c>
      <c r="I88" s="7" t="s">
        <v>965</v>
      </c>
      <c r="J88" s="7" t="s">
        <v>7603</v>
      </c>
      <c r="K88" s="7" t="s">
        <v>2300</v>
      </c>
      <c r="L88" s="7" t="s">
        <v>1480</v>
      </c>
      <c r="M88" s="12"/>
      <c r="N88" s="12"/>
    </row>
    <row r="89" customFormat="false" ht="46.25" hidden="false" customHeight="false" outlineLevel="0" collapsed="false">
      <c r="A89" s="7" t="s">
        <v>7405</v>
      </c>
      <c r="B89" s="7" t="s">
        <v>2299</v>
      </c>
      <c r="C89" s="7" t="s">
        <v>231</v>
      </c>
      <c r="D89" s="7" t="s">
        <v>772</v>
      </c>
      <c r="E89" s="7" t="s">
        <v>7452</v>
      </c>
      <c r="F89" s="7" t="s">
        <v>7604</v>
      </c>
      <c r="G89" s="7" t="s">
        <v>943</v>
      </c>
      <c r="H89" s="8" t="s">
        <v>7477</v>
      </c>
      <c r="I89" s="7" t="s">
        <v>965</v>
      </c>
      <c r="J89" s="7" t="s">
        <v>7605</v>
      </c>
      <c r="K89" s="7" t="s">
        <v>2300</v>
      </c>
      <c r="L89" s="7" t="s">
        <v>1183</v>
      </c>
      <c r="M89" s="12"/>
      <c r="N89" s="12"/>
    </row>
    <row r="90" customFormat="false" ht="46.25" hidden="false" customHeight="false" outlineLevel="0" collapsed="false">
      <c r="A90" s="7" t="s">
        <v>7405</v>
      </c>
      <c r="B90" s="7" t="s">
        <v>2299</v>
      </c>
      <c r="C90" s="7" t="s">
        <v>231</v>
      </c>
      <c r="D90" s="7" t="s">
        <v>775</v>
      </c>
      <c r="E90" s="7" t="s">
        <v>7452</v>
      </c>
      <c r="F90" s="7" t="s">
        <v>7606</v>
      </c>
      <c r="G90" s="7" t="s">
        <v>943</v>
      </c>
      <c r="H90" s="8" t="s">
        <v>7480</v>
      </c>
      <c r="I90" s="7" t="s">
        <v>965</v>
      </c>
      <c r="J90" s="7" t="s">
        <v>7607</v>
      </c>
      <c r="K90" s="7" t="s">
        <v>2300</v>
      </c>
      <c r="L90" s="7" t="s">
        <v>1183</v>
      </c>
      <c r="M90" s="12"/>
      <c r="N90" s="12"/>
    </row>
    <row r="91" customFormat="false" ht="46.25" hidden="false" customHeight="false" outlineLevel="0" collapsed="false">
      <c r="A91" s="7" t="s">
        <v>7405</v>
      </c>
      <c r="B91" s="7" t="s">
        <v>2299</v>
      </c>
      <c r="C91" s="7" t="s">
        <v>231</v>
      </c>
      <c r="D91" s="7" t="s">
        <v>778</v>
      </c>
      <c r="E91" s="7" t="s">
        <v>7452</v>
      </c>
      <c r="F91" s="7" t="s">
        <v>7608</v>
      </c>
      <c r="G91" s="7" t="s">
        <v>943</v>
      </c>
      <c r="H91" s="8" t="s">
        <v>7483</v>
      </c>
      <c r="I91" s="7" t="s">
        <v>965</v>
      </c>
      <c r="J91" s="7" t="s">
        <v>7609</v>
      </c>
      <c r="K91" s="7" t="s">
        <v>2300</v>
      </c>
      <c r="L91" s="7" t="s">
        <v>1480</v>
      </c>
      <c r="M91" s="12"/>
      <c r="N91" s="12"/>
    </row>
    <row r="92" customFormat="false" ht="23.85" hidden="false" customHeight="false" outlineLevel="0" collapsed="false">
      <c r="A92" s="7" t="s">
        <v>7405</v>
      </c>
      <c r="B92" s="7" t="s">
        <v>2441</v>
      </c>
      <c r="C92" s="7" t="s">
        <v>265</v>
      </c>
      <c r="D92" s="7" t="s">
        <v>746</v>
      </c>
      <c r="E92" s="7" t="s">
        <v>7452</v>
      </c>
      <c r="F92" s="7" t="s">
        <v>7610</v>
      </c>
      <c r="G92" s="7" t="s">
        <v>943</v>
      </c>
      <c r="H92" s="8" t="s">
        <v>7454</v>
      </c>
      <c r="I92" s="7" t="s">
        <v>958</v>
      </c>
      <c r="J92" s="7" t="s">
        <v>2440</v>
      </c>
      <c r="K92" s="7" t="s">
        <v>2440</v>
      </c>
      <c r="L92" s="7" t="s">
        <v>1151</v>
      </c>
      <c r="M92" s="12"/>
      <c r="N92" s="12"/>
    </row>
    <row r="93" customFormat="false" ht="23.85" hidden="false" customHeight="false" outlineLevel="0" collapsed="false">
      <c r="A93" s="7" t="s">
        <v>7405</v>
      </c>
      <c r="B93" s="7" t="s">
        <v>2441</v>
      </c>
      <c r="C93" s="7" t="s">
        <v>265</v>
      </c>
      <c r="D93" s="7" t="s">
        <v>751</v>
      </c>
      <c r="E93" s="7" t="s">
        <v>7452</v>
      </c>
      <c r="F93" s="7" t="s">
        <v>7611</v>
      </c>
      <c r="G93" s="7" t="s">
        <v>943</v>
      </c>
      <c r="H93" s="8" t="s">
        <v>7456</v>
      </c>
      <c r="I93" s="7" t="s">
        <v>965</v>
      </c>
      <c r="J93" s="7" t="s">
        <v>7612</v>
      </c>
      <c r="K93" s="7" t="s">
        <v>2440</v>
      </c>
      <c r="L93" s="7" t="s">
        <v>1151</v>
      </c>
      <c r="M93" s="12"/>
      <c r="N93" s="12"/>
    </row>
    <row r="94" customFormat="false" ht="23.85" hidden="false" customHeight="false" outlineLevel="0" collapsed="false">
      <c r="A94" s="7" t="s">
        <v>7405</v>
      </c>
      <c r="B94" s="7" t="s">
        <v>2441</v>
      </c>
      <c r="C94" s="7" t="s">
        <v>265</v>
      </c>
      <c r="D94" s="7" t="s">
        <v>754</v>
      </c>
      <c r="E94" s="7" t="s">
        <v>7452</v>
      </c>
      <c r="F94" s="7" t="s">
        <v>7613</v>
      </c>
      <c r="G94" s="7" t="s">
        <v>943</v>
      </c>
      <c r="H94" s="8" t="s">
        <v>7459</v>
      </c>
      <c r="I94" s="7" t="s">
        <v>965</v>
      </c>
      <c r="J94" s="7" t="s">
        <v>7614</v>
      </c>
      <c r="K94" s="7" t="s">
        <v>2440</v>
      </c>
      <c r="L94" s="7" t="s">
        <v>1151</v>
      </c>
      <c r="M94" s="12"/>
      <c r="N94" s="12"/>
    </row>
    <row r="95" customFormat="false" ht="23.85" hidden="false" customHeight="false" outlineLevel="0" collapsed="false">
      <c r="A95" s="7" t="s">
        <v>7405</v>
      </c>
      <c r="B95" s="7" t="s">
        <v>2441</v>
      </c>
      <c r="C95" s="7" t="s">
        <v>265</v>
      </c>
      <c r="D95" s="7" t="s">
        <v>757</v>
      </c>
      <c r="E95" s="7" t="s">
        <v>7452</v>
      </c>
      <c r="F95" s="7" t="s">
        <v>7615</v>
      </c>
      <c r="G95" s="7" t="s">
        <v>943</v>
      </c>
      <c r="H95" s="8" t="s">
        <v>7462</v>
      </c>
      <c r="I95" s="7" t="s">
        <v>965</v>
      </c>
      <c r="J95" s="7" t="s">
        <v>7616</v>
      </c>
      <c r="K95" s="7" t="s">
        <v>2440</v>
      </c>
      <c r="L95" s="7" t="s">
        <v>1183</v>
      </c>
      <c r="M95" s="12"/>
      <c r="N95" s="12"/>
    </row>
    <row r="96" customFormat="false" ht="35.05" hidden="false" customHeight="false" outlineLevel="0" collapsed="false">
      <c r="A96" s="7" t="s">
        <v>7405</v>
      </c>
      <c r="B96" s="7" t="s">
        <v>2441</v>
      </c>
      <c r="C96" s="7" t="s">
        <v>265</v>
      </c>
      <c r="D96" s="7" t="s">
        <v>760</v>
      </c>
      <c r="E96" s="7" t="s">
        <v>7452</v>
      </c>
      <c r="F96" s="7" t="s">
        <v>7617</v>
      </c>
      <c r="G96" s="7" t="s">
        <v>943</v>
      </c>
      <c r="H96" s="8" t="s">
        <v>7465</v>
      </c>
      <c r="I96" s="7" t="s">
        <v>965</v>
      </c>
      <c r="J96" s="7" t="s">
        <v>7618</v>
      </c>
      <c r="K96" s="7" t="s">
        <v>2440</v>
      </c>
      <c r="L96" s="7" t="s">
        <v>1183</v>
      </c>
      <c r="M96" s="12"/>
      <c r="N96" s="12"/>
    </row>
    <row r="97" customFormat="false" ht="35.05" hidden="false" customHeight="false" outlineLevel="0" collapsed="false">
      <c r="A97" s="7" t="s">
        <v>7405</v>
      </c>
      <c r="B97" s="7" t="s">
        <v>2441</v>
      </c>
      <c r="C97" s="7" t="s">
        <v>265</v>
      </c>
      <c r="D97" s="7" t="s">
        <v>763</v>
      </c>
      <c r="E97" s="7" t="s">
        <v>7452</v>
      </c>
      <c r="F97" s="7" t="s">
        <v>7619</v>
      </c>
      <c r="G97" s="7" t="s">
        <v>943</v>
      </c>
      <c r="H97" s="8" t="s">
        <v>7468</v>
      </c>
      <c r="I97" s="7" t="s">
        <v>965</v>
      </c>
      <c r="J97" s="7" t="s">
        <v>7620</v>
      </c>
      <c r="K97" s="7" t="s">
        <v>2440</v>
      </c>
      <c r="L97" s="7" t="s">
        <v>1480</v>
      </c>
      <c r="M97" s="12"/>
      <c r="N97" s="12"/>
    </row>
    <row r="98" customFormat="false" ht="46.25" hidden="false" customHeight="false" outlineLevel="0" collapsed="false">
      <c r="A98" s="7" t="s">
        <v>7405</v>
      </c>
      <c r="B98" s="7" t="s">
        <v>2441</v>
      </c>
      <c r="C98" s="7" t="s">
        <v>265</v>
      </c>
      <c r="D98" s="7" t="s">
        <v>766</v>
      </c>
      <c r="E98" s="7" t="s">
        <v>7452</v>
      </c>
      <c r="F98" s="7" t="s">
        <v>7621</v>
      </c>
      <c r="G98" s="7" t="s">
        <v>943</v>
      </c>
      <c r="H98" s="8" t="s">
        <v>7471</v>
      </c>
      <c r="I98" s="7" t="s">
        <v>965</v>
      </c>
      <c r="J98" s="7" t="s">
        <v>7622</v>
      </c>
      <c r="K98" s="7" t="s">
        <v>2440</v>
      </c>
      <c r="L98" s="7" t="s">
        <v>1183</v>
      </c>
      <c r="M98" s="12"/>
      <c r="N98" s="12"/>
    </row>
    <row r="99" customFormat="false" ht="46.25" hidden="false" customHeight="false" outlineLevel="0" collapsed="false">
      <c r="A99" s="7" t="s">
        <v>7405</v>
      </c>
      <c r="B99" s="7" t="s">
        <v>2441</v>
      </c>
      <c r="C99" s="7" t="s">
        <v>265</v>
      </c>
      <c r="D99" s="7" t="s">
        <v>769</v>
      </c>
      <c r="E99" s="7" t="s">
        <v>7452</v>
      </c>
      <c r="F99" s="7" t="s">
        <v>7623</v>
      </c>
      <c r="G99" s="7" t="s">
        <v>943</v>
      </c>
      <c r="H99" s="8" t="s">
        <v>7474</v>
      </c>
      <c r="I99" s="7" t="s">
        <v>965</v>
      </c>
      <c r="J99" s="7" t="s">
        <v>7624</v>
      </c>
      <c r="K99" s="7" t="s">
        <v>2440</v>
      </c>
      <c r="L99" s="7" t="s">
        <v>1480</v>
      </c>
      <c r="M99" s="12"/>
      <c r="N99" s="12"/>
    </row>
    <row r="100" customFormat="false" ht="46.25" hidden="false" customHeight="false" outlineLevel="0" collapsed="false">
      <c r="A100" s="7" t="s">
        <v>7405</v>
      </c>
      <c r="B100" s="7" t="s">
        <v>2441</v>
      </c>
      <c r="C100" s="7" t="s">
        <v>265</v>
      </c>
      <c r="D100" s="7" t="s">
        <v>772</v>
      </c>
      <c r="E100" s="7" t="s">
        <v>7452</v>
      </c>
      <c r="F100" s="7" t="s">
        <v>7625</v>
      </c>
      <c r="G100" s="7" t="s">
        <v>943</v>
      </c>
      <c r="H100" s="8" t="s">
        <v>7477</v>
      </c>
      <c r="I100" s="7" t="s">
        <v>965</v>
      </c>
      <c r="J100" s="7" t="s">
        <v>7626</v>
      </c>
      <c r="K100" s="7" t="s">
        <v>2440</v>
      </c>
      <c r="L100" s="7" t="s">
        <v>1183</v>
      </c>
      <c r="M100" s="12"/>
      <c r="N100" s="12"/>
    </row>
    <row r="101" customFormat="false" ht="46.25" hidden="false" customHeight="false" outlineLevel="0" collapsed="false">
      <c r="A101" s="7" t="s">
        <v>7405</v>
      </c>
      <c r="B101" s="7" t="s">
        <v>2441</v>
      </c>
      <c r="C101" s="7" t="s">
        <v>265</v>
      </c>
      <c r="D101" s="7" t="s">
        <v>775</v>
      </c>
      <c r="E101" s="7" t="s">
        <v>7452</v>
      </c>
      <c r="F101" s="7" t="s">
        <v>7627</v>
      </c>
      <c r="G101" s="7" t="s">
        <v>943</v>
      </c>
      <c r="H101" s="8" t="s">
        <v>7480</v>
      </c>
      <c r="I101" s="7" t="s">
        <v>965</v>
      </c>
      <c r="J101" s="7" t="s">
        <v>7628</v>
      </c>
      <c r="K101" s="7" t="s">
        <v>2440</v>
      </c>
      <c r="L101" s="7" t="s">
        <v>1183</v>
      </c>
      <c r="M101" s="12"/>
      <c r="N101" s="12"/>
    </row>
    <row r="102" customFormat="false" ht="46.25" hidden="false" customHeight="false" outlineLevel="0" collapsed="false">
      <c r="A102" s="7" t="s">
        <v>7405</v>
      </c>
      <c r="B102" s="7" t="s">
        <v>2441</v>
      </c>
      <c r="C102" s="7" t="s">
        <v>265</v>
      </c>
      <c r="D102" s="7" t="s">
        <v>778</v>
      </c>
      <c r="E102" s="7" t="s">
        <v>7452</v>
      </c>
      <c r="F102" s="7" t="s">
        <v>7629</v>
      </c>
      <c r="G102" s="7" t="s">
        <v>943</v>
      </c>
      <c r="H102" s="8" t="s">
        <v>7483</v>
      </c>
      <c r="I102" s="7" t="s">
        <v>965</v>
      </c>
      <c r="J102" s="7" t="s">
        <v>7630</v>
      </c>
      <c r="K102" s="7" t="s">
        <v>2440</v>
      </c>
      <c r="L102" s="7" t="s">
        <v>1480</v>
      </c>
      <c r="M102" s="12"/>
      <c r="N102" s="12"/>
    </row>
    <row r="103" customFormat="false" ht="23.85" hidden="false" customHeight="false" outlineLevel="0" collapsed="false">
      <c r="A103" s="7" t="s">
        <v>7405</v>
      </c>
      <c r="B103" s="7" t="s">
        <v>2549</v>
      </c>
      <c r="C103" s="7" t="s">
        <v>265</v>
      </c>
      <c r="D103" s="7" t="s">
        <v>746</v>
      </c>
      <c r="E103" s="7" t="s">
        <v>7452</v>
      </c>
      <c r="F103" s="7" t="s">
        <v>7631</v>
      </c>
      <c r="G103" s="7" t="s">
        <v>943</v>
      </c>
      <c r="H103" s="8" t="s">
        <v>7454</v>
      </c>
      <c r="I103" s="7" t="s">
        <v>958</v>
      </c>
      <c r="J103" s="7" t="s">
        <v>2550</v>
      </c>
      <c r="K103" s="7" t="s">
        <v>2550</v>
      </c>
      <c r="L103" s="7" t="s">
        <v>1151</v>
      </c>
      <c r="M103" s="12"/>
      <c r="N103" s="12"/>
    </row>
    <row r="104" customFormat="false" ht="23.85" hidden="false" customHeight="false" outlineLevel="0" collapsed="false">
      <c r="A104" s="7" t="s">
        <v>7405</v>
      </c>
      <c r="B104" s="7" t="s">
        <v>2549</v>
      </c>
      <c r="C104" s="7" t="s">
        <v>265</v>
      </c>
      <c r="D104" s="7" t="s">
        <v>751</v>
      </c>
      <c r="E104" s="7" t="s">
        <v>7452</v>
      </c>
      <c r="F104" s="7" t="s">
        <v>7632</v>
      </c>
      <c r="G104" s="7" t="s">
        <v>943</v>
      </c>
      <c r="H104" s="8" t="s">
        <v>7456</v>
      </c>
      <c r="I104" s="7" t="s">
        <v>965</v>
      </c>
      <c r="J104" s="7" t="s">
        <v>7633</v>
      </c>
      <c r="K104" s="7" t="s">
        <v>2550</v>
      </c>
      <c r="L104" s="7" t="s">
        <v>1151</v>
      </c>
      <c r="M104" s="12"/>
      <c r="N104" s="12"/>
    </row>
    <row r="105" customFormat="false" ht="23.85" hidden="false" customHeight="false" outlineLevel="0" collapsed="false">
      <c r="A105" s="7" t="s">
        <v>7405</v>
      </c>
      <c r="B105" s="7" t="s">
        <v>2549</v>
      </c>
      <c r="C105" s="7" t="s">
        <v>265</v>
      </c>
      <c r="D105" s="7" t="s">
        <v>754</v>
      </c>
      <c r="E105" s="7" t="s">
        <v>7452</v>
      </c>
      <c r="F105" s="7" t="s">
        <v>7634</v>
      </c>
      <c r="G105" s="7" t="s">
        <v>943</v>
      </c>
      <c r="H105" s="8" t="s">
        <v>7459</v>
      </c>
      <c r="I105" s="7" t="s">
        <v>965</v>
      </c>
      <c r="J105" s="7" t="s">
        <v>7635</v>
      </c>
      <c r="K105" s="7" t="s">
        <v>2550</v>
      </c>
      <c r="L105" s="7" t="s">
        <v>1151</v>
      </c>
      <c r="M105" s="12"/>
      <c r="N105" s="12"/>
    </row>
    <row r="106" customFormat="false" ht="23.85" hidden="false" customHeight="false" outlineLevel="0" collapsed="false">
      <c r="A106" s="7" t="s">
        <v>7405</v>
      </c>
      <c r="B106" s="7" t="s">
        <v>2549</v>
      </c>
      <c r="C106" s="7" t="s">
        <v>265</v>
      </c>
      <c r="D106" s="7" t="s">
        <v>757</v>
      </c>
      <c r="E106" s="7" t="s">
        <v>7452</v>
      </c>
      <c r="F106" s="7" t="s">
        <v>7636</v>
      </c>
      <c r="G106" s="7" t="s">
        <v>943</v>
      </c>
      <c r="H106" s="8" t="s">
        <v>7462</v>
      </c>
      <c r="I106" s="7" t="s">
        <v>965</v>
      </c>
      <c r="J106" s="7" t="s">
        <v>7637</v>
      </c>
      <c r="K106" s="7" t="s">
        <v>2550</v>
      </c>
      <c r="L106" s="7" t="s">
        <v>1183</v>
      </c>
      <c r="M106" s="12"/>
      <c r="N106" s="12"/>
    </row>
    <row r="107" customFormat="false" ht="35.05" hidden="false" customHeight="false" outlineLevel="0" collapsed="false">
      <c r="A107" s="7" t="s">
        <v>7405</v>
      </c>
      <c r="B107" s="7" t="s">
        <v>2549</v>
      </c>
      <c r="C107" s="7" t="s">
        <v>265</v>
      </c>
      <c r="D107" s="7" t="s">
        <v>760</v>
      </c>
      <c r="E107" s="7" t="s">
        <v>7452</v>
      </c>
      <c r="F107" s="7" t="s">
        <v>7638</v>
      </c>
      <c r="G107" s="7" t="s">
        <v>943</v>
      </c>
      <c r="H107" s="8" t="s">
        <v>7465</v>
      </c>
      <c r="I107" s="7" t="s">
        <v>965</v>
      </c>
      <c r="J107" s="7" t="s">
        <v>7639</v>
      </c>
      <c r="K107" s="7" t="s">
        <v>2550</v>
      </c>
      <c r="L107" s="7" t="s">
        <v>1183</v>
      </c>
      <c r="M107" s="12"/>
      <c r="N107" s="12"/>
    </row>
    <row r="108" customFormat="false" ht="35.05" hidden="false" customHeight="false" outlineLevel="0" collapsed="false">
      <c r="A108" s="7" t="s">
        <v>7405</v>
      </c>
      <c r="B108" s="7" t="s">
        <v>2549</v>
      </c>
      <c r="C108" s="7" t="s">
        <v>265</v>
      </c>
      <c r="D108" s="7" t="s">
        <v>763</v>
      </c>
      <c r="E108" s="7" t="s">
        <v>7452</v>
      </c>
      <c r="F108" s="7" t="s">
        <v>7640</v>
      </c>
      <c r="G108" s="7" t="s">
        <v>943</v>
      </c>
      <c r="H108" s="8" t="s">
        <v>7468</v>
      </c>
      <c r="I108" s="7" t="s">
        <v>965</v>
      </c>
      <c r="J108" s="7" t="s">
        <v>7641</v>
      </c>
      <c r="K108" s="7" t="s">
        <v>2550</v>
      </c>
      <c r="L108" s="7" t="s">
        <v>1480</v>
      </c>
      <c r="M108" s="12"/>
      <c r="N108" s="12"/>
    </row>
    <row r="109" customFormat="false" ht="46.25" hidden="false" customHeight="false" outlineLevel="0" collapsed="false">
      <c r="A109" s="7" t="s">
        <v>7405</v>
      </c>
      <c r="B109" s="7" t="s">
        <v>2549</v>
      </c>
      <c r="C109" s="7" t="s">
        <v>265</v>
      </c>
      <c r="D109" s="7" t="s">
        <v>766</v>
      </c>
      <c r="E109" s="7" t="s">
        <v>7452</v>
      </c>
      <c r="F109" s="7" t="s">
        <v>7642</v>
      </c>
      <c r="G109" s="7" t="s">
        <v>943</v>
      </c>
      <c r="H109" s="8" t="s">
        <v>7471</v>
      </c>
      <c r="I109" s="7" t="s">
        <v>965</v>
      </c>
      <c r="J109" s="7" t="s">
        <v>7643</v>
      </c>
      <c r="K109" s="7" t="s">
        <v>2550</v>
      </c>
      <c r="L109" s="7" t="s">
        <v>1183</v>
      </c>
      <c r="M109" s="12"/>
      <c r="N109" s="12"/>
    </row>
    <row r="110" customFormat="false" ht="46.25" hidden="false" customHeight="false" outlineLevel="0" collapsed="false">
      <c r="A110" s="7" t="s">
        <v>7405</v>
      </c>
      <c r="B110" s="7" t="s">
        <v>2549</v>
      </c>
      <c r="C110" s="7" t="s">
        <v>265</v>
      </c>
      <c r="D110" s="7" t="s">
        <v>769</v>
      </c>
      <c r="E110" s="7" t="s">
        <v>7452</v>
      </c>
      <c r="F110" s="7" t="s">
        <v>7644</v>
      </c>
      <c r="G110" s="7" t="s">
        <v>943</v>
      </c>
      <c r="H110" s="8" t="s">
        <v>7474</v>
      </c>
      <c r="I110" s="7" t="s">
        <v>965</v>
      </c>
      <c r="J110" s="7" t="s">
        <v>7645</v>
      </c>
      <c r="K110" s="7" t="s">
        <v>2550</v>
      </c>
      <c r="L110" s="7" t="s">
        <v>1480</v>
      </c>
      <c r="M110" s="12"/>
      <c r="N110" s="12"/>
    </row>
    <row r="111" customFormat="false" ht="46.25" hidden="false" customHeight="false" outlineLevel="0" collapsed="false">
      <c r="A111" s="7" t="s">
        <v>7405</v>
      </c>
      <c r="B111" s="7" t="s">
        <v>2549</v>
      </c>
      <c r="C111" s="7" t="s">
        <v>265</v>
      </c>
      <c r="D111" s="7" t="s">
        <v>772</v>
      </c>
      <c r="E111" s="7" t="s">
        <v>7452</v>
      </c>
      <c r="F111" s="7" t="s">
        <v>7646</v>
      </c>
      <c r="G111" s="7" t="s">
        <v>943</v>
      </c>
      <c r="H111" s="8" t="s">
        <v>7477</v>
      </c>
      <c r="I111" s="7" t="s">
        <v>965</v>
      </c>
      <c r="J111" s="7" t="s">
        <v>7647</v>
      </c>
      <c r="K111" s="7" t="s">
        <v>2550</v>
      </c>
      <c r="L111" s="7" t="s">
        <v>1183</v>
      </c>
      <c r="M111" s="12"/>
      <c r="N111" s="12"/>
    </row>
    <row r="112" customFormat="false" ht="46.25" hidden="false" customHeight="false" outlineLevel="0" collapsed="false">
      <c r="A112" s="7" t="s">
        <v>7405</v>
      </c>
      <c r="B112" s="7" t="s">
        <v>2549</v>
      </c>
      <c r="C112" s="7" t="s">
        <v>265</v>
      </c>
      <c r="D112" s="7" t="s">
        <v>775</v>
      </c>
      <c r="E112" s="7" t="s">
        <v>7452</v>
      </c>
      <c r="F112" s="7" t="s">
        <v>7648</v>
      </c>
      <c r="G112" s="7" t="s">
        <v>943</v>
      </c>
      <c r="H112" s="8" t="s">
        <v>7480</v>
      </c>
      <c r="I112" s="7" t="s">
        <v>965</v>
      </c>
      <c r="J112" s="7" t="s">
        <v>7649</v>
      </c>
      <c r="K112" s="7" t="s">
        <v>2550</v>
      </c>
      <c r="L112" s="7" t="s">
        <v>1183</v>
      </c>
      <c r="M112" s="12"/>
      <c r="N112" s="12"/>
    </row>
    <row r="113" customFormat="false" ht="46.25" hidden="false" customHeight="false" outlineLevel="0" collapsed="false">
      <c r="A113" s="7" t="s">
        <v>7405</v>
      </c>
      <c r="B113" s="7" t="s">
        <v>2549</v>
      </c>
      <c r="C113" s="7" t="s">
        <v>265</v>
      </c>
      <c r="D113" s="7" t="s">
        <v>778</v>
      </c>
      <c r="E113" s="7" t="s">
        <v>7452</v>
      </c>
      <c r="F113" s="7" t="s">
        <v>7650</v>
      </c>
      <c r="G113" s="7" t="s">
        <v>943</v>
      </c>
      <c r="H113" s="8" t="s">
        <v>7483</v>
      </c>
      <c r="I113" s="7" t="s">
        <v>965</v>
      </c>
      <c r="J113" s="7" t="s">
        <v>7651</v>
      </c>
      <c r="K113" s="7" t="s">
        <v>2550</v>
      </c>
      <c r="L113" s="7" t="s">
        <v>1480</v>
      </c>
      <c r="M113" s="12"/>
      <c r="N113" s="12"/>
    </row>
    <row r="114" customFormat="false" ht="23.85" hidden="false" customHeight="false" outlineLevel="0" collapsed="false">
      <c r="A114" s="7" t="s">
        <v>7405</v>
      </c>
      <c r="B114" s="7" t="s">
        <v>2943</v>
      </c>
      <c r="C114" s="7" t="s">
        <v>345</v>
      </c>
      <c r="D114" s="7" t="s">
        <v>746</v>
      </c>
      <c r="E114" s="7" t="s">
        <v>7452</v>
      </c>
      <c r="F114" s="7" t="s">
        <v>7652</v>
      </c>
      <c r="G114" s="7" t="s">
        <v>943</v>
      </c>
      <c r="H114" s="8" t="s">
        <v>7454</v>
      </c>
      <c r="I114" s="7" t="s">
        <v>958</v>
      </c>
      <c r="J114" s="7" t="s">
        <v>2945</v>
      </c>
      <c r="K114" s="7" t="s">
        <v>2945</v>
      </c>
      <c r="L114" s="7" t="s">
        <v>1151</v>
      </c>
      <c r="M114" s="12"/>
      <c r="N114" s="12"/>
    </row>
    <row r="115" customFormat="false" ht="23.85" hidden="false" customHeight="false" outlineLevel="0" collapsed="false">
      <c r="A115" s="7" t="s">
        <v>7405</v>
      </c>
      <c r="B115" s="7" t="s">
        <v>2943</v>
      </c>
      <c r="C115" s="7" t="s">
        <v>345</v>
      </c>
      <c r="D115" s="7" t="s">
        <v>751</v>
      </c>
      <c r="E115" s="7" t="s">
        <v>7452</v>
      </c>
      <c r="F115" s="7" t="s">
        <v>7653</v>
      </c>
      <c r="G115" s="7" t="s">
        <v>943</v>
      </c>
      <c r="H115" s="8" t="s">
        <v>7456</v>
      </c>
      <c r="I115" s="7" t="s">
        <v>965</v>
      </c>
      <c r="J115" s="7" t="s">
        <v>7654</v>
      </c>
      <c r="K115" s="7" t="s">
        <v>2945</v>
      </c>
      <c r="L115" s="7" t="s">
        <v>1151</v>
      </c>
      <c r="M115" s="12"/>
      <c r="N115" s="12"/>
    </row>
    <row r="116" customFormat="false" ht="23.85" hidden="false" customHeight="false" outlineLevel="0" collapsed="false">
      <c r="A116" s="7" t="s">
        <v>7405</v>
      </c>
      <c r="B116" s="7" t="s">
        <v>2943</v>
      </c>
      <c r="C116" s="7" t="s">
        <v>345</v>
      </c>
      <c r="D116" s="7" t="s">
        <v>754</v>
      </c>
      <c r="E116" s="7" t="s">
        <v>7452</v>
      </c>
      <c r="F116" s="7" t="s">
        <v>7655</v>
      </c>
      <c r="G116" s="7" t="s">
        <v>943</v>
      </c>
      <c r="H116" s="8" t="s">
        <v>7459</v>
      </c>
      <c r="I116" s="7" t="s">
        <v>965</v>
      </c>
      <c r="J116" s="7" t="s">
        <v>7656</v>
      </c>
      <c r="K116" s="7" t="s">
        <v>2945</v>
      </c>
      <c r="L116" s="7" t="s">
        <v>1151</v>
      </c>
      <c r="M116" s="12"/>
      <c r="N116" s="12"/>
    </row>
    <row r="117" customFormat="false" ht="23.85" hidden="false" customHeight="false" outlineLevel="0" collapsed="false">
      <c r="A117" s="7" t="s">
        <v>7405</v>
      </c>
      <c r="B117" s="7" t="s">
        <v>2943</v>
      </c>
      <c r="C117" s="7" t="s">
        <v>345</v>
      </c>
      <c r="D117" s="7" t="s">
        <v>757</v>
      </c>
      <c r="E117" s="7" t="s">
        <v>7452</v>
      </c>
      <c r="F117" s="7" t="s">
        <v>7657</v>
      </c>
      <c r="G117" s="7" t="s">
        <v>943</v>
      </c>
      <c r="H117" s="8" t="s">
        <v>7462</v>
      </c>
      <c r="I117" s="7" t="s">
        <v>965</v>
      </c>
      <c r="J117" s="7" t="s">
        <v>7658</v>
      </c>
      <c r="K117" s="7" t="s">
        <v>2945</v>
      </c>
      <c r="L117" s="7" t="s">
        <v>1183</v>
      </c>
      <c r="M117" s="12"/>
      <c r="N117" s="12"/>
    </row>
    <row r="118" customFormat="false" ht="35.05" hidden="false" customHeight="false" outlineLevel="0" collapsed="false">
      <c r="A118" s="7" t="s">
        <v>7405</v>
      </c>
      <c r="B118" s="7" t="s">
        <v>2943</v>
      </c>
      <c r="C118" s="7" t="s">
        <v>345</v>
      </c>
      <c r="D118" s="7" t="s">
        <v>760</v>
      </c>
      <c r="E118" s="7" t="s">
        <v>7452</v>
      </c>
      <c r="F118" s="7" t="s">
        <v>7659</v>
      </c>
      <c r="G118" s="7" t="s">
        <v>943</v>
      </c>
      <c r="H118" s="8" t="s">
        <v>7465</v>
      </c>
      <c r="I118" s="7" t="s">
        <v>965</v>
      </c>
      <c r="J118" s="7" t="s">
        <v>7660</v>
      </c>
      <c r="K118" s="7" t="s">
        <v>2945</v>
      </c>
      <c r="L118" s="7" t="s">
        <v>1183</v>
      </c>
      <c r="M118" s="12"/>
      <c r="N118" s="12"/>
    </row>
    <row r="119" customFormat="false" ht="35.05" hidden="false" customHeight="false" outlineLevel="0" collapsed="false">
      <c r="A119" s="7" t="s">
        <v>7405</v>
      </c>
      <c r="B119" s="7" t="s">
        <v>2943</v>
      </c>
      <c r="C119" s="7" t="s">
        <v>345</v>
      </c>
      <c r="D119" s="7" t="s">
        <v>763</v>
      </c>
      <c r="E119" s="7" t="s">
        <v>7452</v>
      </c>
      <c r="F119" s="7" t="s">
        <v>7661</v>
      </c>
      <c r="G119" s="7" t="s">
        <v>943</v>
      </c>
      <c r="H119" s="8" t="s">
        <v>7468</v>
      </c>
      <c r="I119" s="7" t="s">
        <v>965</v>
      </c>
      <c r="J119" s="7" t="s">
        <v>7662</v>
      </c>
      <c r="K119" s="7" t="s">
        <v>2945</v>
      </c>
      <c r="L119" s="7" t="s">
        <v>1480</v>
      </c>
      <c r="M119" s="12"/>
      <c r="N119" s="12"/>
    </row>
    <row r="120" customFormat="false" ht="46.25" hidden="false" customHeight="false" outlineLevel="0" collapsed="false">
      <c r="A120" s="7" t="s">
        <v>7405</v>
      </c>
      <c r="B120" s="7" t="s">
        <v>2943</v>
      </c>
      <c r="C120" s="7" t="s">
        <v>345</v>
      </c>
      <c r="D120" s="7" t="s">
        <v>766</v>
      </c>
      <c r="E120" s="7" t="s">
        <v>7452</v>
      </c>
      <c r="F120" s="7" t="s">
        <v>7663</v>
      </c>
      <c r="G120" s="7" t="s">
        <v>943</v>
      </c>
      <c r="H120" s="8" t="s">
        <v>7471</v>
      </c>
      <c r="I120" s="7" t="s">
        <v>965</v>
      </c>
      <c r="J120" s="7" t="s">
        <v>7664</v>
      </c>
      <c r="K120" s="7" t="s">
        <v>2945</v>
      </c>
      <c r="L120" s="7" t="s">
        <v>1183</v>
      </c>
      <c r="M120" s="12"/>
      <c r="N120" s="12"/>
    </row>
    <row r="121" customFormat="false" ht="46.25" hidden="false" customHeight="false" outlineLevel="0" collapsed="false">
      <c r="A121" s="7" t="s">
        <v>7405</v>
      </c>
      <c r="B121" s="7" t="s">
        <v>2943</v>
      </c>
      <c r="C121" s="7" t="s">
        <v>345</v>
      </c>
      <c r="D121" s="7" t="s">
        <v>769</v>
      </c>
      <c r="E121" s="7" t="s">
        <v>7452</v>
      </c>
      <c r="F121" s="7" t="s">
        <v>7665</v>
      </c>
      <c r="G121" s="7" t="s">
        <v>943</v>
      </c>
      <c r="H121" s="8" t="s">
        <v>7474</v>
      </c>
      <c r="I121" s="7" t="s">
        <v>965</v>
      </c>
      <c r="J121" s="7" t="s">
        <v>7666</v>
      </c>
      <c r="K121" s="7" t="s">
        <v>2945</v>
      </c>
      <c r="L121" s="7" t="s">
        <v>1480</v>
      </c>
      <c r="M121" s="12"/>
      <c r="N121" s="12"/>
    </row>
    <row r="122" customFormat="false" ht="46.25" hidden="false" customHeight="false" outlineLevel="0" collapsed="false">
      <c r="A122" s="7" t="s">
        <v>7405</v>
      </c>
      <c r="B122" s="7" t="s">
        <v>2943</v>
      </c>
      <c r="C122" s="7" t="s">
        <v>345</v>
      </c>
      <c r="D122" s="7" t="s">
        <v>772</v>
      </c>
      <c r="E122" s="7" t="s">
        <v>7452</v>
      </c>
      <c r="F122" s="7" t="s">
        <v>7667</v>
      </c>
      <c r="G122" s="7" t="s">
        <v>943</v>
      </c>
      <c r="H122" s="8" t="s">
        <v>7477</v>
      </c>
      <c r="I122" s="7" t="s">
        <v>965</v>
      </c>
      <c r="J122" s="7" t="s">
        <v>7668</v>
      </c>
      <c r="K122" s="7" t="s">
        <v>2945</v>
      </c>
      <c r="L122" s="7" t="s">
        <v>1183</v>
      </c>
      <c r="M122" s="12"/>
      <c r="N122" s="12"/>
    </row>
    <row r="123" customFormat="false" ht="46.25" hidden="false" customHeight="false" outlineLevel="0" collapsed="false">
      <c r="A123" s="7" t="s">
        <v>7405</v>
      </c>
      <c r="B123" s="7" t="s">
        <v>2943</v>
      </c>
      <c r="C123" s="7" t="s">
        <v>345</v>
      </c>
      <c r="D123" s="7" t="s">
        <v>775</v>
      </c>
      <c r="E123" s="7" t="s">
        <v>7452</v>
      </c>
      <c r="F123" s="7" t="s">
        <v>7669</v>
      </c>
      <c r="G123" s="7" t="s">
        <v>943</v>
      </c>
      <c r="H123" s="8" t="s">
        <v>7480</v>
      </c>
      <c r="I123" s="7" t="s">
        <v>965</v>
      </c>
      <c r="J123" s="7" t="s">
        <v>7670</v>
      </c>
      <c r="K123" s="7" t="s">
        <v>2945</v>
      </c>
      <c r="L123" s="7" t="s">
        <v>1183</v>
      </c>
      <c r="M123" s="12"/>
      <c r="N123" s="12"/>
    </row>
    <row r="124" customFormat="false" ht="46.25" hidden="false" customHeight="false" outlineLevel="0" collapsed="false">
      <c r="A124" s="7" t="s">
        <v>7405</v>
      </c>
      <c r="B124" s="7" t="s">
        <v>2943</v>
      </c>
      <c r="C124" s="7" t="s">
        <v>345</v>
      </c>
      <c r="D124" s="7" t="s">
        <v>778</v>
      </c>
      <c r="E124" s="7" t="s">
        <v>7452</v>
      </c>
      <c r="F124" s="7" t="s">
        <v>7671</v>
      </c>
      <c r="G124" s="7" t="s">
        <v>943</v>
      </c>
      <c r="H124" s="8" t="s">
        <v>7483</v>
      </c>
      <c r="I124" s="7" t="s">
        <v>965</v>
      </c>
      <c r="J124" s="7" t="s">
        <v>7672</v>
      </c>
      <c r="K124" s="7" t="s">
        <v>2945</v>
      </c>
      <c r="L124" s="7" t="s">
        <v>1480</v>
      </c>
      <c r="M124" s="12"/>
      <c r="N124" s="12"/>
    </row>
    <row r="125" customFormat="false" ht="23.85" hidden="false" customHeight="false" outlineLevel="0" collapsed="false">
      <c r="A125" s="7" t="s">
        <v>7405</v>
      </c>
      <c r="B125" s="7" t="s">
        <v>2920</v>
      </c>
      <c r="C125" s="7" t="s">
        <v>345</v>
      </c>
      <c r="D125" s="7" t="s">
        <v>746</v>
      </c>
      <c r="E125" s="7" t="s">
        <v>7452</v>
      </c>
      <c r="F125" s="7" t="s">
        <v>7673</v>
      </c>
      <c r="G125" s="7" t="s">
        <v>943</v>
      </c>
      <c r="H125" s="8" t="s">
        <v>7454</v>
      </c>
      <c r="I125" s="7" t="s">
        <v>958</v>
      </c>
      <c r="J125" s="7" t="s">
        <v>2921</v>
      </c>
      <c r="K125" s="7" t="s">
        <v>2921</v>
      </c>
      <c r="L125" s="7" t="s">
        <v>1151</v>
      </c>
      <c r="M125" s="12"/>
      <c r="N125" s="12"/>
    </row>
    <row r="126" customFormat="false" ht="23.85" hidden="false" customHeight="false" outlineLevel="0" collapsed="false">
      <c r="A126" s="7" t="s">
        <v>7405</v>
      </c>
      <c r="B126" s="7" t="s">
        <v>2920</v>
      </c>
      <c r="C126" s="7" t="s">
        <v>345</v>
      </c>
      <c r="D126" s="7" t="s">
        <v>751</v>
      </c>
      <c r="E126" s="7" t="s">
        <v>7452</v>
      </c>
      <c r="F126" s="7" t="s">
        <v>7674</v>
      </c>
      <c r="G126" s="7" t="s">
        <v>943</v>
      </c>
      <c r="H126" s="8" t="s">
        <v>7456</v>
      </c>
      <c r="I126" s="7" t="s">
        <v>965</v>
      </c>
      <c r="J126" s="7" t="s">
        <v>7675</v>
      </c>
      <c r="K126" s="7" t="s">
        <v>2921</v>
      </c>
      <c r="L126" s="7" t="s">
        <v>1151</v>
      </c>
      <c r="M126" s="12"/>
      <c r="N126" s="12"/>
    </row>
    <row r="127" customFormat="false" ht="23.85" hidden="false" customHeight="false" outlineLevel="0" collapsed="false">
      <c r="A127" s="7" t="s">
        <v>7405</v>
      </c>
      <c r="B127" s="7" t="s">
        <v>2920</v>
      </c>
      <c r="C127" s="7" t="s">
        <v>345</v>
      </c>
      <c r="D127" s="7" t="s">
        <v>754</v>
      </c>
      <c r="E127" s="7" t="s">
        <v>7452</v>
      </c>
      <c r="F127" s="7" t="s">
        <v>7676</v>
      </c>
      <c r="G127" s="7" t="s">
        <v>943</v>
      </c>
      <c r="H127" s="8" t="s">
        <v>7459</v>
      </c>
      <c r="I127" s="7" t="s">
        <v>965</v>
      </c>
      <c r="J127" s="7" t="s">
        <v>7677</v>
      </c>
      <c r="K127" s="7" t="s">
        <v>2921</v>
      </c>
      <c r="L127" s="7" t="s">
        <v>1151</v>
      </c>
      <c r="M127" s="12"/>
      <c r="N127" s="12"/>
    </row>
    <row r="128" customFormat="false" ht="23.85" hidden="false" customHeight="false" outlineLevel="0" collapsed="false">
      <c r="A128" s="7" t="s">
        <v>7405</v>
      </c>
      <c r="B128" s="7" t="s">
        <v>2920</v>
      </c>
      <c r="C128" s="7" t="s">
        <v>345</v>
      </c>
      <c r="D128" s="7" t="s">
        <v>757</v>
      </c>
      <c r="E128" s="7" t="s">
        <v>7452</v>
      </c>
      <c r="F128" s="7" t="s">
        <v>7678</v>
      </c>
      <c r="G128" s="7" t="s">
        <v>943</v>
      </c>
      <c r="H128" s="8" t="s">
        <v>7462</v>
      </c>
      <c r="I128" s="7" t="s">
        <v>965</v>
      </c>
      <c r="J128" s="7" t="s">
        <v>7679</v>
      </c>
      <c r="K128" s="7" t="s">
        <v>2921</v>
      </c>
      <c r="L128" s="7" t="s">
        <v>1183</v>
      </c>
      <c r="M128" s="12"/>
      <c r="N128" s="12"/>
    </row>
    <row r="129" customFormat="false" ht="35.05" hidden="false" customHeight="false" outlineLevel="0" collapsed="false">
      <c r="A129" s="7" t="s">
        <v>7405</v>
      </c>
      <c r="B129" s="7" t="s">
        <v>2920</v>
      </c>
      <c r="C129" s="7" t="s">
        <v>345</v>
      </c>
      <c r="D129" s="7" t="s">
        <v>760</v>
      </c>
      <c r="E129" s="7" t="s">
        <v>7452</v>
      </c>
      <c r="F129" s="7" t="s">
        <v>7680</v>
      </c>
      <c r="G129" s="7" t="s">
        <v>943</v>
      </c>
      <c r="H129" s="8" t="s">
        <v>7465</v>
      </c>
      <c r="I129" s="7" t="s">
        <v>965</v>
      </c>
      <c r="J129" s="7" t="s">
        <v>7681</v>
      </c>
      <c r="K129" s="7" t="s">
        <v>2921</v>
      </c>
      <c r="L129" s="7" t="s">
        <v>1183</v>
      </c>
      <c r="M129" s="12"/>
      <c r="N129" s="12"/>
    </row>
    <row r="130" customFormat="false" ht="35.05" hidden="false" customHeight="false" outlineLevel="0" collapsed="false">
      <c r="A130" s="7" t="s">
        <v>7405</v>
      </c>
      <c r="B130" s="7" t="s">
        <v>2920</v>
      </c>
      <c r="C130" s="7" t="s">
        <v>345</v>
      </c>
      <c r="D130" s="7" t="s">
        <v>763</v>
      </c>
      <c r="E130" s="7" t="s">
        <v>7452</v>
      </c>
      <c r="F130" s="7" t="s">
        <v>7682</v>
      </c>
      <c r="G130" s="7" t="s">
        <v>943</v>
      </c>
      <c r="H130" s="8" t="s">
        <v>7468</v>
      </c>
      <c r="I130" s="7" t="s">
        <v>965</v>
      </c>
      <c r="J130" s="7" t="s">
        <v>7683</v>
      </c>
      <c r="K130" s="7" t="s">
        <v>2921</v>
      </c>
      <c r="L130" s="7" t="s">
        <v>1480</v>
      </c>
      <c r="M130" s="12"/>
      <c r="N130" s="12"/>
    </row>
    <row r="131" customFormat="false" ht="46.25" hidden="false" customHeight="false" outlineLevel="0" collapsed="false">
      <c r="A131" s="7" t="s">
        <v>7405</v>
      </c>
      <c r="B131" s="7" t="s">
        <v>2920</v>
      </c>
      <c r="C131" s="7" t="s">
        <v>345</v>
      </c>
      <c r="D131" s="7" t="s">
        <v>766</v>
      </c>
      <c r="E131" s="7" t="s">
        <v>7452</v>
      </c>
      <c r="F131" s="7" t="s">
        <v>7684</v>
      </c>
      <c r="G131" s="7" t="s">
        <v>943</v>
      </c>
      <c r="H131" s="8" t="s">
        <v>7471</v>
      </c>
      <c r="I131" s="7" t="s">
        <v>965</v>
      </c>
      <c r="J131" s="7" t="s">
        <v>7685</v>
      </c>
      <c r="K131" s="7" t="s">
        <v>2921</v>
      </c>
      <c r="L131" s="7" t="s">
        <v>1183</v>
      </c>
      <c r="M131" s="12"/>
      <c r="N131" s="12"/>
    </row>
    <row r="132" customFormat="false" ht="46.25" hidden="false" customHeight="false" outlineLevel="0" collapsed="false">
      <c r="A132" s="7" t="s">
        <v>7405</v>
      </c>
      <c r="B132" s="7" t="s">
        <v>2920</v>
      </c>
      <c r="C132" s="7" t="s">
        <v>345</v>
      </c>
      <c r="D132" s="7" t="s">
        <v>769</v>
      </c>
      <c r="E132" s="7" t="s">
        <v>7452</v>
      </c>
      <c r="F132" s="7" t="s">
        <v>7686</v>
      </c>
      <c r="G132" s="7" t="s">
        <v>943</v>
      </c>
      <c r="H132" s="8" t="s">
        <v>7474</v>
      </c>
      <c r="I132" s="7" t="s">
        <v>965</v>
      </c>
      <c r="J132" s="7" t="s">
        <v>7687</v>
      </c>
      <c r="K132" s="7" t="s">
        <v>2921</v>
      </c>
      <c r="L132" s="7" t="s">
        <v>1480</v>
      </c>
      <c r="M132" s="12"/>
      <c r="N132" s="12"/>
    </row>
    <row r="133" customFormat="false" ht="46.25" hidden="false" customHeight="false" outlineLevel="0" collapsed="false">
      <c r="A133" s="7" t="s">
        <v>7405</v>
      </c>
      <c r="B133" s="7" t="s">
        <v>2920</v>
      </c>
      <c r="C133" s="7" t="s">
        <v>345</v>
      </c>
      <c r="D133" s="7" t="s">
        <v>772</v>
      </c>
      <c r="E133" s="7" t="s">
        <v>7452</v>
      </c>
      <c r="F133" s="7" t="s">
        <v>7688</v>
      </c>
      <c r="G133" s="7" t="s">
        <v>943</v>
      </c>
      <c r="H133" s="8" t="s">
        <v>7477</v>
      </c>
      <c r="I133" s="7" t="s">
        <v>965</v>
      </c>
      <c r="J133" s="7" t="s">
        <v>7689</v>
      </c>
      <c r="K133" s="7" t="s">
        <v>2921</v>
      </c>
      <c r="L133" s="7" t="s">
        <v>1183</v>
      </c>
      <c r="M133" s="12"/>
      <c r="N133" s="12"/>
    </row>
    <row r="134" customFormat="false" ht="46.25" hidden="false" customHeight="false" outlineLevel="0" collapsed="false">
      <c r="A134" s="7" t="s">
        <v>7405</v>
      </c>
      <c r="B134" s="7" t="s">
        <v>2920</v>
      </c>
      <c r="C134" s="7" t="s">
        <v>345</v>
      </c>
      <c r="D134" s="7" t="s">
        <v>775</v>
      </c>
      <c r="E134" s="7" t="s">
        <v>7452</v>
      </c>
      <c r="F134" s="7" t="s">
        <v>7690</v>
      </c>
      <c r="G134" s="7" t="s">
        <v>943</v>
      </c>
      <c r="H134" s="8" t="s">
        <v>7480</v>
      </c>
      <c r="I134" s="7" t="s">
        <v>965</v>
      </c>
      <c r="J134" s="7" t="s">
        <v>7691</v>
      </c>
      <c r="K134" s="7" t="s">
        <v>2921</v>
      </c>
      <c r="L134" s="7" t="s">
        <v>1183</v>
      </c>
      <c r="M134" s="12"/>
      <c r="N134" s="12"/>
    </row>
    <row r="135" customFormat="false" ht="46.25" hidden="false" customHeight="false" outlineLevel="0" collapsed="false">
      <c r="A135" s="7" t="s">
        <v>7405</v>
      </c>
      <c r="B135" s="7" t="s">
        <v>2920</v>
      </c>
      <c r="C135" s="7" t="s">
        <v>345</v>
      </c>
      <c r="D135" s="7" t="s">
        <v>778</v>
      </c>
      <c r="E135" s="7" t="s">
        <v>7452</v>
      </c>
      <c r="F135" s="7" t="s">
        <v>7692</v>
      </c>
      <c r="G135" s="7" t="s">
        <v>943</v>
      </c>
      <c r="H135" s="8" t="s">
        <v>7483</v>
      </c>
      <c r="I135" s="7" t="s">
        <v>965</v>
      </c>
      <c r="J135" s="7" t="s">
        <v>7693</v>
      </c>
      <c r="K135" s="7" t="s">
        <v>2921</v>
      </c>
      <c r="L135" s="7" t="s">
        <v>1480</v>
      </c>
      <c r="M135" s="12"/>
      <c r="N135" s="12"/>
    </row>
    <row r="136" customFormat="false" ht="23.85" hidden="false" customHeight="false" outlineLevel="0" collapsed="false">
      <c r="A136" s="7" t="s">
        <v>7405</v>
      </c>
      <c r="B136" s="7" t="s">
        <v>1903</v>
      </c>
      <c r="C136" s="7" t="s">
        <v>182</v>
      </c>
      <c r="D136" s="7" t="s">
        <v>746</v>
      </c>
      <c r="E136" s="7" t="s">
        <v>7452</v>
      </c>
      <c r="F136" s="7" t="s">
        <v>7694</v>
      </c>
      <c r="G136" s="7" t="s">
        <v>943</v>
      </c>
      <c r="H136" s="8" t="s">
        <v>7454</v>
      </c>
      <c r="I136" s="7" t="s">
        <v>958</v>
      </c>
      <c r="J136" s="7" t="s">
        <v>1904</v>
      </c>
      <c r="K136" s="7" t="s">
        <v>1904</v>
      </c>
      <c r="L136" s="7" t="s">
        <v>1151</v>
      </c>
      <c r="M136" s="12"/>
      <c r="N136" s="12"/>
    </row>
    <row r="137" customFormat="false" ht="23.85" hidden="false" customHeight="false" outlineLevel="0" collapsed="false">
      <c r="A137" s="7" t="s">
        <v>7405</v>
      </c>
      <c r="B137" s="7" t="s">
        <v>1903</v>
      </c>
      <c r="C137" s="7" t="s">
        <v>182</v>
      </c>
      <c r="D137" s="7" t="s">
        <v>751</v>
      </c>
      <c r="E137" s="7" t="s">
        <v>7452</v>
      </c>
      <c r="F137" s="7" t="s">
        <v>7695</v>
      </c>
      <c r="G137" s="7" t="s">
        <v>943</v>
      </c>
      <c r="H137" s="8" t="s">
        <v>7456</v>
      </c>
      <c r="I137" s="7" t="s">
        <v>965</v>
      </c>
      <c r="J137" s="7" t="s">
        <v>7696</v>
      </c>
      <c r="K137" s="7" t="s">
        <v>1904</v>
      </c>
      <c r="L137" s="7" t="s">
        <v>1151</v>
      </c>
      <c r="M137" s="12"/>
      <c r="N137" s="12"/>
    </row>
    <row r="138" customFormat="false" ht="23.85" hidden="false" customHeight="false" outlineLevel="0" collapsed="false">
      <c r="A138" s="7" t="s">
        <v>7405</v>
      </c>
      <c r="B138" s="7" t="s">
        <v>1903</v>
      </c>
      <c r="C138" s="7" t="s">
        <v>182</v>
      </c>
      <c r="D138" s="7" t="s">
        <v>754</v>
      </c>
      <c r="E138" s="7" t="s">
        <v>7452</v>
      </c>
      <c r="F138" s="7" t="s">
        <v>7697</v>
      </c>
      <c r="G138" s="7" t="s">
        <v>943</v>
      </c>
      <c r="H138" s="8" t="s">
        <v>7459</v>
      </c>
      <c r="I138" s="7" t="s">
        <v>965</v>
      </c>
      <c r="J138" s="7" t="s">
        <v>7698</v>
      </c>
      <c r="K138" s="7" t="s">
        <v>1904</v>
      </c>
      <c r="L138" s="7" t="s">
        <v>1151</v>
      </c>
      <c r="M138" s="12"/>
      <c r="N138" s="12"/>
    </row>
    <row r="139" customFormat="false" ht="23.85" hidden="false" customHeight="false" outlineLevel="0" collapsed="false">
      <c r="A139" s="7" t="s">
        <v>7405</v>
      </c>
      <c r="B139" s="7" t="s">
        <v>1903</v>
      </c>
      <c r="C139" s="7" t="s">
        <v>182</v>
      </c>
      <c r="D139" s="7" t="s">
        <v>757</v>
      </c>
      <c r="E139" s="7" t="s">
        <v>7452</v>
      </c>
      <c r="F139" s="7" t="s">
        <v>7699</v>
      </c>
      <c r="G139" s="7" t="s">
        <v>943</v>
      </c>
      <c r="H139" s="8" t="s">
        <v>7462</v>
      </c>
      <c r="I139" s="7" t="s">
        <v>965</v>
      </c>
      <c r="J139" s="7" t="s">
        <v>7700</v>
      </c>
      <c r="K139" s="7" t="s">
        <v>1904</v>
      </c>
      <c r="L139" s="7" t="s">
        <v>1183</v>
      </c>
      <c r="M139" s="12"/>
      <c r="N139" s="12"/>
    </row>
    <row r="140" customFormat="false" ht="35.05" hidden="false" customHeight="false" outlineLevel="0" collapsed="false">
      <c r="A140" s="7" t="s">
        <v>7405</v>
      </c>
      <c r="B140" s="7" t="s">
        <v>1903</v>
      </c>
      <c r="C140" s="7" t="s">
        <v>182</v>
      </c>
      <c r="D140" s="7" t="s">
        <v>760</v>
      </c>
      <c r="E140" s="7" t="s">
        <v>7452</v>
      </c>
      <c r="F140" s="7" t="s">
        <v>7701</v>
      </c>
      <c r="G140" s="7" t="s">
        <v>943</v>
      </c>
      <c r="H140" s="8" t="s">
        <v>7465</v>
      </c>
      <c r="I140" s="7" t="s">
        <v>965</v>
      </c>
      <c r="J140" s="7" t="s">
        <v>7702</v>
      </c>
      <c r="K140" s="7" t="s">
        <v>1904</v>
      </c>
      <c r="L140" s="7" t="s">
        <v>1183</v>
      </c>
      <c r="M140" s="12"/>
      <c r="N140" s="12"/>
    </row>
    <row r="141" customFormat="false" ht="35.05" hidden="false" customHeight="false" outlineLevel="0" collapsed="false">
      <c r="A141" s="7" t="s">
        <v>7405</v>
      </c>
      <c r="B141" s="7" t="s">
        <v>1903</v>
      </c>
      <c r="C141" s="7" t="s">
        <v>182</v>
      </c>
      <c r="D141" s="7" t="s">
        <v>763</v>
      </c>
      <c r="E141" s="7" t="s">
        <v>7452</v>
      </c>
      <c r="F141" s="7" t="s">
        <v>7703</v>
      </c>
      <c r="G141" s="7" t="s">
        <v>943</v>
      </c>
      <c r="H141" s="8" t="s">
        <v>7468</v>
      </c>
      <c r="I141" s="7" t="s">
        <v>965</v>
      </c>
      <c r="J141" s="7" t="s">
        <v>7704</v>
      </c>
      <c r="K141" s="7" t="s">
        <v>1904</v>
      </c>
      <c r="L141" s="7" t="s">
        <v>1480</v>
      </c>
      <c r="M141" s="12"/>
      <c r="N141" s="12"/>
    </row>
    <row r="142" customFormat="false" ht="46.25" hidden="false" customHeight="false" outlineLevel="0" collapsed="false">
      <c r="A142" s="7" t="s">
        <v>7405</v>
      </c>
      <c r="B142" s="7" t="s">
        <v>1903</v>
      </c>
      <c r="C142" s="7" t="s">
        <v>182</v>
      </c>
      <c r="D142" s="7" t="s">
        <v>766</v>
      </c>
      <c r="E142" s="7" t="s">
        <v>7452</v>
      </c>
      <c r="F142" s="7" t="s">
        <v>7705</v>
      </c>
      <c r="G142" s="7" t="s">
        <v>943</v>
      </c>
      <c r="H142" s="8" t="s">
        <v>7471</v>
      </c>
      <c r="I142" s="7" t="s">
        <v>965</v>
      </c>
      <c r="J142" s="7" t="s">
        <v>7706</v>
      </c>
      <c r="K142" s="7" t="s">
        <v>1904</v>
      </c>
      <c r="L142" s="7" t="s">
        <v>1183</v>
      </c>
      <c r="M142" s="12"/>
      <c r="N142" s="12"/>
    </row>
    <row r="143" customFormat="false" ht="46.25" hidden="false" customHeight="false" outlineLevel="0" collapsed="false">
      <c r="A143" s="7" t="s">
        <v>7405</v>
      </c>
      <c r="B143" s="7" t="s">
        <v>1903</v>
      </c>
      <c r="C143" s="7" t="s">
        <v>182</v>
      </c>
      <c r="D143" s="7" t="s">
        <v>769</v>
      </c>
      <c r="E143" s="7" t="s">
        <v>7452</v>
      </c>
      <c r="F143" s="7" t="s">
        <v>7707</v>
      </c>
      <c r="G143" s="7" t="s">
        <v>943</v>
      </c>
      <c r="H143" s="8" t="s">
        <v>7474</v>
      </c>
      <c r="I143" s="7" t="s">
        <v>965</v>
      </c>
      <c r="J143" s="7" t="s">
        <v>7708</v>
      </c>
      <c r="K143" s="7" t="s">
        <v>1904</v>
      </c>
      <c r="L143" s="7" t="s">
        <v>1480</v>
      </c>
      <c r="M143" s="12"/>
      <c r="N143" s="12"/>
    </row>
    <row r="144" customFormat="false" ht="46.25" hidden="false" customHeight="false" outlineLevel="0" collapsed="false">
      <c r="A144" s="7" t="s">
        <v>7405</v>
      </c>
      <c r="B144" s="7" t="s">
        <v>1903</v>
      </c>
      <c r="C144" s="7" t="s">
        <v>182</v>
      </c>
      <c r="D144" s="7" t="s">
        <v>772</v>
      </c>
      <c r="E144" s="7" t="s">
        <v>7452</v>
      </c>
      <c r="F144" s="7" t="s">
        <v>7709</v>
      </c>
      <c r="G144" s="7" t="s">
        <v>943</v>
      </c>
      <c r="H144" s="8" t="s">
        <v>7477</v>
      </c>
      <c r="I144" s="7" t="s">
        <v>965</v>
      </c>
      <c r="J144" s="7" t="s">
        <v>7710</v>
      </c>
      <c r="K144" s="7" t="s">
        <v>1904</v>
      </c>
      <c r="L144" s="7" t="s">
        <v>1183</v>
      </c>
      <c r="M144" s="12"/>
      <c r="N144" s="12"/>
    </row>
    <row r="145" customFormat="false" ht="46.25" hidden="false" customHeight="false" outlineLevel="0" collapsed="false">
      <c r="A145" s="7" t="s">
        <v>7405</v>
      </c>
      <c r="B145" s="7" t="s">
        <v>1903</v>
      </c>
      <c r="C145" s="7" t="s">
        <v>182</v>
      </c>
      <c r="D145" s="7" t="s">
        <v>775</v>
      </c>
      <c r="E145" s="7" t="s">
        <v>7452</v>
      </c>
      <c r="F145" s="7" t="s">
        <v>7711</v>
      </c>
      <c r="G145" s="7" t="s">
        <v>943</v>
      </c>
      <c r="H145" s="8" t="s">
        <v>7480</v>
      </c>
      <c r="I145" s="7" t="s">
        <v>965</v>
      </c>
      <c r="J145" s="7" t="s">
        <v>7712</v>
      </c>
      <c r="K145" s="7" t="s">
        <v>1904</v>
      </c>
      <c r="L145" s="7" t="s">
        <v>1183</v>
      </c>
      <c r="M145" s="12"/>
      <c r="N145" s="12"/>
    </row>
    <row r="146" customFormat="false" ht="46.25" hidden="false" customHeight="false" outlineLevel="0" collapsed="false">
      <c r="A146" s="7" t="s">
        <v>7405</v>
      </c>
      <c r="B146" s="7" t="s">
        <v>1903</v>
      </c>
      <c r="C146" s="7" t="s">
        <v>182</v>
      </c>
      <c r="D146" s="7" t="s">
        <v>778</v>
      </c>
      <c r="E146" s="7" t="s">
        <v>7452</v>
      </c>
      <c r="F146" s="7" t="s">
        <v>7713</v>
      </c>
      <c r="G146" s="7" t="s">
        <v>943</v>
      </c>
      <c r="H146" s="8" t="s">
        <v>7483</v>
      </c>
      <c r="I146" s="7" t="s">
        <v>965</v>
      </c>
      <c r="J146" s="7" t="s">
        <v>7714</v>
      </c>
      <c r="K146" s="7" t="s">
        <v>1904</v>
      </c>
      <c r="L146" s="7" t="s">
        <v>1480</v>
      </c>
      <c r="M146" s="12"/>
      <c r="N146" s="12"/>
    </row>
    <row r="147" customFormat="false" ht="23.85" hidden="false" customHeight="false" outlineLevel="0" collapsed="false">
      <c r="A147" s="7" t="s">
        <v>7405</v>
      </c>
      <c r="B147" s="7" t="s">
        <v>1947</v>
      </c>
      <c r="C147" s="7" t="s">
        <v>182</v>
      </c>
      <c r="D147" s="7" t="s">
        <v>746</v>
      </c>
      <c r="E147" s="7" t="s">
        <v>7452</v>
      </c>
      <c r="F147" s="7" t="s">
        <v>7715</v>
      </c>
      <c r="G147" s="7" t="s">
        <v>943</v>
      </c>
      <c r="H147" s="8" t="s">
        <v>7454</v>
      </c>
      <c r="I147" s="7" t="s">
        <v>958</v>
      </c>
      <c r="J147" s="7" t="s">
        <v>1948</v>
      </c>
      <c r="K147" s="7" t="s">
        <v>1948</v>
      </c>
      <c r="L147" s="7" t="s">
        <v>1151</v>
      </c>
      <c r="M147" s="12"/>
      <c r="N147" s="12"/>
    </row>
    <row r="148" customFormat="false" ht="23.85" hidden="false" customHeight="false" outlineLevel="0" collapsed="false">
      <c r="A148" s="7" t="s">
        <v>7405</v>
      </c>
      <c r="B148" s="7" t="s">
        <v>1947</v>
      </c>
      <c r="C148" s="7" t="s">
        <v>182</v>
      </c>
      <c r="D148" s="7" t="s">
        <v>751</v>
      </c>
      <c r="E148" s="7" t="s">
        <v>7452</v>
      </c>
      <c r="F148" s="7" t="s">
        <v>7716</v>
      </c>
      <c r="G148" s="7" t="s">
        <v>943</v>
      </c>
      <c r="H148" s="8" t="s">
        <v>7456</v>
      </c>
      <c r="I148" s="7" t="s">
        <v>965</v>
      </c>
      <c r="J148" s="7" t="s">
        <v>7717</v>
      </c>
      <c r="K148" s="7" t="s">
        <v>1948</v>
      </c>
      <c r="L148" s="7" t="s">
        <v>1151</v>
      </c>
      <c r="M148" s="12"/>
      <c r="N148" s="12"/>
    </row>
    <row r="149" customFormat="false" ht="23.85" hidden="false" customHeight="false" outlineLevel="0" collapsed="false">
      <c r="A149" s="7" t="s">
        <v>7405</v>
      </c>
      <c r="B149" s="7" t="s">
        <v>1947</v>
      </c>
      <c r="C149" s="7" t="s">
        <v>182</v>
      </c>
      <c r="D149" s="7" t="s">
        <v>754</v>
      </c>
      <c r="E149" s="7" t="s">
        <v>7452</v>
      </c>
      <c r="F149" s="7" t="s">
        <v>7718</v>
      </c>
      <c r="G149" s="7" t="s">
        <v>943</v>
      </c>
      <c r="H149" s="8" t="s">
        <v>7459</v>
      </c>
      <c r="I149" s="7" t="s">
        <v>965</v>
      </c>
      <c r="J149" s="7" t="s">
        <v>7719</v>
      </c>
      <c r="K149" s="7" t="s">
        <v>1948</v>
      </c>
      <c r="L149" s="7" t="s">
        <v>1151</v>
      </c>
      <c r="M149" s="12"/>
      <c r="N149" s="12"/>
    </row>
    <row r="150" customFormat="false" ht="23.85" hidden="false" customHeight="false" outlineLevel="0" collapsed="false">
      <c r="A150" s="7" t="s">
        <v>7405</v>
      </c>
      <c r="B150" s="7" t="s">
        <v>1947</v>
      </c>
      <c r="C150" s="7" t="s">
        <v>182</v>
      </c>
      <c r="D150" s="7" t="s">
        <v>757</v>
      </c>
      <c r="E150" s="7" t="s">
        <v>7452</v>
      </c>
      <c r="F150" s="7" t="s">
        <v>7720</v>
      </c>
      <c r="G150" s="7" t="s">
        <v>943</v>
      </c>
      <c r="H150" s="8" t="s">
        <v>7462</v>
      </c>
      <c r="I150" s="7" t="s">
        <v>965</v>
      </c>
      <c r="J150" s="7" t="s">
        <v>7721</v>
      </c>
      <c r="K150" s="7" t="s">
        <v>1948</v>
      </c>
      <c r="L150" s="7" t="s">
        <v>1183</v>
      </c>
      <c r="M150" s="12"/>
      <c r="N150" s="12"/>
    </row>
    <row r="151" customFormat="false" ht="35.05" hidden="false" customHeight="false" outlineLevel="0" collapsed="false">
      <c r="A151" s="7" t="s">
        <v>7405</v>
      </c>
      <c r="B151" s="7" t="s">
        <v>1947</v>
      </c>
      <c r="C151" s="7" t="s">
        <v>182</v>
      </c>
      <c r="D151" s="7" t="s">
        <v>760</v>
      </c>
      <c r="E151" s="7" t="s">
        <v>7452</v>
      </c>
      <c r="F151" s="7" t="s">
        <v>7722</v>
      </c>
      <c r="G151" s="7" t="s">
        <v>943</v>
      </c>
      <c r="H151" s="8" t="s">
        <v>7465</v>
      </c>
      <c r="I151" s="7" t="s">
        <v>965</v>
      </c>
      <c r="J151" s="7" t="s">
        <v>7723</v>
      </c>
      <c r="K151" s="7" t="s">
        <v>1948</v>
      </c>
      <c r="L151" s="7" t="s">
        <v>1183</v>
      </c>
      <c r="M151" s="12"/>
      <c r="N151" s="12"/>
    </row>
    <row r="152" customFormat="false" ht="35.05" hidden="false" customHeight="false" outlineLevel="0" collapsed="false">
      <c r="A152" s="7" t="s">
        <v>7405</v>
      </c>
      <c r="B152" s="7" t="s">
        <v>1947</v>
      </c>
      <c r="C152" s="7" t="s">
        <v>182</v>
      </c>
      <c r="D152" s="7" t="s">
        <v>763</v>
      </c>
      <c r="E152" s="7" t="s">
        <v>7452</v>
      </c>
      <c r="F152" s="7" t="s">
        <v>7724</v>
      </c>
      <c r="G152" s="7" t="s">
        <v>943</v>
      </c>
      <c r="H152" s="8" t="s">
        <v>7468</v>
      </c>
      <c r="I152" s="7" t="s">
        <v>965</v>
      </c>
      <c r="J152" s="7" t="s">
        <v>7725</v>
      </c>
      <c r="K152" s="7" t="s">
        <v>1948</v>
      </c>
      <c r="L152" s="7" t="s">
        <v>1480</v>
      </c>
      <c r="M152" s="12"/>
      <c r="N152" s="12"/>
    </row>
    <row r="153" customFormat="false" ht="46.25" hidden="false" customHeight="false" outlineLevel="0" collapsed="false">
      <c r="A153" s="7" t="s">
        <v>7405</v>
      </c>
      <c r="B153" s="7" t="s">
        <v>1947</v>
      </c>
      <c r="C153" s="7" t="s">
        <v>182</v>
      </c>
      <c r="D153" s="7" t="s">
        <v>766</v>
      </c>
      <c r="E153" s="7" t="s">
        <v>7452</v>
      </c>
      <c r="F153" s="7" t="s">
        <v>7726</v>
      </c>
      <c r="G153" s="7" t="s">
        <v>943</v>
      </c>
      <c r="H153" s="8" t="s">
        <v>7471</v>
      </c>
      <c r="I153" s="7" t="s">
        <v>965</v>
      </c>
      <c r="J153" s="7" t="s">
        <v>7727</v>
      </c>
      <c r="K153" s="7" t="s">
        <v>1948</v>
      </c>
      <c r="L153" s="7" t="s">
        <v>1183</v>
      </c>
      <c r="M153" s="12"/>
      <c r="N153" s="12"/>
    </row>
    <row r="154" customFormat="false" ht="46.25" hidden="false" customHeight="false" outlineLevel="0" collapsed="false">
      <c r="A154" s="7" t="s">
        <v>7405</v>
      </c>
      <c r="B154" s="7" t="s">
        <v>1947</v>
      </c>
      <c r="C154" s="7" t="s">
        <v>182</v>
      </c>
      <c r="D154" s="7" t="s">
        <v>769</v>
      </c>
      <c r="E154" s="7" t="s">
        <v>7452</v>
      </c>
      <c r="F154" s="7" t="s">
        <v>7728</v>
      </c>
      <c r="G154" s="7" t="s">
        <v>943</v>
      </c>
      <c r="H154" s="8" t="s">
        <v>7474</v>
      </c>
      <c r="I154" s="7" t="s">
        <v>965</v>
      </c>
      <c r="J154" s="7" t="s">
        <v>7729</v>
      </c>
      <c r="K154" s="7" t="s">
        <v>1948</v>
      </c>
      <c r="L154" s="7" t="s">
        <v>1480</v>
      </c>
      <c r="M154" s="12"/>
      <c r="N154" s="12"/>
    </row>
    <row r="155" customFormat="false" ht="46.25" hidden="false" customHeight="false" outlineLevel="0" collapsed="false">
      <c r="A155" s="7" t="s">
        <v>7405</v>
      </c>
      <c r="B155" s="7" t="s">
        <v>1947</v>
      </c>
      <c r="C155" s="7" t="s">
        <v>182</v>
      </c>
      <c r="D155" s="7" t="s">
        <v>772</v>
      </c>
      <c r="E155" s="7" t="s">
        <v>7452</v>
      </c>
      <c r="F155" s="7" t="s">
        <v>7730</v>
      </c>
      <c r="G155" s="7" t="s">
        <v>943</v>
      </c>
      <c r="H155" s="8" t="s">
        <v>7477</v>
      </c>
      <c r="I155" s="7" t="s">
        <v>965</v>
      </c>
      <c r="J155" s="7" t="s">
        <v>7731</v>
      </c>
      <c r="K155" s="7" t="s">
        <v>1948</v>
      </c>
      <c r="L155" s="7" t="s">
        <v>1183</v>
      </c>
      <c r="M155" s="12"/>
      <c r="N155" s="12"/>
    </row>
    <row r="156" customFormat="false" ht="46.25" hidden="false" customHeight="false" outlineLevel="0" collapsed="false">
      <c r="A156" s="7" t="s">
        <v>7405</v>
      </c>
      <c r="B156" s="7" t="s">
        <v>1947</v>
      </c>
      <c r="C156" s="7" t="s">
        <v>182</v>
      </c>
      <c r="D156" s="7" t="s">
        <v>775</v>
      </c>
      <c r="E156" s="7" t="s">
        <v>7452</v>
      </c>
      <c r="F156" s="7" t="s">
        <v>7732</v>
      </c>
      <c r="G156" s="7" t="s">
        <v>943</v>
      </c>
      <c r="H156" s="8" t="s">
        <v>7480</v>
      </c>
      <c r="I156" s="7" t="s">
        <v>965</v>
      </c>
      <c r="J156" s="7" t="s">
        <v>7733</v>
      </c>
      <c r="K156" s="7" t="s">
        <v>1948</v>
      </c>
      <c r="L156" s="7" t="s">
        <v>1183</v>
      </c>
      <c r="M156" s="12"/>
      <c r="N156" s="12"/>
    </row>
    <row r="157" customFormat="false" ht="46.25" hidden="false" customHeight="false" outlineLevel="0" collapsed="false">
      <c r="A157" s="7" t="s">
        <v>7405</v>
      </c>
      <c r="B157" s="7" t="s">
        <v>1947</v>
      </c>
      <c r="C157" s="7" t="s">
        <v>182</v>
      </c>
      <c r="D157" s="7" t="s">
        <v>778</v>
      </c>
      <c r="E157" s="7" t="s">
        <v>7452</v>
      </c>
      <c r="F157" s="7" t="s">
        <v>7734</v>
      </c>
      <c r="G157" s="7" t="s">
        <v>943</v>
      </c>
      <c r="H157" s="8" t="s">
        <v>7483</v>
      </c>
      <c r="I157" s="7" t="s">
        <v>965</v>
      </c>
      <c r="J157" s="7" t="s">
        <v>7735</v>
      </c>
      <c r="K157" s="7" t="s">
        <v>1948</v>
      </c>
      <c r="L157" s="7" t="s">
        <v>1480</v>
      </c>
      <c r="M157" s="12"/>
      <c r="N157" s="12"/>
    </row>
    <row r="158" customFormat="false" ht="23.85" hidden="false" customHeight="false" outlineLevel="0" collapsed="false">
      <c r="A158" s="7" t="s">
        <v>7405</v>
      </c>
      <c r="B158" s="7" t="s">
        <v>2008</v>
      </c>
      <c r="C158" s="7" t="s">
        <v>182</v>
      </c>
      <c r="D158" s="7" t="s">
        <v>746</v>
      </c>
      <c r="E158" s="7" t="s">
        <v>7452</v>
      </c>
      <c r="F158" s="7" t="s">
        <v>7736</v>
      </c>
      <c r="G158" s="7" t="s">
        <v>943</v>
      </c>
      <c r="H158" s="8" t="s">
        <v>7454</v>
      </c>
      <c r="I158" s="7" t="s">
        <v>958</v>
      </c>
      <c r="J158" s="7" t="s">
        <v>2009</v>
      </c>
      <c r="K158" s="7" t="s">
        <v>2009</v>
      </c>
      <c r="L158" s="7" t="s">
        <v>1151</v>
      </c>
      <c r="M158" s="12"/>
      <c r="N158" s="12"/>
    </row>
    <row r="159" customFormat="false" ht="23.85" hidden="false" customHeight="false" outlineLevel="0" collapsed="false">
      <c r="A159" s="7" t="s">
        <v>7405</v>
      </c>
      <c r="B159" s="7" t="s">
        <v>2008</v>
      </c>
      <c r="C159" s="7" t="s">
        <v>182</v>
      </c>
      <c r="D159" s="7" t="s">
        <v>751</v>
      </c>
      <c r="E159" s="7" t="s">
        <v>7452</v>
      </c>
      <c r="F159" s="7" t="s">
        <v>7737</v>
      </c>
      <c r="G159" s="7" t="s">
        <v>943</v>
      </c>
      <c r="H159" s="8" t="s">
        <v>7456</v>
      </c>
      <c r="I159" s="7" t="s">
        <v>965</v>
      </c>
      <c r="J159" s="7" t="s">
        <v>7738</v>
      </c>
      <c r="K159" s="7" t="s">
        <v>2009</v>
      </c>
      <c r="L159" s="7" t="s">
        <v>1151</v>
      </c>
      <c r="M159" s="12"/>
      <c r="N159" s="12"/>
    </row>
    <row r="160" customFormat="false" ht="23.85" hidden="false" customHeight="false" outlineLevel="0" collapsed="false">
      <c r="A160" s="7" t="s">
        <v>7405</v>
      </c>
      <c r="B160" s="7" t="s">
        <v>2008</v>
      </c>
      <c r="C160" s="7" t="s">
        <v>182</v>
      </c>
      <c r="D160" s="7" t="s">
        <v>754</v>
      </c>
      <c r="E160" s="7" t="s">
        <v>7452</v>
      </c>
      <c r="F160" s="7" t="s">
        <v>7739</v>
      </c>
      <c r="G160" s="7" t="s">
        <v>943</v>
      </c>
      <c r="H160" s="8" t="s">
        <v>7459</v>
      </c>
      <c r="I160" s="7" t="s">
        <v>965</v>
      </c>
      <c r="J160" s="7" t="s">
        <v>7740</v>
      </c>
      <c r="K160" s="7" t="s">
        <v>2009</v>
      </c>
      <c r="L160" s="7" t="s">
        <v>1151</v>
      </c>
      <c r="M160" s="12"/>
      <c r="N160" s="12"/>
    </row>
    <row r="161" customFormat="false" ht="23.85" hidden="false" customHeight="false" outlineLevel="0" collapsed="false">
      <c r="A161" s="7" t="s">
        <v>7405</v>
      </c>
      <c r="B161" s="7" t="s">
        <v>2008</v>
      </c>
      <c r="C161" s="7" t="s">
        <v>182</v>
      </c>
      <c r="D161" s="7" t="s">
        <v>757</v>
      </c>
      <c r="E161" s="7" t="s">
        <v>7452</v>
      </c>
      <c r="F161" s="7" t="s">
        <v>7741</v>
      </c>
      <c r="G161" s="7" t="s">
        <v>943</v>
      </c>
      <c r="H161" s="8" t="s">
        <v>7462</v>
      </c>
      <c r="I161" s="7" t="s">
        <v>965</v>
      </c>
      <c r="J161" s="7" t="s">
        <v>7742</v>
      </c>
      <c r="K161" s="7" t="s">
        <v>2009</v>
      </c>
      <c r="L161" s="7" t="s">
        <v>1183</v>
      </c>
      <c r="M161" s="12"/>
      <c r="N161" s="12"/>
    </row>
    <row r="162" customFormat="false" ht="35.05" hidden="false" customHeight="false" outlineLevel="0" collapsed="false">
      <c r="A162" s="7" t="s">
        <v>7405</v>
      </c>
      <c r="B162" s="7" t="s">
        <v>2008</v>
      </c>
      <c r="C162" s="7" t="s">
        <v>182</v>
      </c>
      <c r="D162" s="7" t="s">
        <v>760</v>
      </c>
      <c r="E162" s="7" t="s">
        <v>7452</v>
      </c>
      <c r="F162" s="7" t="s">
        <v>7743</v>
      </c>
      <c r="G162" s="7" t="s">
        <v>943</v>
      </c>
      <c r="H162" s="8" t="s">
        <v>7465</v>
      </c>
      <c r="I162" s="7" t="s">
        <v>965</v>
      </c>
      <c r="J162" s="7" t="s">
        <v>7744</v>
      </c>
      <c r="K162" s="7" t="s">
        <v>2009</v>
      </c>
      <c r="L162" s="7" t="s">
        <v>1183</v>
      </c>
      <c r="M162" s="12"/>
      <c r="N162" s="12"/>
    </row>
    <row r="163" customFormat="false" ht="35.05" hidden="false" customHeight="false" outlineLevel="0" collapsed="false">
      <c r="A163" s="7" t="s">
        <v>7405</v>
      </c>
      <c r="B163" s="7" t="s">
        <v>2008</v>
      </c>
      <c r="C163" s="7" t="s">
        <v>182</v>
      </c>
      <c r="D163" s="7" t="s">
        <v>763</v>
      </c>
      <c r="E163" s="7" t="s">
        <v>7452</v>
      </c>
      <c r="F163" s="7" t="s">
        <v>7745</v>
      </c>
      <c r="G163" s="7" t="s">
        <v>943</v>
      </c>
      <c r="H163" s="8" t="s">
        <v>7468</v>
      </c>
      <c r="I163" s="7" t="s">
        <v>965</v>
      </c>
      <c r="J163" s="7" t="s">
        <v>7746</v>
      </c>
      <c r="K163" s="7" t="s">
        <v>2009</v>
      </c>
      <c r="L163" s="7" t="s">
        <v>1480</v>
      </c>
      <c r="M163" s="12"/>
      <c r="N163" s="12"/>
    </row>
    <row r="164" customFormat="false" ht="46.25" hidden="false" customHeight="false" outlineLevel="0" collapsed="false">
      <c r="A164" s="7" t="s">
        <v>7405</v>
      </c>
      <c r="B164" s="7" t="s">
        <v>2008</v>
      </c>
      <c r="C164" s="7" t="s">
        <v>182</v>
      </c>
      <c r="D164" s="7" t="s">
        <v>766</v>
      </c>
      <c r="E164" s="7" t="s">
        <v>7452</v>
      </c>
      <c r="F164" s="7" t="s">
        <v>7747</v>
      </c>
      <c r="G164" s="7" t="s">
        <v>943</v>
      </c>
      <c r="H164" s="8" t="s">
        <v>7471</v>
      </c>
      <c r="I164" s="7" t="s">
        <v>965</v>
      </c>
      <c r="J164" s="7" t="s">
        <v>7748</v>
      </c>
      <c r="K164" s="7" t="s">
        <v>2009</v>
      </c>
      <c r="L164" s="7" t="s">
        <v>1183</v>
      </c>
      <c r="M164" s="12"/>
      <c r="N164" s="12"/>
    </row>
    <row r="165" customFormat="false" ht="46.25" hidden="false" customHeight="false" outlineLevel="0" collapsed="false">
      <c r="A165" s="7" t="s">
        <v>7405</v>
      </c>
      <c r="B165" s="7" t="s">
        <v>2008</v>
      </c>
      <c r="C165" s="7" t="s">
        <v>182</v>
      </c>
      <c r="D165" s="7" t="s">
        <v>769</v>
      </c>
      <c r="E165" s="7" t="s">
        <v>7452</v>
      </c>
      <c r="F165" s="7" t="s">
        <v>7749</v>
      </c>
      <c r="G165" s="7" t="s">
        <v>943</v>
      </c>
      <c r="H165" s="8" t="s">
        <v>7474</v>
      </c>
      <c r="I165" s="7" t="s">
        <v>965</v>
      </c>
      <c r="J165" s="7" t="s">
        <v>7750</v>
      </c>
      <c r="K165" s="7" t="s">
        <v>2009</v>
      </c>
      <c r="L165" s="7" t="s">
        <v>1480</v>
      </c>
      <c r="M165" s="12"/>
      <c r="N165" s="12"/>
    </row>
    <row r="166" customFormat="false" ht="46.25" hidden="false" customHeight="false" outlineLevel="0" collapsed="false">
      <c r="A166" s="7" t="s">
        <v>7405</v>
      </c>
      <c r="B166" s="7" t="s">
        <v>2008</v>
      </c>
      <c r="C166" s="7" t="s">
        <v>182</v>
      </c>
      <c r="D166" s="7" t="s">
        <v>772</v>
      </c>
      <c r="E166" s="7" t="s">
        <v>7452</v>
      </c>
      <c r="F166" s="7" t="s">
        <v>7751</v>
      </c>
      <c r="G166" s="7" t="s">
        <v>943</v>
      </c>
      <c r="H166" s="8" t="s">
        <v>7477</v>
      </c>
      <c r="I166" s="7" t="s">
        <v>965</v>
      </c>
      <c r="J166" s="7" t="s">
        <v>7752</v>
      </c>
      <c r="K166" s="7" t="s">
        <v>2009</v>
      </c>
      <c r="L166" s="7" t="s">
        <v>1183</v>
      </c>
      <c r="M166" s="12"/>
      <c r="N166" s="12"/>
    </row>
    <row r="167" customFormat="false" ht="46.25" hidden="false" customHeight="false" outlineLevel="0" collapsed="false">
      <c r="A167" s="7" t="s">
        <v>7405</v>
      </c>
      <c r="B167" s="7" t="s">
        <v>2008</v>
      </c>
      <c r="C167" s="7" t="s">
        <v>182</v>
      </c>
      <c r="D167" s="7" t="s">
        <v>775</v>
      </c>
      <c r="E167" s="7" t="s">
        <v>7452</v>
      </c>
      <c r="F167" s="7" t="s">
        <v>7753</v>
      </c>
      <c r="G167" s="7" t="s">
        <v>943</v>
      </c>
      <c r="H167" s="8" t="s">
        <v>7480</v>
      </c>
      <c r="I167" s="7" t="s">
        <v>965</v>
      </c>
      <c r="J167" s="7" t="s">
        <v>7754</v>
      </c>
      <c r="K167" s="7" t="s">
        <v>2009</v>
      </c>
      <c r="L167" s="7" t="s">
        <v>1183</v>
      </c>
      <c r="M167" s="12"/>
      <c r="N167" s="12"/>
    </row>
    <row r="168" customFormat="false" ht="46.25" hidden="false" customHeight="false" outlineLevel="0" collapsed="false">
      <c r="A168" s="7" t="s">
        <v>7405</v>
      </c>
      <c r="B168" s="7" t="s">
        <v>2008</v>
      </c>
      <c r="C168" s="7" t="s">
        <v>182</v>
      </c>
      <c r="D168" s="7" t="s">
        <v>778</v>
      </c>
      <c r="E168" s="7" t="s">
        <v>7452</v>
      </c>
      <c r="F168" s="7" t="s">
        <v>7755</v>
      </c>
      <c r="G168" s="7" t="s">
        <v>943</v>
      </c>
      <c r="H168" s="8" t="s">
        <v>7483</v>
      </c>
      <c r="I168" s="7" t="s">
        <v>965</v>
      </c>
      <c r="J168" s="7" t="s">
        <v>7756</v>
      </c>
      <c r="K168" s="7" t="s">
        <v>2009</v>
      </c>
      <c r="L168" s="7" t="s">
        <v>1480</v>
      </c>
      <c r="M168" s="12"/>
      <c r="N168" s="12"/>
    </row>
    <row r="169" customFormat="false" ht="23.85" hidden="false" customHeight="false" outlineLevel="0" collapsed="false">
      <c r="A169" s="7" t="s">
        <v>7405</v>
      </c>
      <c r="B169" s="7" t="s">
        <v>2057</v>
      </c>
      <c r="C169" s="7" t="s">
        <v>182</v>
      </c>
      <c r="D169" s="7" t="s">
        <v>746</v>
      </c>
      <c r="E169" s="7" t="s">
        <v>7452</v>
      </c>
      <c r="F169" s="7" t="s">
        <v>7757</v>
      </c>
      <c r="G169" s="7" t="s">
        <v>943</v>
      </c>
      <c r="H169" s="8" t="s">
        <v>7454</v>
      </c>
      <c r="I169" s="7" t="s">
        <v>958</v>
      </c>
      <c r="J169" s="7" t="s">
        <v>2059</v>
      </c>
      <c r="K169" s="7" t="s">
        <v>2059</v>
      </c>
      <c r="L169" s="7" t="s">
        <v>1151</v>
      </c>
      <c r="M169" s="12"/>
      <c r="N169" s="12"/>
    </row>
    <row r="170" customFormat="false" ht="23.85" hidden="false" customHeight="false" outlineLevel="0" collapsed="false">
      <c r="A170" s="7" t="s">
        <v>7405</v>
      </c>
      <c r="B170" s="7" t="s">
        <v>2057</v>
      </c>
      <c r="C170" s="7" t="s">
        <v>182</v>
      </c>
      <c r="D170" s="7" t="s">
        <v>751</v>
      </c>
      <c r="E170" s="7" t="s">
        <v>7452</v>
      </c>
      <c r="F170" s="7" t="s">
        <v>7758</v>
      </c>
      <c r="G170" s="7" t="s">
        <v>943</v>
      </c>
      <c r="H170" s="8" t="s">
        <v>7456</v>
      </c>
      <c r="I170" s="7" t="s">
        <v>965</v>
      </c>
      <c r="J170" s="7" t="s">
        <v>7759</v>
      </c>
      <c r="K170" s="7" t="s">
        <v>2059</v>
      </c>
      <c r="L170" s="7" t="s">
        <v>1151</v>
      </c>
      <c r="M170" s="12"/>
      <c r="N170" s="12"/>
    </row>
    <row r="171" customFormat="false" ht="23.85" hidden="false" customHeight="false" outlineLevel="0" collapsed="false">
      <c r="A171" s="7" t="s">
        <v>7405</v>
      </c>
      <c r="B171" s="7" t="s">
        <v>2057</v>
      </c>
      <c r="C171" s="7" t="s">
        <v>182</v>
      </c>
      <c r="D171" s="7" t="s">
        <v>754</v>
      </c>
      <c r="E171" s="7" t="s">
        <v>7452</v>
      </c>
      <c r="F171" s="7" t="s">
        <v>7760</v>
      </c>
      <c r="G171" s="7" t="s">
        <v>943</v>
      </c>
      <c r="H171" s="8" t="s">
        <v>7459</v>
      </c>
      <c r="I171" s="7" t="s">
        <v>965</v>
      </c>
      <c r="J171" s="7" t="s">
        <v>7761</v>
      </c>
      <c r="K171" s="7" t="s">
        <v>2059</v>
      </c>
      <c r="L171" s="7" t="s">
        <v>1151</v>
      </c>
      <c r="M171" s="12"/>
      <c r="N171" s="12"/>
    </row>
    <row r="172" customFormat="false" ht="23.85" hidden="false" customHeight="false" outlineLevel="0" collapsed="false">
      <c r="A172" s="7" t="s">
        <v>7405</v>
      </c>
      <c r="B172" s="7" t="s">
        <v>2057</v>
      </c>
      <c r="C172" s="7" t="s">
        <v>182</v>
      </c>
      <c r="D172" s="7" t="s">
        <v>757</v>
      </c>
      <c r="E172" s="7" t="s">
        <v>7452</v>
      </c>
      <c r="F172" s="7" t="s">
        <v>7762</v>
      </c>
      <c r="G172" s="7" t="s">
        <v>943</v>
      </c>
      <c r="H172" s="8" t="s">
        <v>7462</v>
      </c>
      <c r="I172" s="7" t="s">
        <v>965</v>
      </c>
      <c r="J172" s="7" t="s">
        <v>7763</v>
      </c>
      <c r="K172" s="7" t="s">
        <v>2059</v>
      </c>
      <c r="L172" s="7" t="s">
        <v>1183</v>
      </c>
      <c r="M172" s="12"/>
      <c r="N172" s="12"/>
    </row>
    <row r="173" customFormat="false" ht="35.05" hidden="false" customHeight="false" outlineLevel="0" collapsed="false">
      <c r="A173" s="7" t="s">
        <v>7405</v>
      </c>
      <c r="B173" s="7" t="s">
        <v>2057</v>
      </c>
      <c r="C173" s="7" t="s">
        <v>182</v>
      </c>
      <c r="D173" s="7" t="s">
        <v>760</v>
      </c>
      <c r="E173" s="7" t="s">
        <v>7452</v>
      </c>
      <c r="F173" s="7" t="s">
        <v>7764</v>
      </c>
      <c r="G173" s="7" t="s">
        <v>943</v>
      </c>
      <c r="H173" s="8" t="s">
        <v>7465</v>
      </c>
      <c r="I173" s="7" t="s">
        <v>965</v>
      </c>
      <c r="J173" s="7" t="s">
        <v>7765</v>
      </c>
      <c r="K173" s="7" t="s">
        <v>2059</v>
      </c>
      <c r="L173" s="7" t="s">
        <v>1183</v>
      </c>
      <c r="M173" s="12"/>
      <c r="N173" s="12"/>
    </row>
    <row r="174" customFormat="false" ht="35.05" hidden="false" customHeight="false" outlineLevel="0" collapsed="false">
      <c r="A174" s="7" t="s">
        <v>7405</v>
      </c>
      <c r="B174" s="7" t="s">
        <v>2057</v>
      </c>
      <c r="C174" s="7" t="s">
        <v>182</v>
      </c>
      <c r="D174" s="7" t="s">
        <v>763</v>
      </c>
      <c r="E174" s="7" t="s">
        <v>7452</v>
      </c>
      <c r="F174" s="7" t="s">
        <v>7766</v>
      </c>
      <c r="G174" s="7" t="s">
        <v>943</v>
      </c>
      <c r="H174" s="8" t="s">
        <v>7468</v>
      </c>
      <c r="I174" s="7" t="s">
        <v>965</v>
      </c>
      <c r="J174" s="7" t="s">
        <v>7767</v>
      </c>
      <c r="K174" s="7" t="s">
        <v>2059</v>
      </c>
      <c r="L174" s="7" t="s">
        <v>1480</v>
      </c>
      <c r="M174" s="12"/>
      <c r="N174" s="12"/>
    </row>
    <row r="175" customFormat="false" ht="46.25" hidden="false" customHeight="false" outlineLevel="0" collapsed="false">
      <c r="A175" s="7" t="s">
        <v>7405</v>
      </c>
      <c r="B175" s="7" t="s">
        <v>2057</v>
      </c>
      <c r="C175" s="7" t="s">
        <v>182</v>
      </c>
      <c r="D175" s="7" t="s">
        <v>766</v>
      </c>
      <c r="E175" s="7" t="s">
        <v>7452</v>
      </c>
      <c r="F175" s="7" t="s">
        <v>7768</v>
      </c>
      <c r="G175" s="7" t="s">
        <v>943</v>
      </c>
      <c r="H175" s="8" t="s">
        <v>7471</v>
      </c>
      <c r="I175" s="7" t="s">
        <v>965</v>
      </c>
      <c r="J175" s="7" t="s">
        <v>7769</v>
      </c>
      <c r="K175" s="7" t="s">
        <v>2059</v>
      </c>
      <c r="L175" s="7" t="s">
        <v>1183</v>
      </c>
      <c r="M175" s="12"/>
      <c r="N175" s="12"/>
    </row>
    <row r="176" customFormat="false" ht="46.25" hidden="false" customHeight="false" outlineLevel="0" collapsed="false">
      <c r="A176" s="7" t="s">
        <v>7405</v>
      </c>
      <c r="B176" s="7" t="s">
        <v>2057</v>
      </c>
      <c r="C176" s="7" t="s">
        <v>182</v>
      </c>
      <c r="D176" s="7" t="s">
        <v>769</v>
      </c>
      <c r="E176" s="7" t="s">
        <v>7452</v>
      </c>
      <c r="F176" s="7" t="s">
        <v>7770</v>
      </c>
      <c r="G176" s="7" t="s">
        <v>943</v>
      </c>
      <c r="H176" s="8" t="s">
        <v>7474</v>
      </c>
      <c r="I176" s="7" t="s">
        <v>965</v>
      </c>
      <c r="J176" s="7" t="s">
        <v>7771</v>
      </c>
      <c r="K176" s="7" t="s">
        <v>2059</v>
      </c>
      <c r="L176" s="7" t="s">
        <v>1480</v>
      </c>
      <c r="M176" s="12"/>
      <c r="N176" s="12"/>
    </row>
    <row r="177" customFormat="false" ht="46.25" hidden="false" customHeight="false" outlineLevel="0" collapsed="false">
      <c r="A177" s="7" t="s">
        <v>7405</v>
      </c>
      <c r="B177" s="7" t="s">
        <v>2057</v>
      </c>
      <c r="C177" s="7" t="s">
        <v>182</v>
      </c>
      <c r="D177" s="7" t="s">
        <v>772</v>
      </c>
      <c r="E177" s="7" t="s">
        <v>7452</v>
      </c>
      <c r="F177" s="7" t="s">
        <v>7772</v>
      </c>
      <c r="G177" s="7" t="s">
        <v>943</v>
      </c>
      <c r="H177" s="8" t="s">
        <v>7477</v>
      </c>
      <c r="I177" s="7" t="s">
        <v>965</v>
      </c>
      <c r="J177" s="7" t="s">
        <v>7773</v>
      </c>
      <c r="K177" s="7" t="s">
        <v>2059</v>
      </c>
      <c r="L177" s="7" t="s">
        <v>1183</v>
      </c>
      <c r="M177" s="12"/>
      <c r="N177" s="12"/>
    </row>
    <row r="178" customFormat="false" ht="46.25" hidden="false" customHeight="false" outlineLevel="0" collapsed="false">
      <c r="A178" s="7" t="s">
        <v>7405</v>
      </c>
      <c r="B178" s="7" t="s">
        <v>2057</v>
      </c>
      <c r="C178" s="7" t="s">
        <v>182</v>
      </c>
      <c r="D178" s="7" t="s">
        <v>775</v>
      </c>
      <c r="E178" s="7" t="s">
        <v>7452</v>
      </c>
      <c r="F178" s="7" t="s">
        <v>7774</v>
      </c>
      <c r="G178" s="7" t="s">
        <v>943</v>
      </c>
      <c r="H178" s="8" t="s">
        <v>7480</v>
      </c>
      <c r="I178" s="7" t="s">
        <v>965</v>
      </c>
      <c r="J178" s="7" t="s">
        <v>7775</v>
      </c>
      <c r="K178" s="7" t="s">
        <v>2059</v>
      </c>
      <c r="L178" s="7" t="s">
        <v>1183</v>
      </c>
      <c r="M178" s="12"/>
      <c r="N178" s="12"/>
    </row>
    <row r="179" customFormat="false" ht="46.25" hidden="false" customHeight="false" outlineLevel="0" collapsed="false">
      <c r="A179" s="7" t="s">
        <v>7405</v>
      </c>
      <c r="B179" s="7" t="s">
        <v>2057</v>
      </c>
      <c r="C179" s="7" t="s">
        <v>182</v>
      </c>
      <c r="D179" s="7" t="s">
        <v>778</v>
      </c>
      <c r="E179" s="7" t="s">
        <v>7452</v>
      </c>
      <c r="F179" s="7" t="s">
        <v>7776</v>
      </c>
      <c r="G179" s="7" t="s">
        <v>943</v>
      </c>
      <c r="H179" s="8" t="s">
        <v>7483</v>
      </c>
      <c r="I179" s="7" t="s">
        <v>965</v>
      </c>
      <c r="J179" s="7" t="s">
        <v>7777</v>
      </c>
      <c r="K179" s="7" t="s">
        <v>2059</v>
      </c>
      <c r="L179" s="7" t="s">
        <v>1480</v>
      </c>
      <c r="M179" s="12"/>
      <c r="N179" s="12"/>
    </row>
    <row r="180" customFormat="false" ht="23.85" hidden="false" customHeight="false" outlineLevel="0" collapsed="false">
      <c r="A180" s="7" t="s">
        <v>7405</v>
      </c>
      <c r="B180" s="7" t="s">
        <v>3180</v>
      </c>
      <c r="C180" s="7" t="s">
        <v>400</v>
      </c>
      <c r="D180" s="7" t="s">
        <v>746</v>
      </c>
      <c r="E180" s="7" t="s">
        <v>7452</v>
      </c>
      <c r="F180" s="7" t="s">
        <v>7778</v>
      </c>
      <c r="G180" s="7" t="s">
        <v>943</v>
      </c>
      <c r="H180" s="8" t="s">
        <v>7454</v>
      </c>
      <c r="I180" s="7" t="s">
        <v>958</v>
      </c>
      <c r="J180" s="7" t="s">
        <v>3181</v>
      </c>
      <c r="K180" s="7" t="s">
        <v>3181</v>
      </c>
      <c r="L180" s="7" t="s">
        <v>1151</v>
      </c>
      <c r="M180" s="12"/>
      <c r="N180" s="12"/>
    </row>
    <row r="181" customFormat="false" ht="23.85" hidden="false" customHeight="false" outlineLevel="0" collapsed="false">
      <c r="A181" s="7" t="s">
        <v>7405</v>
      </c>
      <c r="B181" s="7" t="s">
        <v>3180</v>
      </c>
      <c r="C181" s="7" t="s">
        <v>400</v>
      </c>
      <c r="D181" s="7" t="s">
        <v>751</v>
      </c>
      <c r="E181" s="7" t="s">
        <v>7452</v>
      </c>
      <c r="F181" s="7" t="s">
        <v>7779</v>
      </c>
      <c r="G181" s="7" t="s">
        <v>943</v>
      </c>
      <c r="H181" s="8" t="s">
        <v>7456</v>
      </c>
      <c r="I181" s="7" t="s">
        <v>965</v>
      </c>
      <c r="J181" s="7" t="s">
        <v>7780</v>
      </c>
      <c r="K181" s="7" t="s">
        <v>3181</v>
      </c>
      <c r="L181" s="7" t="s">
        <v>1151</v>
      </c>
      <c r="M181" s="12"/>
      <c r="N181" s="12"/>
    </row>
    <row r="182" customFormat="false" ht="23.85" hidden="false" customHeight="false" outlineLevel="0" collapsed="false">
      <c r="A182" s="7" t="s">
        <v>7405</v>
      </c>
      <c r="B182" s="7" t="s">
        <v>3180</v>
      </c>
      <c r="C182" s="7" t="s">
        <v>400</v>
      </c>
      <c r="D182" s="7" t="s">
        <v>754</v>
      </c>
      <c r="E182" s="7" t="s">
        <v>7452</v>
      </c>
      <c r="F182" s="7" t="s">
        <v>7781</v>
      </c>
      <c r="G182" s="7" t="s">
        <v>943</v>
      </c>
      <c r="H182" s="8" t="s">
        <v>7459</v>
      </c>
      <c r="I182" s="7" t="s">
        <v>965</v>
      </c>
      <c r="J182" s="7" t="s">
        <v>7782</v>
      </c>
      <c r="K182" s="7" t="s">
        <v>3181</v>
      </c>
      <c r="L182" s="7" t="s">
        <v>1151</v>
      </c>
      <c r="M182" s="12"/>
      <c r="N182" s="12"/>
    </row>
    <row r="183" customFormat="false" ht="23.85" hidden="false" customHeight="false" outlineLevel="0" collapsed="false">
      <c r="A183" s="7" t="s">
        <v>7405</v>
      </c>
      <c r="B183" s="7" t="s">
        <v>3180</v>
      </c>
      <c r="C183" s="7" t="s">
        <v>400</v>
      </c>
      <c r="D183" s="7" t="s">
        <v>757</v>
      </c>
      <c r="E183" s="7" t="s">
        <v>7452</v>
      </c>
      <c r="F183" s="7" t="s">
        <v>7783</v>
      </c>
      <c r="G183" s="7" t="s">
        <v>943</v>
      </c>
      <c r="H183" s="8" t="s">
        <v>7462</v>
      </c>
      <c r="I183" s="7" t="s">
        <v>965</v>
      </c>
      <c r="J183" s="7" t="s">
        <v>7784</v>
      </c>
      <c r="K183" s="7" t="s">
        <v>3181</v>
      </c>
      <c r="L183" s="7" t="s">
        <v>1183</v>
      </c>
      <c r="M183" s="12"/>
      <c r="N183" s="12"/>
    </row>
    <row r="184" customFormat="false" ht="35.05" hidden="false" customHeight="false" outlineLevel="0" collapsed="false">
      <c r="A184" s="7" t="s">
        <v>7405</v>
      </c>
      <c r="B184" s="7" t="s">
        <v>3180</v>
      </c>
      <c r="C184" s="7" t="s">
        <v>400</v>
      </c>
      <c r="D184" s="7" t="s">
        <v>760</v>
      </c>
      <c r="E184" s="7" t="s">
        <v>7452</v>
      </c>
      <c r="F184" s="7" t="s">
        <v>7785</v>
      </c>
      <c r="G184" s="7" t="s">
        <v>943</v>
      </c>
      <c r="H184" s="8" t="s">
        <v>7465</v>
      </c>
      <c r="I184" s="7" t="s">
        <v>965</v>
      </c>
      <c r="J184" s="7" t="s">
        <v>7786</v>
      </c>
      <c r="K184" s="7" t="s">
        <v>3181</v>
      </c>
      <c r="L184" s="7" t="s">
        <v>1183</v>
      </c>
      <c r="M184" s="12"/>
      <c r="N184" s="12"/>
    </row>
    <row r="185" customFormat="false" ht="35.05" hidden="false" customHeight="false" outlineLevel="0" collapsed="false">
      <c r="A185" s="7" t="s">
        <v>7405</v>
      </c>
      <c r="B185" s="7" t="s">
        <v>3180</v>
      </c>
      <c r="C185" s="7" t="s">
        <v>400</v>
      </c>
      <c r="D185" s="7" t="s">
        <v>763</v>
      </c>
      <c r="E185" s="7" t="s">
        <v>7452</v>
      </c>
      <c r="F185" s="7" t="s">
        <v>7787</v>
      </c>
      <c r="G185" s="7" t="s">
        <v>943</v>
      </c>
      <c r="H185" s="8" t="s">
        <v>7468</v>
      </c>
      <c r="I185" s="7" t="s">
        <v>965</v>
      </c>
      <c r="J185" s="7" t="s">
        <v>7788</v>
      </c>
      <c r="K185" s="7" t="s">
        <v>3181</v>
      </c>
      <c r="L185" s="7" t="s">
        <v>1480</v>
      </c>
      <c r="M185" s="12"/>
      <c r="N185" s="12"/>
    </row>
    <row r="186" customFormat="false" ht="46.25" hidden="false" customHeight="false" outlineLevel="0" collapsed="false">
      <c r="A186" s="7" t="s">
        <v>7405</v>
      </c>
      <c r="B186" s="7" t="s">
        <v>3180</v>
      </c>
      <c r="C186" s="7" t="s">
        <v>400</v>
      </c>
      <c r="D186" s="7" t="s">
        <v>766</v>
      </c>
      <c r="E186" s="7" t="s">
        <v>7452</v>
      </c>
      <c r="F186" s="7" t="s">
        <v>7789</v>
      </c>
      <c r="G186" s="7" t="s">
        <v>943</v>
      </c>
      <c r="H186" s="8" t="s">
        <v>7471</v>
      </c>
      <c r="I186" s="7" t="s">
        <v>965</v>
      </c>
      <c r="J186" s="7" t="s">
        <v>7790</v>
      </c>
      <c r="K186" s="7" t="s">
        <v>3181</v>
      </c>
      <c r="L186" s="7" t="s">
        <v>1183</v>
      </c>
      <c r="M186" s="12"/>
      <c r="N186" s="12"/>
    </row>
    <row r="187" customFormat="false" ht="46.25" hidden="false" customHeight="false" outlineLevel="0" collapsed="false">
      <c r="A187" s="7" t="s">
        <v>7405</v>
      </c>
      <c r="B187" s="7" t="s">
        <v>3180</v>
      </c>
      <c r="C187" s="7" t="s">
        <v>400</v>
      </c>
      <c r="D187" s="7" t="s">
        <v>769</v>
      </c>
      <c r="E187" s="7" t="s">
        <v>7452</v>
      </c>
      <c r="F187" s="7" t="s">
        <v>7791</v>
      </c>
      <c r="G187" s="7" t="s">
        <v>943</v>
      </c>
      <c r="H187" s="8" t="s">
        <v>7474</v>
      </c>
      <c r="I187" s="7" t="s">
        <v>965</v>
      </c>
      <c r="J187" s="7" t="s">
        <v>7792</v>
      </c>
      <c r="K187" s="7" t="s">
        <v>3181</v>
      </c>
      <c r="L187" s="7" t="s">
        <v>1480</v>
      </c>
      <c r="M187" s="12"/>
      <c r="N187" s="12"/>
    </row>
    <row r="188" customFormat="false" ht="46.25" hidden="false" customHeight="false" outlineLevel="0" collapsed="false">
      <c r="A188" s="7" t="s">
        <v>7405</v>
      </c>
      <c r="B188" s="7" t="s">
        <v>3180</v>
      </c>
      <c r="C188" s="7" t="s">
        <v>400</v>
      </c>
      <c r="D188" s="7" t="s">
        <v>772</v>
      </c>
      <c r="E188" s="7" t="s">
        <v>7452</v>
      </c>
      <c r="F188" s="7" t="s">
        <v>7793</v>
      </c>
      <c r="G188" s="7" t="s">
        <v>943</v>
      </c>
      <c r="H188" s="8" t="s">
        <v>7477</v>
      </c>
      <c r="I188" s="7" t="s">
        <v>965</v>
      </c>
      <c r="J188" s="7" t="s">
        <v>7794</v>
      </c>
      <c r="K188" s="7" t="s">
        <v>3181</v>
      </c>
      <c r="L188" s="7" t="s">
        <v>1183</v>
      </c>
      <c r="M188" s="12"/>
      <c r="N188" s="12"/>
    </row>
    <row r="189" customFormat="false" ht="46.25" hidden="false" customHeight="false" outlineLevel="0" collapsed="false">
      <c r="A189" s="7" t="s">
        <v>7405</v>
      </c>
      <c r="B189" s="7" t="s">
        <v>3180</v>
      </c>
      <c r="C189" s="7" t="s">
        <v>400</v>
      </c>
      <c r="D189" s="7" t="s">
        <v>775</v>
      </c>
      <c r="E189" s="7" t="s">
        <v>7452</v>
      </c>
      <c r="F189" s="7" t="s">
        <v>7795</v>
      </c>
      <c r="G189" s="7" t="s">
        <v>943</v>
      </c>
      <c r="H189" s="8" t="s">
        <v>7480</v>
      </c>
      <c r="I189" s="7" t="s">
        <v>965</v>
      </c>
      <c r="J189" s="7" t="s">
        <v>7796</v>
      </c>
      <c r="K189" s="7" t="s">
        <v>3181</v>
      </c>
      <c r="L189" s="7" t="s">
        <v>1183</v>
      </c>
      <c r="M189" s="12"/>
      <c r="N189" s="12"/>
    </row>
    <row r="190" customFormat="false" ht="46.25" hidden="false" customHeight="false" outlineLevel="0" collapsed="false">
      <c r="A190" s="7" t="s">
        <v>7405</v>
      </c>
      <c r="B190" s="7" t="s">
        <v>3180</v>
      </c>
      <c r="C190" s="7" t="s">
        <v>400</v>
      </c>
      <c r="D190" s="7" t="s">
        <v>778</v>
      </c>
      <c r="E190" s="7" t="s">
        <v>7452</v>
      </c>
      <c r="F190" s="7" t="s">
        <v>7797</v>
      </c>
      <c r="G190" s="7" t="s">
        <v>943</v>
      </c>
      <c r="H190" s="8" t="s">
        <v>7483</v>
      </c>
      <c r="I190" s="7" t="s">
        <v>965</v>
      </c>
      <c r="J190" s="7" t="s">
        <v>7798</v>
      </c>
      <c r="K190" s="7" t="s">
        <v>3181</v>
      </c>
      <c r="L190" s="7" t="s">
        <v>1480</v>
      </c>
      <c r="M190" s="12"/>
      <c r="N190" s="12"/>
    </row>
    <row r="191" customFormat="false" ht="23.85" hidden="false" customHeight="false" outlineLevel="0" collapsed="false">
      <c r="A191" s="7" t="s">
        <v>7405</v>
      </c>
      <c r="B191" s="7" t="s">
        <v>3375</v>
      </c>
      <c r="C191" s="7" t="s">
        <v>425</v>
      </c>
      <c r="D191" s="7" t="s">
        <v>746</v>
      </c>
      <c r="E191" s="7" t="s">
        <v>7452</v>
      </c>
      <c r="F191" s="7" t="s">
        <v>7799</v>
      </c>
      <c r="G191" s="7" t="s">
        <v>943</v>
      </c>
      <c r="H191" s="8" t="s">
        <v>7454</v>
      </c>
      <c r="I191" s="7" t="s">
        <v>958</v>
      </c>
      <c r="J191" s="7" t="s">
        <v>3376</v>
      </c>
      <c r="K191" s="7" t="s">
        <v>3376</v>
      </c>
      <c r="L191" s="7" t="s">
        <v>1151</v>
      </c>
      <c r="M191" s="12"/>
      <c r="N191" s="12"/>
    </row>
    <row r="192" customFormat="false" ht="23.85" hidden="false" customHeight="false" outlineLevel="0" collapsed="false">
      <c r="A192" s="7" t="s">
        <v>7405</v>
      </c>
      <c r="B192" s="7" t="s">
        <v>3375</v>
      </c>
      <c r="C192" s="7" t="s">
        <v>425</v>
      </c>
      <c r="D192" s="7" t="s">
        <v>751</v>
      </c>
      <c r="E192" s="7" t="s">
        <v>7452</v>
      </c>
      <c r="F192" s="7" t="s">
        <v>7800</v>
      </c>
      <c r="G192" s="7" t="s">
        <v>943</v>
      </c>
      <c r="H192" s="8" t="s">
        <v>7456</v>
      </c>
      <c r="I192" s="7" t="s">
        <v>965</v>
      </c>
      <c r="J192" s="7" t="s">
        <v>7801</v>
      </c>
      <c r="K192" s="7" t="s">
        <v>3376</v>
      </c>
      <c r="L192" s="7" t="s">
        <v>1151</v>
      </c>
      <c r="M192" s="12"/>
      <c r="N192" s="12"/>
    </row>
    <row r="193" customFormat="false" ht="23.85" hidden="false" customHeight="false" outlineLevel="0" collapsed="false">
      <c r="A193" s="7" t="s">
        <v>7405</v>
      </c>
      <c r="B193" s="7" t="s">
        <v>3375</v>
      </c>
      <c r="C193" s="7" t="s">
        <v>425</v>
      </c>
      <c r="D193" s="7" t="s">
        <v>754</v>
      </c>
      <c r="E193" s="7" t="s">
        <v>7452</v>
      </c>
      <c r="F193" s="7" t="s">
        <v>7802</v>
      </c>
      <c r="G193" s="7" t="s">
        <v>943</v>
      </c>
      <c r="H193" s="8" t="s">
        <v>7459</v>
      </c>
      <c r="I193" s="7" t="s">
        <v>965</v>
      </c>
      <c r="J193" s="7" t="s">
        <v>7803</v>
      </c>
      <c r="K193" s="7" t="s">
        <v>3376</v>
      </c>
      <c r="L193" s="7" t="s">
        <v>1151</v>
      </c>
      <c r="M193" s="12"/>
      <c r="N193" s="12"/>
    </row>
    <row r="194" customFormat="false" ht="23.85" hidden="false" customHeight="false" outlineLevel="0" collapsed="false">
      <c r="A194" s="7" t="s">
        <v>7405</v>
      </c>
      <c r="B194" s="7" t="s">
        <v>3375</v>
      </c>
      <c r="C194" s="7" t="s">
        <v>425</v>
      </c>
      <c r="D194" s="7" t="s">
        <v>757</v>
      </c>
      <c r="E194" s="7" t="s">
        <v>7452</v>
      </c>
      <c r="F194" s="7" t="s">
        <v>7804</v>
      </c>
      <c r="G194" s="7" t="s">
        <v>943</v>
      </c>
      <c r="H194" s="8" t="s">
        <v>7462</v>
      </c>
      <c r="I194" s="7" t="s">
        <v>965</v>
      </c>
      <c r="J194" s="7" t="s">
        <v>7805</v>
      </c>
      <c r="K194" s="7" t="s">
        <v>3376</v>
      </c>
      <c r="L194" s="7" t="s">
        <v>1183</v>
      </c>
      <c r="M194" s="12"/>
      <c r="N194" s="12"/>
    </row>
    <row r="195" customFormat="false" ht="35.05" hidden="false" customHeight="false" outlineLevel="0" collapsed="false">
      <c r="A195" s="7" t="s">
        <v>7405</v>
      </c>
      <c r="B195" s="7" t="s">
        <v>3375</v>
      </c>
      <c r="C195" s="7" t="s">
        <v>425</v>
      </c>
      <c r="D195" s="7" t="s">
        <v>760</v>
      </c>
      <c r="E195" s="7" t="s">
        <v>7452</v>
      </c>
      <c r="F195" s="7" t="s">
        <v>7806</v>
      </c>
      <c r="G195" s="7" t="s">
        <v>943</v>
      </c>
      <c r="H195" s="8" t="s">
        <v>7465</v>
      </c>
      <c r="I195" s="7" t="s">
        <v>965</v>
      </c>
      <c r="J195" s="7" t="s">
        <v>7807</v>
      </c>
      <c r="K195" s="7" t="s">
        <v>3376</v>
      </c>
      <c r="L195" s="7" t="s">
        <v>1183</v>
      </c>
      <c r="M195" s="12"/>
      <c r="N195" s="12"/>
    </row>
    <row r="196" customFormat="false" ht="35.05" hidden="false" customHeight="false" outlineLevel="0" collapsed="false">
      <c r="A196" s="7" t="s">
        <v>7405</v>
      </c>
      <c r="B196" s="7" t="s">
        <v>3375</v>
      </c>
      <c r="C196" s="7" t="s">
        <v>425</v>
      </c>
      <c r="D196" s="7" t="s">
        <v>763</v>
      </c>
      <c r="E196" s="7" t="s">
        <v>7452</v>
      </c>
      <c r="F196" s="7" t="s">
        <v>7808</v>
      </c>
      <c r="G196" s="7" t="s">
        <v>943</v>
      </c>
      <c r="H196" s="8" t="s">
        <v>7468</v>
      </c>
      <c r="I196" s="7" t="s">
        <v>965</v>
      </c>
      <c r="J196" s="7" t="s">
        <v>7809</v>
      </c>
      <c r="K196" s="7" t="s">
        <v>3376</v>
      </c>
      <c r="L196" s="7" t="s">
        <v>1480</v>
      </c>
      <c r="M196" s="12"/>
      <c r="N196" s="12"/>
    </row>
    <row r="197" customFormat="false" ht="46.25" hidden="false" customHeight="false" outlineLevel="0" collapsed="false">
      <c r="A197" s="7" t="s">
        <v>7405</v>
      </c>
      <c r="B197" s="7" t="s">
        <v>3375</v>
      </c>
      <c r="C197" s="7" t="s">
        <v>425</v>
      </c>
      <c r="D197" s="7" t="s">
        <v>766</v>
      </c>
      <c r="E197" s="7" t="s">
        <v>7452</v>
      </c>
      <c r="F197" s="7" t="s">
        <v>7810</v>
      </c>
      <c r="G197" s="7" t="s">
        <v>943</v>
      </c>
      <c r="H197" s="8" t="s">
        <v>7471</v>
      </c>
      <c r="I197" s="7" t="s">
        <v>965</v>
      </c>
      <c r="J197" s="7" t="s">
        <v>7811</v>
      </c>
      <c r="K197" s="7" t="s">
        <v>3376</v>
      </c>
      <c r="L197" s="7" t="s">
        <v>1183</v>
      </c>
      <c r="M197" s="12"/>
      <c r="N197" s="12"/>
    </row>
    <row r="198" customFormat="false" ht="46.25" hidden="false" customHeight="false" outlineLevel="0" collapsed="false">
      <c r="A198" s="7" t="s">
        <v>7405</v>
      </c>
      <c r="B198" s="7" t="s">
        <v>3375</v>
      </c>
      <c r="C198" s="7" t="s">
        <v>425</v>
      </c>
      <c r="D198" s="7" t="s">
        <v>769</v>
      </c>
      <c r="E198" s="7" t="s">
        <v>7452</v>
      </c>
      <c r="F198" s="7" t="s">
        <v>7812</v>
      </c>
      <c r="G198" s="7" t="s">
        <v>943</v>
      </c>
      <c r="H198" s="8" t="s">
        <v>7474</v>
      </c>
      <c r="I198" s="7" t="s">
        <v>965</v>
      </c>
      <c r="J198" s="7" t="s">
        <v>7813</v>
      </c>
      <c r="K198" s="7" t="s">
        <v>3376</v>
      </c>
      <c r="L198" s="7" t="s">
        <v>1480</v>
      </c>
      <c r="M198" s="12"/>
      <c r="N198" s="12"/>
    </row>
    <row r="199" customFormat="false" ht="46.25" hidden="false" customHeight="false" outlineLevel="0" collapsed="false">
      <c r="A199" s="7" t="s">
        <v>7405</v>
      </c>
      <c r="B199" s="7" t="s">
        <v>3375</v>
      </c>
      <c r="C199" s="7" t="s">
        <v>425</v>
      </c>
      <c r="D199" s="7" t="s">
        <v>772</v>
      </c>
      <c r="E199" s="7" t="s">
        <v>7452</v>
      </c>
      <c r="F199" s="7" t="s">
        <v>7814</v>
      </c>
      <c r="G199" s="7" t="s">
        <v>943</v>
      </c>
      <c r="H199" s="8" t="s">
        <v>7477</v>
      </c>
      <c r="I199" s="7" t="s">
        <v>965</v>
      </c>
      <c r="J199" s="7" t="s">
        <v>7815</v>
      </c>
      <c r="K199" s="7" t="s">
        <v>3376</v>
      </c>
      <c r="L199" s="7" t="s">
        <v>1183</v>
      </c>
      <c r="M199" s="12"/>
      <c r="N199" s="12"/>
    </row>
    <row r="200" customFormat="false" ht="46.25" hidden="false" customHeight="false" outlineLevel="0" collapsed="false">
      <c r="A200" s="7" t="s">
        <v>7405</v>
      </c>
      <c r="B200" s="7" t="s">
        <v>3375</v>
      </c>
      <c r="C200" s="7" t="s">
        <v>425</v>
      </c>
      <c r="D200" s="7" t="s">
        <v>775</v>
      </c>
      <c r="E200" s="7" t="s">
        <v>7452</v>
      </c>
      <c r="F200" s="7" t="s">
        <v>7816</v>
      </c>
      <c r="G200" s="7" t="s">
        <v>943</v>
      </c>
      <c r="H200" s="8" t="s">
        <v>7480</v>
      </c>
      <c r="I200" s="7" t="s">
        <v>965</v>
      </c>
      <c r="J200" s="7" t="s">
        <v>7817</v>
      </c>
      <c r="K200" s="7" t="s">
        <v>3376</v>
      </c>
      <c r="L200" s="7" t="s">
        <v>1183</v>
      </c>
      <c r="M200" s="12"/>
      <c r="N200" s="12"/>
    </row>
    <row r="201" customFormat="false" ht="46.25" hidden="false" customHeight="false" outlineLevel="0" collapsed="false">
      <c r="A201" s="7" t="s">
        <v>7405</v>
      </c>
      <c r="B201" s="7" t="s">
        <v>3375</v>
      </c>
      <c r="C201" s="7" t="s">
        <v>425</v>
      </c>
      <c r="D201" s="7" t="s">
        <v>778</v>
      </c>
      <c r="E201" s="7" t="s">
        <v>7452</v>
      </c>
      <c r="F201" s="7" t="s">
        <v>7818</v>
      </c>
      <c r="G201" s="7" t="s">
        <v>943</v>
      </c>
      <c r="H201" s="8" t="s">
        <v>7483</v>
      </c>
      <c r="I201" s="7" t="s">
        <v>965</v>
      </c>
      <c r="J201" s="7" t="s">
        <v>7819</v>
      </c>
      <c r="K201" s="7" t="s">
        <v>3376</v>
      </c>
      <c r="L201" s="7" t="s">
        <v>1480</v>
      </c>
      <c r="M201" s="12"/>
      <c r="N201" s="12"/>
    </row>
    <row r="202" customFormat="false" ht="23.85" hidden="false" customHeight="false" outlineLevel="0" collapsed="false">
      <c r="A202" s="7" t="s">
        <v>7405</v>
      </c>
      <c r="B202" s="7" t="s">
        <v>1675</v>
      </c>
      <c r="C202" s="7" t="s">
        <v>142</v>
      </c>
      <c r="D202" s="7" t="s">
        <v>746</v>
      </c>
      <c r="E202" s="7" t="s">
        <v>7452</v>
      </c>
      <c r="F202" s="7" t="s">
        <v>7820</v>
      </c>
      <c r="G202" s="7" t="s">
        <v>943</v>
      </c>
      <c r="H202" s="8" t="s">
        <v>7454</v>
      </c>
      <c r="I202" s="7" t="s">
        <v>958</v>
      </c>
      <c r="J202" s="7" t="s">
        <v>1677</v>
      </c>
      <c r="K202" s="7" t="s">
        <v>1677</v>
      </c>
      <c r="L202" s="7" t="s">
        <v>1151</v>
      </c>
      <c r="M202" s="12"/>
      <c r="N202" s="12"/>
    </row>
    <row r="203" customFormat="false" ht="23.85" hidden="false" customHeight="false" outlineLevel="0" collapsed="false">
      <c r="A203" s="7" t="s">
        <v>7405</v>
      </c>
      <c r="B203" s="7" t="s">
        <v>1675</v>
      </c>
      <c r="C203" s="7" t="s">
        <v>142</v>
      </c>
      <c r="D203" s="7" t="s">
        <v>751</v>
      </c>
      <c r="E203" s="7" t="s">
        <v>7452</v>
      </c>
      <c r="F203" s="7" t="s">
        <v>7821</v>
      </c>
      <c r="G203" s="7" t="s">
        <v>943</v>
      </c>
      <c r="H203" s="8" t="s">
        <v>7456</v>
      </c>
      <c r="I203" s="7" t="s">
        <v>965</v>
      </c>
      <c r="J203" s="7" t="s">
        <v>7822</v>
      </c>
      <c r="K203" s="7" t="s">
        <v>1677</v>
      </c>
      <c r="L203" s="7" t="s">
        <v>1151</v>
      </c>
      <c r="M203" s="12"/>
      <c r="N203" s="12"/>
    </row>
    <row r="204" customFormat="false" ht="23.85" hidden="false" customHeight="false" outlineLevel="0" collapsed="false">
      <c r="A204" s="7" t="s">
        <v>7405</v>
      </c>
      <c r="B204" s="7" t="s">
        <v>1675</v>
      </c>
      <c r="C204" s="7" t="s">
        <v>142</v>
      </c>
      <c r="D204" s="7" t="s">
        <v>754</v>
      </c>
      <c r="E204" s="7" t="s">
        <v>7452</v>
      </c>
      <c r="F204" s="7" t="s">
        <v>7823</v>
      </c>
      <c r="G204" s="7" t="s">
        <v>943</v>
      </c>
      <c r="H204" s="8" t="s">
        <v>7459</v>
      </c>
      <c r="I204" s="7" t="s">
        <v>965</v>
      </c>
      <c r="J204" s="7" t="s">
        <v>7824</v>
      </c>
      <c r="K204" s="7" t="s">
        <v>1677</v>
      </c>
      <c r="L204" s="7" t="s">
        <v>1151</v>
      </c>
      <c r="M204" s="12"/>
      <c r="N204" s="12"/>
    </row>
    <row r="205" customFormat="false" ht="23.85" hidden="false" customHeight="false" outlineLevel="0" collapsed="false">
      <c r="A205" s="7" t="s">
        <v>7405</v>
      </c>
      <c r="B205" s="7" t="s">
        <v>1675</v>
      </c>
      <c r="C205" s="7" t="s">
        <v>142</v>
      </c>
      <c r="D205" s="7" t="s">
        <v>757</v>
      </c>
      <c r="E205" s="7" t="s">
        <v>7452</v>
      </c>
      <c r="F205" s="7" t="s">
        <v>7825</v>
      </c>
      <c r="G205" s="7" t="s">
        <v>943</v>
      </c>
      <c r="H205" s="8" t="s">
        <v>7462</v>
      </c>
      <c r="I205" s="7" t="s">
        <v>965</v>
      </c>
      <c r="J205" s="7" t="s">
        <v>7826</v>
      </c>
      <c r="K205" s="7" t="s">
        <v>1677</v>
      </c>
      <c r="L205" s="7" t="s">
        <v>1183</v>
      </c>
      <c r="M205" s="12"/>
      <c r="N205" s="12"/>
    </row>
    <row r="206" customFormat="false" ht="35.05" hidden="false" customHeight="false" outlineLevel="0" collapsed="false">
      <c r="A206" s="7" t="s">
        <v>7405</v>
      </c>
      <c r="B206" s="7" t="s">
        <v>1675</v>
      </c>
      <c r="C206" s="7" t="s">
        <v>142</v>
      </c>
      <c r="D206" s="7" t="s">
        <v>760</v>
      </c>
      <c r="E206" s="7" t="s">
        <v>7452</v>
      </c>
      <c r="F206" s="7" t="s">
        <v>7827</v>
      </c>
      <c r="G206" s="7" t="s">
        <v>943</v>
      </c>
      <c r="H206" s="8" t="s">
        <v>7465</v>
      </c>
      <c r="I206" s="7" t="s">
        <v>965</v>
      </c>
      <c r="J206" s="7" t="s">
        <v>7828</v>
      </c>
      <c r="K206" s="7" t="s">
        <v>1677</v>
      </c>
      <c r="L206" s="7" t="s">
        <v>1183</v>
      </c>
      <c r="M206" s="12"/>
      <c r="N206" s="12"/>
    </row>
    <row r="207" customFormat="false" ht="35.05" hidden="false" customHeight="false" outlineLevel="0" collapsed="false">
      <c r="A207" s="7" t="s">
        <v>7405</v>
      </c>
      <c r="B207" s="7" t="s">
        <v>1675</v>
      </c>
      <c r="C207" s="7" t="s">
        <v>142</v>
      </c>
      <c r="D207" s="7" t="s">
        <v>763</v>
      </c>
      <c r="E207" s="7" t="s">
        <v>7452</v>
      </c>
      <c r="F207" s="7" t="s">
        <v>7829</v>
      </c>
      <c r="G207" s="7" t="s">
        <v>943</v>
      </c>
      <c r="H207" s="8" t="s">
        <v>7468</v>
      </c>
      <c r="I207" s="7" t="s">
        <v>965</v>
      </c>
      <c r="J207" s="7" t="s">
        <v>7830</v>
      </c>
      <c r="K207" s="7" t="s">
        <v>1677</v>
      </c>
      <c r="L207" s="7" t="s">
        <v>1480</v>
      </c>
      <c r="M207" s="12"/>
      <c r="N207" s="12"/>
    </row>
    <row r="208" customFormat="false" ht="46.25" hidden="false" customHeight="false" outlineLevel="0" collapsed="false">
      <c r="A208" s="7" t="s">
        <v>7405</v>
      </c>
      <c r="B208" s="7" t="s">
        <v>1675</v>
      </c>
      <c r="C208" s="7" t="s">
        <v>142</v>
      </c>
      <c r="D208" s="7" t="s">
        <v>766</v>
      </c>
      <c r="E208" s="7" t="s">
        <v>7452</v>
      </c>
      <c r="F208" s="7" t="s">
        <v>7831</v>
      </c>
      <c r="G208" s="7" t="s">
        <v>943</v>
      </c>
      <c r="H208" s="8" t="s">
        <v>7471</v>
      </c>
      <c r="I208" s="7" t="s">
        <v>965</v>
      </c>
      <c r="J208" s="7" t="s">
        <v>7832</v>
      </c>
      <c r="K208" s="7" t="s">
        <v>1677</v>
      </c>
      <c r="L208" s="7" t="s">
        <v>1183</v>
      </c>
      <c r="M208" s="12"/>
      <c r="N208" s="12"/>
    </row>
    <row r="209" customFormat="false" ht="46.25" hidden="false" customHeight="false" outlineLevel="0" collapsed="false">
      <c r="A209" s="7" t="s">
        <v>7405</v>
      </c>
      <c r="B209" s="7" t="s">
        <v>1675</v>
      </c>
      <c r="C209" s="7" t="s">
        <v>142</v>
      </c>
      <c r="D209" s="7" t="s">
        <v>769</v>
      </c>
      <c r="E209" s="7" t="s">
        <v>7452</v>
      </c>
      <c r="F209" s="7" t="s">
        <v>7833</v>
      </c>
      <c r="G209" s="7" t="s">
        <v>943</v>
      </c>
      <c r="H209" s="8" t="s">
        <v>7474</v>
      </c>
      <c r="I209" s="7" t="s">
        <v>965</v>
      </c>
      <c r="J209" s="7" t="s">
        <v>7834</v>
      </c>
      <c r="K209" s="7" t="s">
        <v>1677</v>
      </c>
      <c r="L209" s="7" t="s">
        <v>1480</v>
      </c>
      <c r="M209" s="12"/>
      <c r="N209" s="12"/>
    </row>
    <row r="210" customFormat="false" ht="46.25" hidden="false" customHeight="false" outlineLevel="0" collapsed="false">
      <c r="A210" s="7" t="s">
        <v>7405</v>
      </c>
      <c r="B210" s="7" t="s">
        <v>1675</v>
      </c>
      <c r="C210" s="7" t="s">
        <v>142</v>
      </c>
      <c r="D210" s="7" t="s">
        <v>772</v>
      </c>
      <c r="E210" s="7" t="s">
        <v>7452</v>
      </c>
      <c r="F210" s="7" t="s">
        <v>7835</v>
      </c>
      <c r="G210" s="7" t="s">
        <v>943</v>
      </c>
      <c r="H210" s="8" t="s">
        <v>7477</v>
      </c>
      <c r="I210" s="7" t="s">
        <v>965</v>
      </c>
      <c r="J210" s="7" t="s">
        <v>7836</v>
      </c>
      <c r="K210" s="7" t="s">
        <v>1677</v>
      </c>
      <c r="L210" s="7" t="s">
        <v>1183</v>
      </c>
      <c r="M210" s="12"/>
      <c r="N210" s="12"/>
    </row>
    <row r="211" customFormat="false" ht="46.25" hidden="false" customHeight="false" outlineLevel="0" collapsed="false">
      <c r="A211" s="7" t="s">
        <v>7405</v>
      </c>
      <c r="B211" s="7" t="s">
        <v>1675</v>
      </c>
      <c r="C211" s="7" t="s">
        <v>142</v>
      </c>
      <c r="D211" s="7" t="s">
        <v>775</v>
      </c>
      <c r="E211" s="7" t="s">
        <v>7452</v>
      </c>
      <c r="F211" s="7" t="s">
        <v>7837</v>
      </c>
      <c r="G211" s="7" t="s">
        <v>943</v>
      </c>
      <c r="H211" s="8" t="s">
        <v>7480</v>
      </c>
      <c r="I211" s="7" t="s">
        <v>965</v>
      </c>
      <c r="J211" s="7" t="s">
        <v>7838</v>
      </c>
      <c r="K211" s="7" t="s">
        <v>1677</v>
      </c>
      <c r="L211" s="7" t="s">
        <v>1183</v>
      </c>
      <c r="M211" s="12"/>
      <c r="N211" s="12"/>
    </row>
    <row r="212" customFormat="false" ht="46.25" hidden="false" customHeight="false" outlineLevel="0" collapsed="false">
      <c r="A212" s="7" t="s">
        <v>7405</v>
      </c>
      <c r="B212" s="7" t="s">
        <v>1675</v>
      </c>
      <c r="C212" s="7" t="s">
        <v>142</v>
      </c>
      <c r="D212" s="7" t="s">
        <v>778</v>
      </c>
      <c r="E212" s="7" t="s">
        <v>7452</v>
      </c>
      <c r="F212" s="7" t="s">
        <v>7839</v>
      </c>
      <c r="G212" s="7" t="s">
        <v>943</v>
      </c>
      <c r="H212" s="8" t="s">
        <v>7483</v>
      </c>
      <c r="I212" s="7" t="s">
        <v>965</v>
      </c>
      <c r="J212" s="7" t="s">
        <v>7840</v>
      </c>
      <c r="K212" s="7" t="s">
        <v>1677</v>
      </c>
      <c r="L212" s="7" t="s">
        <v>1480</v>
      </c>
      <c r="M212" s="12"/>
      <c r="N212" s="12"/>
    </row>
    <row r="213" customFormat="false" ht="35.05" hidden="false" customHeight="false" outlineLevel="0" collapsed="false">
      <c r="A213" s="7" t="s">
        <v>7411</v>
      </c>
      <c r="B213" s="7" t="s">
        <v>1182</v>
      </c>
      <c r="C213" s="7" t="s">
        <v>79</v>
      </c>
      <c r="D213" s="7" t="s">
        <v>7841</v>
      </c>
      <c r="E213" s="7" t="s">
        <v>7842</v>
      </c>
      <c r="F213" s="7" t="s">
        <v>7843</v>
      </c>
      <c r="G213" s="7" t="s">
        <v>943</v>
      </c>
      <c r="H213" s="8" t="s">
        <v>7844</v>
      </c>
      <c r="I213" s="7" t="s">
        <v>973</v>
      </c>
      <c r="J213" s="7" t="s">
        <v>7845</v>
      </c>
      <c r="K213" s="7" t="s">
        <v>1181</v>
      </c>
      <c r="L213" s="7" t="s">
        <v>1151</v>
      </c>
      <c r="M213" s="12"/>
      <c r="N213" s="12"/>
    </row>
    <row r="214" customFormat="false" ht="35.05" hidden="false" customHeight="false" outlineLevel="0" collapsed="false">
      <c r="A214" s="7" t="s">
        <v>7411</v>
      </c>
      <c r="B214" s="7" t="s">
        <v>1182</v>
      </c>
      <c r="C214" s="7" t="s">
        <v>79</v>
      </c>
      <c r="D214" s="7" t="s">
        <v>7846</v>
      </c>
      <c r="E214" s="7" t="s">
        <v>7842</v>
      </c>
      <c r="F214" s="7" t="s">
        <v>7847</v>
      </c>
      <c r="G214" s="7" t="s">
        <v>943</v>
      </c>
      <c r="H214" s="8" t="s">
        <v>7848</v>
      </c>
      <c r="I214" s="7" t="s">
        <v>973</v>
      </c>
      <c r="J214" s="7" t="s">
        <v>7849</v>
      </c>
      <c r="K214" s="7" t="s">
        <v>1181</v>
      </c>
      <c r="L214" s="7" t="s">
        <v>1183</v>
      </c>
      <c r="M214" s="12"/>
      <c r="N214" s="12"/>
    </row>
    <row r="215" customFormat="false" ht="35.05" hidden="false" customHeight="false" outlineLevel="0" collapsed="false">
      <c r="A215" s="7" t="s">
        <v>7411</v>
      </c>
      <c r="B215" s="7" t="s">
        <v>1182</v>
      </c>
      <c r="C215" s="7" t="s">
        <v>79</v>
      </c>
      <c r="D215" s="7" t="s">
        <v>7850</v>
      </c>
      <c r="E215" s="7" t="s">
        <v>7842</v>
      </c>
      <c r="F215" s="7" t="s">
        <v>7851</v>
      </c>
      <c r="G215" s="7" t="s">
        <v>943</v>
      </c>
      <c r="H215" s="8" t="s">
        <v>7852</v>
      </c>
      <c r="I215" s="7" t="s">
        <v>973</v>
      </c>
      <c r="J215" s="7" t="s">
        <v>7853</v>
      </c>
      <c r="K215" s="7" t="s">
        <v>1181</v>
      </c>
      <c r="L215" s="7" t="s">
        <v>1183</v>
      </c>
      <c r="M215" s="12"/>
      <c r="N215" s="12"/>
    </row>
    <row r="216" customFormat="false" ht="35.05" hidden="false" customHeight="false" outlineLevel="0" collapsed="false">
      <c r="A216" s="7" t="s">
        <v>7411</v>
      </c>
      <c r="B216" s="7" t="s">
        <v>1182</v>
      </c>
      <c r="C216" s="7" t="s">
        <v>79</v>
      </c>
      <c r="D216" s="7" t="s">
        <v>7854</v>
      </c>
      <c r="E216" s="7" t="s">
        <v>7842</v>
      </c>
      <c r="F216" s="7" t="s">
        <v>7855</v>
      </c>
      <c r="G216" s="7" t="s">
        <v>943</v>
      </c>
      <c r="H216" s="8" t="s">
        <v>7856</v>
      </c>
      <c r="I216" s="7" t="s">
        <v>973</v>
      </c>
      <c r="J216" s="7" t="s">
        <v>7857</v>
      </c>
      <c r="K216" s="7" t="s">
        <v>1181</v>
      </c>
      <c r="L216" s="7" t="s">
        <v>1183</v>
      </c>
      <c r="M216" s="12"/>
      <c r="N216" s="12"/>
    </row>
    <row r="217" customFormat="false" ht="35.05" hidden="false" customHeight="false" outlineLevel="0" collapsed="false">
      <c r="A217" s="7" t="s">
        <v>7411</v>
      </c>
      <c r="B217" s="7" t="s">
        <v>1182</v>
      </c>
      <c r="C217" s="7" t="s">
        <v>79</v>
      </c>
      <c r="D217" s="7" t="s">
        <v>7858</v>
      </c>
      <c r="E217" s="7" t="s">
        <v>7842</v>
      </c>
      <c r="F217" s="7" t="s">
        <v>7859</v>
      </c>
      <c r="G217" s="7" t="s">
        <v>943</v>
      </c>
      <c r="H217" s="8" t="s">
        <v>7860</v>
      </c>
      <c r="I217" s="7" t="s">
        <v>973</v>
      </c>
      <c r="J217" s="7" t="s">
        <v>7861</v>
      </c>
      <c r="K217" s="7" t="s">
        <v>1181</v>
      </c>
      <c r="L217" s="7" t="s">
        <v>1183</v>
      </c>
      <c r="M217" s="12"/>
      <c r="N217" s="12"/>
    </row>
    <row r="218" customFormat="false" ht="35.05" hidden="false" customHeight="false" outlineLevel="0" collapsed="false">
      <c r="A218" s="7" t="s">
        <v>7411</v>
      </c>
      <c r="B218" s="7" t="s">
        <v>1182</v>
      </c>
      <c r="C218" s="7" t="s">
        <v>79</v>
      </c>
      <c r="D218" s="7" t="s">
        <v>7862</v>
      </c>
      <c r="E218" s="7" t="s">
        <v>7842</v>
      </c>
      <c r="F218" s="7" t="s">
        <v>7863</v>
      </c>
      <c r="G218" s="7" t="s">
        <v>943</v>
      </c>
      <c r="H218" s="8" t="s">
        <v>7864</v>
      </c>
      <c r="I218" s="7" t="s">
        <v>973</v>
      </c>
      <c r="J218" s="7" t="s">
        <v>7865</v>
      </c>
      <c r="K218" s="7" t="s">
        <v>1181</v>
      </c>
      <c r="L218" s="7" t="s">
        <v>1151</v>
      </c>
      <c r="M218" s="12"/>
      <c r="N218" s="12"/>
    </row>
    <row r="219" customFormat="false" ht="35.05" hidden="false" customHeight="false" outlineLevel="0" collapsed="false">
      <c r="A219" s="7" t="s">
        <v>7411</v>
      </c>
      <c r="B219" s="7" t="s">
        <v>1182</v>
      </c>
      <c r="C219" s="7" t="s">
        <v>79</v>
      </c>
      <c r="D219" s="7" t="s">
        <v>7866</v>
      </c>
      <c r="E219" s="7" t="s">
        <v>7842</v>
      </c>
      <c r="F219" s="7" t="s">
        <v>7867</v>
      </c>
      <c r="G219" s="7" t="s">
        <v>943</v>
      </c>
      <c r="H219" s="8" t="s">
        <v>7868</v>
      </c>
      <c r="I219" s="7" t="s">
        <v>973</v>
      </c>
      <c r="J219" s="7" t="s">
        <v>7869</v>
      </c>
      <c r="K219" s="7" t="s">
        <v>1181</v>
      </c>
      <c r="L219" s="7" t="s">
        <v>1183</v>
      </c>
      <c r="M219" s="12"/>
      <c r="N219" s="12"/>
    </row>
    <row r="220" customFormat="false" ht="35.05" hidden="false" customHeight="false" outlineLevel="0" collapsed="false">
      <c r="A220" s="7" t="s">
        <v>7411</v>
      </c>
      <c r="B220" s="7" t="s">
        <v>1182</v>
      </c>
      <c r="C220" s="7" t="s">
        <v>79</v>
      </c>
      <c r="D220" s="7" t="s">
        <v>7870</v>
      </c>
      <c r="E220" s="7" t="s">
        <v>7842</v>
      </c>
      <c r="F220" s="7" t="s">
        <v>7871</v>
      </c>
      <c r="G220" s="7" t="s">
        <v>943</v>
      </c>
      <c r="H220" s="8" t="s">
        <v>7872</v>
      </c>
      <c r="I220" s="7" t="s">
        <v>973</v>
      </c>
      <c r="J220" s="7" t="s">
        <v>7873</v>
      </c>
      <c r="K220" s="7" t="s">
        <v>1181</v>
      </c>
      <c r="L220" s="7" t="s">
        <v>1183</v>
      </c>
      <c r="M220" s="12"/>
      <c r="N220" s="12"/>
    </row>
    <row r="221" customFormat="false" ht="35.05" hidden="false" customHeight="false" outlineLevel="0" collapsed="false">
      <c r="A221" s="7" t="s">
        <v>7411</v>
      </c>
      <c r="B221" s="7" t="s">
        <v>1182</v>
      </c>
      <c r="C221" s="7" t="s">
        <v>79</v>
      </c>
      <c r="D221" s="7" t="s">
        <v>7874</v>
      </c>
      <c r="E221" s="7" t="s">
        <v>7842</v>
      </c>
      <c r="F221" s="7" t="s">
        <v>7875</v>
      </c>
      <c r="G221" s="7" t="s">
        <v>943</v>
      </c>
      <c r="H221" s="8" t="s">
        <v>7876</v>
      </c>
      <c r="I221" s="7" t="s">
        <v>973</v>
      </c>
      <c r="J221" s="7" t="s">
        <v>7877</v>
      </c>
      <c r="K221" s="7" t="s">
        <v>1181</v>
      </c>
      <c r="L221" s="7" t="s">
        <v>1480</v>
      </c>
      <c r="M221" s="12"/>
      <c r="N221" s="12"/>
    </row>
    <row r="222" customFormat="false" ht="35.05" hidden="false" customHeight="false" outlineLevel="0" collapsed="false">
      <c r="A222" s="7" t="s">
        <v>7411</v>
      </c>
      <c r="B222" s="7" t="s">
        <v>1182</v>
      </c>
      <c r="C222" s="7" t="s">
        <v>79</v>
      </c>
      <c r="D222" s="7" t="s">
        <v>7878</v>
      </c>
      <c r="E222" s="7" t="s">
        <v>7842</v>
      </c>
      <c r="F222" s="7" t="s">
        <v>7879</v>
      </c>
      <c r="G222" s="7" t="s">
        <v>943</v>
      </c>
      <c r="H222" s="8" t="s">
        <v>7880</v>
      </c>
      <c r="I222" s="7" t="s">
        <v>973</v>
      </c>
      <c r="J222" s="7" t="s">
        <v>7881</v>
      </c>
      <c r="K222" s="7" t="s">
        <v>1181</v>
      </c>
      <c r="L222" s="7" t="s">
        <v>1480</v>
      </c>
      <c r="M222" s="12"/>
      <c r="N222" s="12"/>
    </row>
    <row r="223" customFormat="false" ht="35.05" hidden="false" customHeight="false" outlineLevel="0" collapsed="false">
      <c r="A223" s="7" t="s">
        <v>7411</v>
      </c>
      <c r="B223" s="7" t="s">
        <v>1182</v>
      </c>
      <c r="C223" s="7" t="s">
        <v>79</v>
      </c>
      <c r="D223" s="7" t="s">
        <v>7882</v>
      </c>
      <c r="E223" s="7" t="s">
        <v>7842</v>
      </c>
      <c r="F223" s="7" t="s">
        <v>7883</v>
      </c>
      <c r="G223" s="7" t="s">
        <v>943</v>
      </c>
      <c r="H223" s="8" t="s">
        <v>7884</v>
      </c>
      <c r="I223" s="7" t="s">
        <v>973</v>
      </c>
      <c r="J223" s="7" t="s">
        <v>7885</v>
      </c>
      <c r="K223" s="7" t="s">
        <v>1181</v>
      </c>
      <c r="L223" s="7" t="s">
        <v>1183</v>
      </c>
      <c r="M223" s="12"/>
      <c r="N223" s="12"/>
    </row>
    <row r="224" customFormat="false" ht="35.05" hidden="false" customHeight="false" outlineLevel="0" collapsed="false">
      <c r="A224" s="7" t="s">
        <v>7411</v>
      </c>
      <c r="B224" s="7" t="s">
        <v>1182</v>
      </c>
      <c r="C224" s="7" t="s">
        <v>79</v>
      </c>
      <c r="D224" s="7" t="s">
        <v>7886</v>
      </c>
      <c r="E224" s="7" t="s">
        <v>7842</v>
      </c>
      <c r="F224" s="7" t="s">
        <v>7887</v>
      </c>
      <c r="G224" s="7" t="s">
        <v>943</v>
      </c>
      <c r="H224" s="8" t="s">
        <v>7888</v>
      </c>
      <c r="I224" s="7" t="s">
        <v>973</v>
      </c>
      <c r="J224" s="7" t="s">
        <v>7889</v>
      </c>
      <c r="K224" s="7" t="s">
        <v>1181</v>
      </c>
      <c r="L224" s="7" t="s">
        <v>1183</v>
      </c>
      <c r="M224" s="12"/>
      <c r="N224" s="12"/>
    </row>
    <row r="225" customFormat="false" ht="35.05" hidden="false" customHeight="false" outlineLevel="0" collapsed="false">
      <c r="A225" s="7" t="s">
        <v>7411</v>
      </c>
      <c r="B225" s="7" t="s">
        <v>1536</v>
      </c>
      <c r="C225" s="7" t="s">
        <v>142</v>
      </c>
      <c r="D225" s="7" t="s">
        <v>7841</v>
      </c>
      <c r="E225" s="7" t="s">
        <v>7842</v>
      </c>
      <c r="F225" s="7" t="s">
        <v>7890</v>
      </c>
      <c r="G225" s="7" t="s">
        <v>943</v>
      </c>
      <c r="H225" s="8" t="s">
        <v>7844</v>
      </c>
      <c r="I225" s="7" t="s">
        <v>973</v>
      </c>
      <c r="J225" s="7" t="s">
        <v>7891</v>
      </c>
      <c r="K225" s="7" t="s">
        <v>1537</v>
      </c>
      <c r="L225" s="7" t="s">
        <v>1151</v>
      </c>
      <c r="M225" s="12"/>
      <c r="N225" s="12"/>
    </row>
    <row r="226" customFormat="false" ht="35.05" hidden="false" customHeight="false" outlineLevel="0" collapsed="false">
      <c r="A226" s="7" t="s">
        <v>7411</v>
      </c>
      <c r="B226" s="7" t="s">
        <v>1536</v>
      </c>
      <c r="C226" s="7" t="s">
        <v>142</v>
      </c>
      <c r="D226" s="7" t="s">
        <v>7846</v>
      </c>
      <c r="E226" s="7" t="s">
        <v>7842</v>
      </c>
      <c r="F226" s="7" t="s">
        <v>7892</v>
      </c>
      <c r="G226" s="7" t="s">
        <v>943</v>
      </c>
      <c r="H226" s="8" t="s">
        <v>7848</v>
      </c>
      <c r="I226" s="7" t="s">
        <v>973</v>
      </c>
      <c r="J226" s="7" t="s">
        <v>7893</v>
      </c>
      <c r="K226" s="7" t="s">
        <v>1537</v>
      </c>
      <c r="L226" s="7" t="s">
        <v>1183</v>
      </c>
      <c r="M226" s="12"/>
      <c r="N226" s="12"/>
    </row>
    <row r="227" customFormat="false" ht="35.05" hidden="false" customHeight="false" outlineLevel="0" collapsed="false">
      <c r="A227" s="7" t="s">
        <v>7411</v>
      </c>
      <c r="B227" s="7" t="s">
        <v>1536</v>
      </c>
      <c r="C227" s="7" t="s">
        <v>142</v>
      </c>
      <c r="D227" s="7" t="s">
        <v>7850</v>
      </c>
      <c r="E227" s="7" t="s">
        <v>7842</v>
      </c>
      <c r="F227" s="7" t="s">
        <v>7894</v>
      </c>
      <c r="G227" s="7" t="s">
        <v>943</v>
      </c>
      <c r="H227" s="8" t="s">
        <v>7852</v>
      </c>
      <c r="I227" s="7" t="s">
        <v>973</v>
      </c>
      <c r="J227" s="7" t="s">
        <v>7895</v>
      </c>
      <c r="K227" s="7" t="s">
        <v>1537</v>
      </c>
      <c r="L227" s="7" t="s">
        <v>1183</v>
      </c>
      <c r="M227" s="12"/>
      <c r="N227" s="12"/>
    </row>
    <row r="228" customFormat="false" ht="35.05" hidden="false" customHeight="false" outlineLevel="0" collapsed="false">
      <c r="A228" s="7" t="s">
        <v>7411</v>
      </c>
      <c r="B228" s="7" t="s">
        <v>1536</v>
      </c>
      <c r="C228" s="7" t="s">
        <v>142</v>
      </c>
      <c r="D228" s="7" t="s">
        <v>7854</v>
      </c>
      <c r="E228" s="7" t="s">
        <v>7842</v>
      </c>
      <c r="F228" s="7" t="s">
        <v>7896</v>
      </c>
      <c r="G228" s="7" t="s">
        <v>943</v>
      </c>
      <c r="H228" s="8" t="s">
        <v>7856</v>
      </c>
      <c r="I228" s="7" t="s">
        <v>973</v>
      </c>
      <c r="J228" s="7" t="s">
        <v>7897</v>
      </c>
      <c r="K228" s="7" t="s">
        <v>1537</v>
      </c>
      <c r="L228" s="7" t="s">
        <v>1183</v>
      </c>
      <c r="M228" s="12"/>
      <c r="N228" s="12"/>
    </row>
    <row r="229" customFormat="false" ht="35.05" hidden="false" customHeight="false" outlineLevel="0" collapsed="false">
      <c r="A229" s="7" t="s">
        <v>7411</v>
      </c>
      <c r="B229" s="7" t="s">
        <v>1536</v>
      </c>
      <c r="C229" s="7" t="s">
        <v>142</v>
      </c>
      <c r="D229" s="7" t="s">
        <v>7858</v>
      </c>
      <c r="E229" s="7" t="s">
        <v>7842</v>
      </c>
      <c r="F229" s="7" t="s">
        <v>7898</v>
      </c>
      <c r="G229" s="7" t="s">
        <v>943</v>
      </c>
      <c r="H229" s="8" t="s">
        <v>7860</v>
      </c>
      <c r="I229" s="7" t="s">
        <v>973</v>
      </c>
      <c r="J229" s="7" t="s">
        <v>7899</v>
      </c>
      <c r="K229" s="7" t="s">
        <v>1537</v>
      </c>
      <c r="L229" s="7" t="s">
        <v>1183</v>
      </c>
      <c r="M229" s="12"/>
      <c r="N229" s="12"/>
    </row>
    <row r="230" customFormat="false" ht="35.05" hidden="false" customHeight="false" outlineLevel="0" collapsed="false">
      <c r="A230" s="7" t="s">
        <v>7411</v>
      </c>
      <c r="B230" s="7" t="s">
        <v>1536</v>
      </c>
      <c r="C230" s="7" t="s">
        <v>142</v>
      </c>
      <c r="D230" s="7" t="s">
        <v>7862</v>
      </c>
      <c r="E230" s="7" t="s">
        <v>7842</v>
      </c>
      <c r="F230" s="7" t="s">
        <v>7900</v>
      </c>
      <c r="G230" s="7" t="s">
        <v>943</v>
      </c>
      <c r="H230" s="8" t="s">
        <v>7864</v>
      </c>
      <c r="I230" s="7" t="s">
        <v>973</v>
      </c>
      <c r="J230" s="7" t="s">
        <v>7901</v>
      </c>
      <c r="K230" s="7" t="s">
        <v>1537</v>
      </c>
      <c r="L230" s="7" t="s">
        <v>1151</v>
      </c>
      <c r="M230" s="12"/>
      <c r="N230" s="12"/>
    </row>
    <row r="231" customFormat="false" ht="35.05" hidden="false" customHeight="false" outlineLevel="0" collapsed="false">
      <c r="A231" s="7" t="s">
        <v>7411</v>
      </c>
      <c r="B231" s="7" t="s">
        <v>1536</v>
      </c>
      <c r="C231" s="7" t="s">
        <v>142</v>
      </c>
      <c r="D231" s="7" t="s">
        <v>7866</v>
      </c>
      <c r="E231" s="7" t="s">
        <v>7842</v>
      </c>
      <c r="F231" s="7" t="s">
        <v>7902</v>
      </c>
      <c r="G231" s="7" t="s">
        <v>943</v>
      </c>
      <c r="H231" s="8" t="s">
        <v>7868</v>
      </c>
      <c r="I231" s="7" t="s">
        <v>973</v>
      </c>
      <c r="J231" s="7" t="s">
        <v>7903</v>
      </c>
      <c r="K231" s="7" t="s">
        <v>1537</v>
      </c>
      <c r="L231" s="7" t="s">
        <v>1183</v>
      </c>
      <c r="M231" s="12"/>
      <c r="N231" s="12"/>
    </row>
    <row r="232" customFormat="false" ht="35.05" hidden="false" customHeight="false" outlineLevel="0" collapsed="false">
      <c r="A232" s="7" t="s">
        <v>7411</v>
      </c>
      <c r="B232" s="7" t="s">
        <v>1536</v>
      </c>
      <c r="C232" s="7" t="s">
        <v>142</v>
      </c>
      <c r="D232" s="7" t="s">
        <v>7870</v>
      </c>
      <c r="E232" s="7" t="s">
        <v>7842</v>
      </c>
      <c r="F232" s="7" t="s">
        <v>7904</v>
      </c>
      <c r="G232" s="7" t="s">
        <v>943</v>
      </c>
      <c r="H232" s="8" t="s">
        <v>7872</v>
      </c>
      <c r="I232" s="7" t="s">
        <v>973</v>
      </c>
      <c r="J232" s="7" t="s">
        <v>7905</v>
      </c>
      <c r="K232" s="7" t="s">
        <v>1537</v>
      </c>
      <c r="L232" s="7" t="s">
        <v>1183</v>
      </c>
      <c r="M232" s="12"/>
      <c r="N232" s="12"/>
    </row>
    <row r="233" customFormat="false" ht="35.05" hidden="false" customHeight="false" outlineLevel="0" collapsed="false">
      <c r="A233" s="7" t="s">
        <v>7411</v>
      </c>
      <c r="B233" s="7" t="s">
        <v>1536</v>
      </c>
      <c r="C233" s="7" t="s">
        <v>142</v>
      </c>
      <c r="D233" s="7" t="s">
        <v>7874</v>
      </c>
      <c r="E233" s="7" t="s">
        <v>7842</v>
      </c>
      <c r="F233" s="7" t="s">
        <v>7906</v>
      </c>
      <c r="G233" s="7" t="s">
        <v>943</v>
      </c>
      <c r="H233" s="8" t="s">
        <v>7876</v>
      </c>
      <c r="I233" s="7" t="s">
        <v>973</v>
      </c>
      <c r="J233" s="7" t="s">
        <v>7907</v>
      </c>
      <c r="K233" s="7" t="s">
        <v>1537</v>
      </c>
      <c r="L233" s="7" t="s">
        <v>1480</v>
      </c>
      <c r="M233" s="12"/>
      <c r="N233" s="12"/>
    </row>
    <row r="234" customFormat="false" ht="35.05" hidden="false" customHeight="false" outlineLevel="0" collapsed="false">
      <c r="A234" s="7" t="s">
        <v>7411</v>
      </c>
      <c r="B234" s="7" t="s">
        <v>1536</v>
      </c>
      <c r="C234" s="7" t="s">
        <v>142</v>
      </c>
      <c r="D234" s="7" t="s">
        <v>7878</v>
      </c>
      <c r="E234" s="7" t="s">
        <v>7842</v>
      </c>
      <c r="F234" s="7" t="s">
        <v>7908</v>
      </c>
      <c r="G234" s="7" t="s">
        <v>943</v>
      </c>
      <c r="H234" s="8" t="s">
        <v>7880</v>
      </c>
      <c r="I234" s="7" t="s">
        <v>973</v>
      </c>
      <c r="J234" s="7" t="s">
        <v>7909</v>
      </c>
      <c r="K234" s="7" t="s">
        <v>1537</v>
      </c>
      <c r="L234" s="7" t="s">
        <v>1480</v>
      </c>
      <c r="M234" s="12"/>
      <c r="N234" s="12"/>
    </row>
    <row r="235" customFormat="false" ht="35.05" hidden="false" customHeight="false" outlineLevel="0" collapsed="false">
      <c r="A235" s="7" t="s">
        <v>7411</v>
      </c>
      <c r="B235" s="7" t="s">
        <v>1536</v>
      </c>
      <c r="C235" s="7" t="s">
        <v>142</v>
      </c>
      <c r="D235" s="7" t="s">
        <v>7882</v>
      </c>
      <c r="E235" s="7" t="s">
        <v>7842</v>
      </c>
      <c r="F235" s="7" t="s">
        <v>7910</v>
      </c>
      <c r="G235" s="7" t="s">
        <v>943</v>
      </c>
      <c r="H235" s="8" t="s">
        <v>7884</v>
      </c>
      <c r="I235" s="7" t="s">
        <v>973</v>
      </c>
      <c r="J235" s="7" t="s">
        <v>7911</v>
      </c>
      <c r="K235" s="7" t="s">
        <v>1537</v>
      </c>
      <c r="L235" s="7" t="s">
        <v>1183</v>
      </c>
      <c r="M235" s="12"/>
      <c r="N235" s="12"/>
    </row>
    <row r="236" customFormat="false" ht="35.05" hidden="false" customHeight="false" outlineLevel="0" collapsed="false">
      <c r="A236" s="7" t="s">
        <v>7411</v>
      </c>
      <c r="B236" s="7" t="s">
        <v>1536</v>
      </c>
      <c r="C236" s="7" t="s">
        <v>142</v>
      </c>
      <c r="D236" s="7" t="s">
        <v>7886</v>
      </c>
      <c r="E236" s="7" t="s">
        <v>7842</v>
      </c>
      <c r="F236" s="7" t="s">
        <v>7912</v>
      </c>
      <c r="G236" s="7" t="s">
        <v>943</v>
      </c>
      <c r="H236" s="8" t="s">
        <v>7888</v>
      </c>
      <c r="I236" s="7" t="s">
        <v>973</v>
      </c>
      <c r="J236" s="7" t="s">
        <v>7913</v>
      </c>
      <c r="K236" s="7" t="s">
        <v>1537</v>
      </c>
      <c r="L236" s="7" t="s">
        <v>1183</v>
      </c>
      <c r="M236" s="12"/>
      <c r="N236" s="12"/>
    </row>
    <row r="237" customFormat="false" ht="35.05" hidden="false" customHeight="false" outlineLevel="0" collapsed="false">
      <c r="A237" s="7" t="s">
        <v>7411</v>
      </c>
      <c r="B237" s="7" t="s">
        <v>1530</v>
      </c>
      <c r="C237" s="7" t="s">
        <v>142</v>
      </c>
      <c r="D237" s="7" t="s">
        <v>7841</v>
      </c>
      <c r="E237" s="7" t="s">
        <v>7842</v>
      </c>
      <c r="F237" s="7" t="s">
        <v>7413</v>
      </c>
      <c r="G237" s="7" t="s">
        <v>943</v>
      </c>
      <c r="H237" s="8" t="s">
        <v>7844</v>
      </c>
      <c r="I237" s="7" t="s">
        <v>973</v>
      </c>
      <c r="J237" s="7" t="s">
        <v>7914</v>
      </c>
      <c r="K237" s="7" t="s">
        <v>1531</v>
      </c>
      <c r="L237" s="7" t="s">
        <v>1151</v>
      </c>
      <c r="M237" s="12"/>
      <c r="N237" s="12"/>
    </row>
    <row r="238" customFormat="false" ht="35.05" hidden="false" customHeight="false" outlineLevel="0" collapsed="false">
      <c r="A238" s="7" t="s">
        <v>7411</v>
      </c>
      <c r="B238" s="7" t="s">
        <v>1530</v>
      </c>
      <c r="C238" s="7" t="s">
        <v>142</v>
      </c>
      <c r="D238" s="7" t="s">
        <v>7846</v>
      </c>
      <c r="E238" s="7" t="s">
        <v>7842</v>
      </c>
      <c r="F238" s="7" t="s">
        <v>7915</v>
      </c>
      <c r="G238" s="7" t="s">
        <v>943</v>
      </c>
      <c r="H238" s="8" t="s">
        <v>7848</v>
      </c>
      <c r="I238" s="7" t="s">
        <v>973</v>
      </c>
      <c r="J238" s="7" t="s">
        <v>7916</v>
      </c>
      <c r="K238" s="7" t="s">
        <v>1531</v>
      </c>
      <c r="L238" s="7" t="s">
        <v>1183</v>
      </c>
      <c r="M238" s="12"/>
      <c r="N238" s="12"/>
    </row>
    <row r="239" customFormat="false" ht="35.05" hidden="false" customHeight="false" outlineLevel="0" collapsed="false">
      <c r="A239" s="7" t="s">
        <v>7411</v>
      </c>
      <c r="B239" s="7" t="s">
        <v>1530</v>
      </c>
      <c r="C239" s="7" t="s">
        <v>142</v>
      </c>
      <c r="D239" s="7" t="s">
        <v>7850</v>
      </c>
      <c r="E239" s="7" t="s">
        <v>7842</v>
      </c>
      <c r="F239" s="7" t="s">
        <v>7917</v>
      </c>
      <c r="G239" s="7" t="s">
        <v>943</v>
      </c>
      <c r="H239" s="8" t="s">
        <v>7852</v>
      </c>
      <c r="I239" s="7" t="s">
        <v>973</v>
      </c>
      <c r="J239" s="7" t="s">
        <v>7918</v>
      </c>
      <c r="K239" s="7" t="s">
        <v>1531</v>
      </c>
      <c r="L239" s="7" t="s">
        <v>1183</v>
      </c>
      <c r="M239" s="12"/>
      <c r="N239" s="12"/>
    </row>
    <row r="240" customFormat="false" ht="35.05" hidden="false" customHeight="false" outlineLevel="0" collapsed="false">
      <c r="A240" s="7" t="s">
        <v>7411</v>
      </c>
      <c r="B240" s="7" t="s">
        <v>1530</v>
      </c>
      <c r="C240" s="7" t="s">
        <v>142</v>
      </c>
      <c r="D240" s="7" t="s">
        <v>7854</v>
      </c>
      <c r="E240" s="7" t="s">
        <v>7842</v>
      </c>
      <c r="F240" s="7" t="s">
        <v>7919</v>
      </c>
      <c r="G240" s="7" t="s">
        <v>943</v>
      </c>
      <c r="H240" s="8" t="s">
        <v>7856</v>
      </c>
      <c r="I240" s="7" t="s">
        <v>973</v>
      </c>
      <c r="J240" s="7" t="s">
        <v>7920</v>
      </c>
      <c r="K240" s="7" t="s">
        <v>1531</v>
      </c>
      <c r="L240" s="7" t="s">
        <v>1183</v>
      </c>
      <c r="M240" s="12"/>
      <c r="N240" s="12"/>
    </row>
    <row r="241" customFormat="false" ht="35.05" hidden="false" customHeight="false" outlineLevel="0" collapsed="false">
      <c r="A241" s="7" t="s">
        <v>7411</v>
      </c>
      <c r="B241" s="7" t="s">
        <v>1530</v>
      </c>
      <c r="C241" s="7" t="s">
        <v>142</v>
      </c>
      <c r="D241" s="7" t="s">
        <v>7858</v>
      </c>
      <c r="E241" s="7" t="s">
        <v>7842</v>
      </c>
      <c r="F241" s="7" t="s">
        <v>7921</v>
      </c>
      <c r="G241" s="7" t="s">
        <v>943</v>
      </c>
      <c r="H241" s="8" t="s">
        <v>7860</v>
      </c>
      <c r="I241" s="7" t="s">
        <v>973</v>
      </c>
      <c r="J241" s="7" t="s">
        <v>7922</v>
      </c>
      <c r="K241" s="7" t="s">
        <v>1531</v>
      </c>
      <c r="L241" s="7" t="s">
        <v>1183</v>
      </c>
      <c r="M241" s="12"/>
      <c r="N241" s="12"/>
    </row>
    <row r="242" customFormat="false" ht="35.05" hidden="false" customHeight="false" outlineLevel="0" collapsed="false">
      <c r="A242" s="7" t="s">
        <v>7411</v>
      </c>
      <c r="B242" s="7" t="s">
        <v>1530</v>
      </c>
      <c r="C242" s="7" t="s">
        <v>142</v>
      </c>
      <c r="D242" s="7" t="s">
        <v>7862</v>
      </c>
      <c r="E242" s="7" t="s">
        <v>7842</v>
      </c>
      <c r="F242" s="7" t="s">
        <v>7923</v>
      </c>
      <c r="G242" s="7" t="s">
        <v>943</v>
      </c>
      <c r="H242" s="8" t="s">
        <v>7864</v>
      </c>
      <c r="I242" s="7" t="s">
        <v>973</v>
      </c>
      <c r="J242" s="7" t="s">
        <v>7924</v>
      </c>
      <c r="K242" s="7" t="s">
        <v>1531</v>
      </c>
      <c r="L242" s="7" t="s">
        <v>1151</v>
      </c>
      <c r="M242" s="12"/>
      <c r="N242" s="12"/>
    </row>
    <row r="243" customFormat="false" ht="35.05" hidden="false" customHeight="false" outlineLevel="0" collapsed="false">
      <c r="A243" s="7" t="s">
        <v>7411</v>
      </c>
      <c r="B243" s="7" t="s">
        <v>1530</v>
      </c>
      <c r="C243" s="7" t="s">
        <v>142</v>
      </c>
      <c r="D243" s="7" t="s">
        <v>7866</v>
      </c>
      <c r="E243" s="7" t="s">
        <v>7842</v>
      </c>
      <c r="F243" s="7" t="s">
        <v>7925</v>
      </c>
      <c r="G243" s="7" t="s">
        <v>943</v>
      </c>
      <c r="H243" s="8" t="s">
        <v>7868</v>
      </c>
      <c r="I243" s="7" t="s">
        <v>973</v>
      </c>
      <c r="J243" s="7" t="s">
        <v>7926</v>
      </c>
      <c r="K243" s="7" t="s">
        <v>1531</v>
      </c>
      <c r="L243" s="7" t="s">
        <v>1183</v>
      </c>
      <c r="M243" s="12"/>
      <c r="N243" s="12"/>
    </row>
    <row r="244" customFormat="false" ht="35.05" hidden="false" customHeight="false" outlineLevel="0" collapsed="false">
      <c r="A244" s="7" t="s">
        <v>7411</v>
      </c>
      <c r="B244" s="7" t="s">
        <v>1530</v>
      </c>
      <c r="C244" s="7" t="s">
        <v>142</v>
      </c>
      <c r="D244" s="7" t="s">
        <v>7870</v>
      </c>
      <c r="E244" s="7" t="s">
        <v>7842</v>
      </c>
      <c r="F244" s="7" t="s">
        <v>7927</v>
      </c>
      <c r="G244" s="7" t="s">
        <v>943</v>
      </c>
      <c r="H244" s="8" t="s">
        <v>7872</v>
      </c>
      <c r="I244" s="7" t="s">
        <v>973</v>
      </c>
      <c r="J244" s="7" t="s">
        <v>7928</v>
      </c>
      <c r="K244" s="7" t="s">
        <v>1531</v>
      </c>
      <c r="L244" s="7" t="s">
        <v>1183</v>
      </c>
      <c r="M244" s="12"/>
      <c r="N244" s="12"/>
    </row>
    <row r="245" customFormat="false" ht="35.05" hidden="false" customHeight="false" outlineLevel="0" collapsed="false">
      <c r="A245" s="7" t="s">
        <v>7411</v>
      </c>
      <c r="B245" s="7" t="s">
        <v>1530</v>
      </c>
      <c r="C245" s="7" t="s">
        <v>142</v>
      </c>
      <c r="D245" s="7" t="s">
        <v>7874</v>
      </c>
      <c r="E245" s="7" t="s">
        <v>7842</v>
      </c>
      <c r="F245" s="7" t="s">
        <v>7929</v>
      </c>
      <c r="G245" s="7" t="s">
        <v>943</v>
      </c>
      <c r="H245" s="8" t="s">
        <v>7876</v>
      </c>
      <c r="I245" s="7" t="s">
        <v>973</v>
      </c>
      <c r="J245" s="7" t="s">
        <v>7930</v>
      </c>
      <c r="K245" s="7" t="s">
        <v>1531</v>
      </c>
      <c r="L245" s="7" t="s">
        <v>1480</v>
      </c>
      <c r="M245" s="12"/>
      <c r="N245" s="12"/>
    </row>
    <row r="246" customFormat="false" ht="35.05" hidden="false" customHeight="false" outlineLevel="0" collapsed="false">
      <c r="A246" s="7" t="s">
        <v>7411</v>
      </c>
      <c r="B246" s="7" t="s">
        <v>1530</v>
      </c>
      <c r="C246" s="7" t="s">
        <v>142</v>
      </c>
      <c r="D246" s="7" t="s">
        <v>7878</v>
      </c>
      <c r="E246" s="7" t="s">
        <v>7842</v>
      </c>
      <c r="F246" s="7" t="s">
        <v>7931</v>
      </c>
      <c r="G246" s="7" t="s">
        <v>943</v>
      </c>
      <c r="H246" s="8" t="s">
        <v>7880</v>
      </c>
      <c r="I246" s="7" t="s">
        <v>973</v>
      </c>
      <c r="J246" s="7" t="s">
        <v>7932</v>
      </c>
      <c r="K246" s="7" t="s">
        <v>1531</v>
      </c>
      <c r="L246" s="7" t="s">
        <v>1480</v>
      </c>
      <c r="M246" s="12"/>
      <c r="N246" s="12"/>
    </row>
    <row r="247" customFormat="false" ht="35.05" hidden="false" customHeight="false" outlineLevel="0" collapsed="false">
      <c r="A247" s="7" t="s">
        <v>7411</v>
      </c>
      <c r="B247" s="7" t="s">
        <v>1530</v>
      </c>
      <c r="C247" s="7" t="s">
        <v>142</v>
      </c>
      <c r="D247" s="7" t="s">
        <v>7882</v>
      </c>
      <c r="E247" s="7" t="s">
        <v>7842</v>
      </c>
      <c r="F247" s="7" t="s">
        <v>7933</v>
      </c>
      <c r="G247" s="7" t="s">
        <v>943</v>
      </c>
      <c r="H247" s="8" t="s">
        <v>7884</v>
      </c>
      <c r="I247" s="7" t="s">
        <v>973</v>
      </c>
      <c r="J247" s="7" t="s">
        <v>7934</v>
      </c>
      <c r="K247" s="7" t="s">
        <v>1531</v>
      </c>
      <c r="L247" s="7" t="s">
        <v>1183</v>
      </c>
      <c r="M247" s="12"/>
      <c r="N247" s="12"/>
    </row>
    <row r="248" customFormat="false" ht="35.05" hidden="false" customHeight="false" outlineLevel="0" collapsed="false">
      <c r="A248" s="7" t="s">
        <v>7411</v>
      </c>
      <c r="B248" s="7" t="s">
        <v>1530</v>
      </c>
      <c r="C248" s="7" t="s">
        <v>142</v>
      </c>
      <c r="D248" s="7" t="s">
        <v>7886</v>
      </c>
      <c r="E248" s="7" t="s">
        <v>7842</v>
      </c>
      <c r="F248" s="7" t="s">
        <v>7935</v>
      </c>
      <c r="G248" s="7" t="s">
        <v>943</v>
      </c>
      <c r="H248" s="8" t="s">
        <v>7888</v>
      </c>
      <c r="I248" s="7" t="s">
        <v>973</v>
      </c>
      <c r="J248" s="7" t="s">
        <v>7936</v>
      </c>
      <c r="K248" s="7" t="s">
        <v>1531</v>
      </c>
      <c r="L248" s="7" t="s">
        <v>1183</v>
      </c>
      <c r="M248" s="12"/>
      <c r="N248" s="12"/>
    </row>
    <row r="249" customFormat="false" ht="35.05" hidden="false" customHeight="false" outlineLevel="0" collapsed="false">
      <c r="A249" s="7" t="s">
        <v>7411</v>
      </c>
      <c r="B249" s="7" t="s">
        <v>2719</v>
      </c>
      <c r="C249" s="7" t="s">
        <v>309</v>
      </c>
      <c r="D249" s="7" t="s">
        <v>7841</v>
      </c>
      <c r="E249" s="7" t="s">
        <v>7842</v>
      </c>
      <c r="F249" s="7" t="s">
        <v>7937</v>
      </c>
      <c r="G249" s="7" t="s">
        <v>943</v>
      </c>
      <c r="H249" s="8" t="s">
        <v>7844</v>
      </c>
      <c r="I249" s="7" t="s">
        <v>973</v>
      </c>
      <c r="J249" s="7" t="s">
        <v>7938</v>
      </c>
      <c r="K249" s="7" t="s">
        <v>2720</v>
      </c>
      <c r="L249" s="7" t="s">
        <v>1151</v>
      </c>
      <c r="M249" s="12"/>
      <c r="N249" s="12"/>
    </row>
    <row r="250" customFormat="false" ht="35.05" hidden="false" customHeight="false" outlineLevel="0" collapsed="false">
      <c r="A250" s="7" t="s">
        <v>7411</v>
      </c>
      <c r="B250" s="7" t="s">
        <v>2719</v>
      </c>
      <c r="C250" s="7" t="s">
        <v>309</v>
      </c>
      <c r="D250" s="7" t="s">
        <v>7846</v>
      </c>
      <c r="E250" s="7" t="s">
        <v>7842</v>
      </c>
      <c r="F250" s="7" t="s">
        <v>7939</v>
      </c>
      <c r="G250" s="7" t="s">
        <v>943</v>
      </c>
      <c r="H250" s="8" t="s">
        <v>7848</v>
      </c>
      <c r="I250" s="7" t="s">
        <v>973</v>
      </c>
      <c r="J250" s="7" t="s">
        <v>7940</v>
      </c>
      <c r="K250" s="7" t="s">
        <v>2720</v>
      </c>
      <c r="L250" s="7" t="s">
        <v>1183</v>
      </c>
      <c r="M250" s="12"/>
      <c r="N250" s="12"/>
    </row>
    <row r="251" customFormat="false" ht="35.05" hidden="false" customHeight="false" outlineLevel="0" collapsed="false">
      <c r="A251" s="7" t="s">
        <v>7411</v>
      </c>
      <c r="B251" s="7" t="s">
        <v>2719</v>
      </c>
      <c r="C251" s="7" t="s">
        <v>309</v>
      </c>
      <c r="D251" s="7" t="s">
        <v>7850</v>
      </c>
      <c r="E251" s="7" t="s">
        <v>7842</v>
      </c>
      <c r="F251" s="7" t="s">
        <v>7941</v>
      </c>
      <c r="G251" s="7" t="s">
        <v>943</v>
      </c>
      <c r="H251" s="8" t="s">
        <v>7852</v>
      </c>
      <c r="I251" s="7" t="s">
        <v>973</v>
      </c>
      <c r="J251" s="7" t="s">
        <v>7942</v>
      </c>
      <c r="K251" s="7" t="s">
        <v>2720</v>
      </c>
      <c r="L251" s="7" t="s">
        <v>1183</v>
      </c>
      <c r="M251" s="12"/>
      <c r="N251" s="12"/>
    </row>
    <row r="252" customFormat="false" ht="35.05" hidden="false" customHeight="false" outlineLevel="0" collapsed="false">
      <c r="A252" s="7" t="s">
        <v>7411</v>
      </c>
      <c r="B252" s="7" t="s">
        <v>2719</v>
      </c>
      <c r="C252" s="7" t="s">
        <v>309</v>
      </c>
      <c r="D252" s="7" t="s">
        <v>7854</v>
      </c>
      <c r="E252" s="7" t="s">
        <v>7842</v>
      </c>
      <c r="F252" s="7" t="s">
        <v>7943</v>
      </c>
      <c r="G252" s="7" t="s">
        <v>943</v>
      </c>
      <c r="H252" s="8" t="s">
        <v>7856</v>
      </c>
      <c r="I252" s="7" t="s">
        <v>973</v>
      </c>
      <c r="J252" s="7" t="s">
        <v>7944</v>
      </c>
      <c r="K252" s="7" t="s">
        <v>2720</v>
      </c>
      <c r="L252" s="7" t="s">
        <v>1183</v>
      </c>
      <c r="M252" s="12"/>
      <c r="N252" s="12"/>
    </row>
    <row r="253" customFormat="false" ht="35.05" hidden="false" customHeight="false" outlineLevel="0" collapsed="false">
      <c r="A253" s="7" t="s">
        <v>7411</v>
      </c>
      <c r="B253" s="7" t="s">
        <v>2719</v>
      </c>
      <c r="C253" s="7" t="s">
        <v>309</v>
      </c>
      <c r="D253" s="7" t="s">
        <v>7858</v>
      </c>
      <c r="E253" s="7" t="s">
        <v>7842</v>
      </c>
      <c r="F253" s="7" t="s">
        <v>7945</v>
      </c>
      <c r="G253" s="7" t="s">
        <v>943</v>
      </c>
      <c r="H253" s="8" t="s">
        <v>7860</v>
      </c>
      <c r="I253" s="7" t="s">
        <v>973</v>
      </c>
      <c r="J253" s="7" t="s">
        <v>7946</v>
      </c>
      <c r="K253" s="7" t="s">
        <v>2720</v>
      </c>
      <c r="L253" s="7" t="s">
        <v>1183</v>
      </c>
      <c r="M253" s="12"/>
      <c r="N253" s="12"/>
    </row>
    <row r="254" customFormat="false" ht="35.05" hidden="false" customHeight="false" outlineLevel="0" collapsed="false">
      <c r="A254" s="7" t="s">
        <v>7411</v>
      </c>
      <c r="B254" s="7" t="s">
        <v>2719</v>
      </c>
      <c r="C254" s="7" t="s">
        <v>309</v>
      </c>
      <c r="D254" s="7" t="s">
        <v>7862</v>
      </c>
      <c r="E254" s="7" t="s">
        <v>7842</v>
      </c>
      <c r="F254" s="7" t="s">
        <v>7947</v>
      </c>
      <c r="G254" s="7" t="s">
        <v>943</v>
      </c>
      <c r="H254" s="8" t="s">
        <v>7864</v>
      </c>
      <c r="I254" s="7" t="s">
        <v>973</v>
      </c>
      <c r="J254" s="7" t="s">
        <v>7948</v>
      </c>
      <c r="K254" s="7" t="s">
        <v>2720</v>
      </c>
      <c r="L254" s="7" t="s">
        <v>1151</v>
      </c>
      <c r="M254" s="12"/>
      <c r="N254" s="12"/>
    </row>
    <row r="255" customFormat="false" ht="35.05" hidden="false" customHeight="false" outlineLevel="0" collapsed="false">
      <c r="A255" s="7" t="s">
        <v>7411</v>
      </c>
      <c r="B255" s="7" t="s">
        <v>2719</v>
      </c>
      <c r="C255" s="7" t="s">
        <v>309</v>
      </c>
      <c r="D255" s="7" t="s">
        <v>7866</v>
      </c>
      <c r="E255" s="7" t="s">
        <v>7842</v>
      </c>
      <c r="F255" s="7" t="s">
        <v>7949</v>
      </c>
      <c r="G255" s="7" t="s">
        <v>943</v>
      </c>
      <c r="H255" s="8" t="s">
        <v>7868</v>
      </c>
      <c r="I255" s="7" t="s">
        <v>973</v>
      </c>
      <c r="J255" s="7" t="s">
        <v>7950</v>
      </c>
      <c r="K255" s="7" t="s">
        <v>2720</v>
      </c>
      <c r="L255" s="7" t="s">
        <v>1183</v>
      </c>
      <c r="M255" s="12"/>
      <c r="N255" s="12"/>
    </row>
    <row r="256" customFormat="false" ht="35.05" hidden="false" customHeight="false" outlineLevel="0" collapsed="false">
      <c r="A256" s="7" t="s">
        <v>7411</v>
      </c>
      <c r="B256" s="7" t="s">
        <v>2719</v>
      </c>
      <c r="C256" s="7" t="s">
        <v>309</v>
      </c>
      <c r="D256" s="7" t="s">
        <v>7870</v>
      </c>
      <c r="E256" s="7" t="s">
        <v>7842</v>
      </c>
      <c r="F256" s="7" t="s">
        <v>7951</v>
      </c>
      <c r="G256" s="7" t="s">
        <v>943</v>
      </c>
      <c r="H256" s="8" t="s">
        <v>7872</v>
      </c>
      <c r="I256" s="7" t="s">
        <v>973</v>
      </c>
      <c r="J256" s="7" t="s">
        <v>7952</v>
      </c>
      <c r="K256" s="7" t="s">
        <v>2720</v>
      </c>
      <c r="L256" s="7" t="s">
        <v>1183</v>
      </c>
      <c r="M256" s="12"/>
      <c r="N256" s="12"/>
    </row>
    <row r="257" customFormat="false" ht="35.05" hidden="false" customHeight="false" outlineLevel="0" collapsed="false">
      <c r="A257" s="7" t="s">
        <v>7411</v>
      </c>
      <c r="B257" s="7" t="s">
        <v>2719</v>
      </c>
      <c r="C257" s="7" t="s">
        <v>309</v>
      </c>
      <c r="D257" s="7" t="s">
        <v>7874</v>
      </c>
      <c r="E257" s="7" t="s">
        <v>7842</v>
      </c>
      <c r="F257" s="7" t="s">
        <v>7953</v>
      </c>
      <c r="G257" s="7" t="s">
        <v>943</v>
      </c>
      <c r="H257" s="8" t="s">
        <v>7876</v>
      </c>
      <c r="I257" s="7" t="s">
        <v>973</v>
      </c>
      <c r="J257" s="7" t="s">
        <v>7954</v>
      </c>
      <c r="K257" s="7" t="s">
        <v>2720</v>
      </c>
      <c r="L257" s="7" t="s">
        <v>1480</v>
      </c>
      <c r="M257" s="12"/>
      <c r="N257" s="12"/>
    </row>
    <row r="258" customFormat="false" ht="35.05" hidden="false" customHeight="false" outlineLevel="0" collapsed="false">
      <c r="A258" s="7" t="s">
        <v>7411</v>
      </c>
      <c r="B258" s="7" t="s">
        <v>2719</v>
      </c>
      <c r="C258" s="7" t="s">
        <v>309</v>
      </c>
      <c r="D258" s="7" t="s">
        <v>7878</v>
      </c>
      <c r="E258" s="7" t="s">
        <v>7842</v>
      </c>
      <c r="F258" s="7" t="s">
        <v>7955</v>
      </c>
      <c r="G258" s="7" t="s">
        <v>943</v>
      </c>
      <c r="H258" s="8" t="s">
        <v>7880</v>
      </c>
      <c r="I258" s="7" t="s">
        <v>973</v>
      </c>
      <c r="J258" s="7" t="s">
        <v>7956</v>
      </c>
      <c r="K258" s="7" t="s">
        <v>2720</v>
      </c>
      <c r="L258" s="7" t="s">
        <v>1480</v>
      </c>
      <c r="M258" s="12"/>
      <c r="N258" s="12"/>
    </row>
    <row r="259" customFormat="false" ht="35.05" hidden="false" customHeight="false" outlineLevel="0" collapsed="false">
      <c r="A259" s="7" t="s">
        <v>7411</v>
      </c>
      <c r="B259" s="7" t="s">
        <v>2719</v>
      </c>
      <c r="C259" s="7" t="s">
        <v>309</v>
      </c>
      <c r="D259" s="7" t="s">
        <v>7882</v>
      </c>
      <c r="E259" s="7" t="s">
        <v>7842</v>
      </c>
      <c r="F259" s="7" t="s">
        <v>7957</v>
      </c>
      <c r="G259" s="7" t="s">
        <v>943</v>
      </c>
      <c r="H259" s="8" t="s">
        <v>7884</v>
      </c>
      <c r="I259" s="7" t="s">
        <v>973</v>
      </c>
      <c r="J259" s="7" t="s">
        <v>7958</v>
      </c>
      <c r="K259" s="7" t="s">
        <v>2720</v>
      </c>
      <c r="L259" s="7" t="s">
        <v>1183</v>
      </c>
      <c r="M259" s="12"/>
      <c r="N259" s="12"/>
    </row>
    <row r="260" customFormat="false" ht="35.05" hidden="false" customHeight="false" outlineLevel="0" collapsed="false">
      <c r="A260" s="7" t="s">
        <v>7411</v>
      </c>
      <c r="B260" s="7" t="s">
        <v>2719</v>
      </c>
      <c r="C260" s="7" t="s">
        <v>309</v>
      </c>
      <c r="D260" s="7" t="s">
        <v>7886</v>
      </c>
      <c r="E260" s="7" t="s">
        <v>7842</v>
      </c>
      <c r="F260" s="7" t="s">
        <v>7959</v>
      </c>
      <c r="G260" s="7" t="s">
        <v>943</v>
      </c>
      <c r="H260" s="8" t="s">
        <v>7888</v>
      </c>
      <c r="I260" s="7" t="s">
        <v>973</v>
      </c>
      <c r="J260" s="7" t="s">
        <v>7960</v>
      </c>
      <c r="K260" s="7" t="s">
        <v>2720</v>
      </c>
      <c r="L260" s="7" t="s">
        <v>1183</v>
      </c>
      <c r="M260" s="12"/>
      <c r="N260" s="12"/>
    </row>
    <row r="261" customFormat="false" ht="35.05" hidden="false" customHeight="false" outlineLevel="0" collapsed="false">
      <c r="A261" s="7" t="s">
        <v>7411</v>
      </c>
      <c r="B261" s="7" t="s">
        <v>2441</v>
      </c>
      <c r="C261" s="7" t="s">
        <v>265</v>
      </c>
      <c r="D261" s="7" t="s">
        <v>7841</v>
      </c>
      <c r="E261" s="7" t="s">
        <v>7842</v>
      </c>
      <c r="F261" s="7" t="s">
        <v>7961</v>
      </c>
      <c r="G261" s="7" t="s">
        <v>943</v>
      </c>
      <c r="H261" s="8" t="s">
        <v>7844</v>
      </c>
      <c r="I261" s="7" t="s">
        <v>973</v>
      </c>
      <c r="J261" s="7" t="s">
        <v>7962</v>
      </c>
      <c r="K261" s="7" t="s">
        <v>2440</v>
      </c>
      <c r="L261" s="7" t="s">
        <v>1151</v>
      </c>
      <c r="M261" s="12"/>
      <c r="N261" s="12"/>
    </row>
    <row r="262" customFormat="false" ht="35.05" hidden="false" customHeight="false" outlineLevel="0" collapsed="false">
      <c r="A262" s="7" t="s">
        <v>7411</v>
      </c>
      <c r="B262" s="7" t="s">
        <v>2441</v>
      </c>
      <c r="C262" s="7" t="s">
        <v>265</v>
      </c>
      <c r="D262" s="7" t="s">
        <v>7846</v>
      </c>
      <c r="E262" s="7" t="s">
        <v>7842</v>
      </c>
      <c r="F262" s="7" t="s">
        <v>7963</v>
      </c>
      <c r="G262" s="7" t="s">
        <v>943</v>
      </c>
      <c r="H262" s="8" t="s">
        <v>7848</v>
      </c>
      <c r="I262" s="7" t="s">
        <v>973</v>
      </c>
      <c r="J262" s="7" t="s">
        <v>7964</v>
      </c>
      <c r="K262" s="7" t="s">
        <v>2440</v>
      </c>
      <c r="L262" s="7" t="s">
        <v>1183</v>
      </c>
      <c r="M262" s="12"/>
      <c r="N262" s="12"/>
    </row>
    <row r="263" customFormat="false" ht="35.05" hidden="false" customHeight="false" outlineLevel="0" collapsed="false">
      <c r="A263" s="7" t="s">
        <v>7411</v>
      </c>
      <c r="B263" s="7" t="s">
        <v>2441</v>
      </c>
      <c r="C263" s="7" t="s">
        <v>265</v>
      </c>
      <c r="D263" s="7" t="s">
        <v>7850</v>
      </c>
      <c r="E263" s="7" t="s">
        <v>7842</v>
      </c>
      <c r="F263" s="7" t="s">
        <v>7965</v>
      </c>
      <c r="G263" s="7" t="s">
        <v>943</v>
      </c>
      <c r="H263" s="8" t="s">
        <v>7852</v>
      </c>
      <c r="I263" s="7" t="s">
        <v>973</v>
      </c>
      <c r="J263" s="7" t="s">
        <v>7966</v>
      </c>
      <c r="K263" s="7" t="s">
        <v>2440</v>
      </c>
      <c r="L263" s="7" t="s">
        <v>1183</v>
      </c>
      <c r="M263" s="12"/>
      <c r="N263" s="12"/>
    </row>
    <row r="264" customFormat="false" ht="35.05" hidden="false" customHeight="false" outlineLevel="0" collapsed="false">
      <c r="A264" s="7" t="s">
        <v>7411</v>
      </c>
      <c r="B264" s="7" t="s">
        <v>2441</v>
      </c>
      <c r="C264" s="7" t="s">
        <v>265</v>
      </c>
      <c r="D264" s="7" t="s">
        <v>7854</v>
      </c>
      <c r="E264" s="7" t="s">
        <v>7842</v>
      </c>
      <c r="F264" s="7" t="s">
        <v>7967</v>
      </c>
      <c r="G264" s="7" t="s">
        <v>943</v>
      </c>
      <c r="H264" s="8" t="s">
        <v>7856</v>
      </c>
      <c r="I264" s="7" t="s">
        <v>973</v>
      </c>
      <c r="J264" s="7" t="s">
        <v>7968</v>
      </c>
      <c r="K264" s="7" t="s">
        <v>2440</v>
      </c>
      <c r="L264" s="7" t="s">
        <v>1183</v>
      </c>
      <c r="M264" s="12"/>
      <c r="N264" s="12"/>
    </row>
    <row r="265" customFormat="false" ht="35.05" hidden="false" customHeight="false" outlineLevel="0" collapsed="false">
      <c r="A265" s="7" t="s">
        <v>7411</v>
      </c>
      <c r="B265" s="7" t="s">
        <v>2441</v>
      </c>
      <c r="C265" s="7" t="s">
        <v>265</v>
      </c>
      <c r="D265" s="7" t="s">
        <v>7858</v>
      </c>
      <c r="E265" s="7" t="s">
        <v>7842</v>
      </c>
      <c r="F265" s="7" t="s">
        <v>7969</v>
      </c>
      <c r="G265" s="7" t="s">
        <v>943</v>
      </c>
      <c r="H265" s="8" t="s">
        <v>7860</v>
      </c>
      <c r="I265" s="7" t="s">
        <v>973</v>
      </c>
      <c r="J265" s="7" t="s">
        <v>7970</v>
      </c>
      <c r="K265" s="7" t="s">
        <v>2440</v>
      </c>
      <c r="L265" s="7" t="s">
        <v>1183</v>
      </c>
      <c r="M265" s="12"/>
      <c r="N265" s="12"/>
    </row>
    <row r="266" customFormat="false" ht="35.05" hidden="false" customHeight="false" outlineLevel="0" collapsed="false">
      <c r="A266" s="7" t="s">
        <v>7411</v>
      </c>
      <c r="B266" s="7" t="s">
        <v>2441</v>
      </c>
      <c r="C266" s="7" t="s">
        <v>265</v>
      </c>
      <c r="D266" s="7" t="s">
        <v>7862</v>
      </c>
      <c r="E266" s="7" t="s">
        <v>7842</v>
      </c>
      <c r="F266" s="7" t="s">
        <v>7971</v>
      </c>
      <c r="G266" s="7" t="s">
        <v>943</v>
      </c>
      <c r="H266" s="8" t="s">
        <v>7864</v>
      </c>
      <c r="I266" s="7" t="s">
        <v>973</v>
      </c>
      <c r="J266" s="7" t="s">
        <v>7972</v>
      </c>
      <c r="K266" s="7" t="s">
        <v>2440</v>
      </c>
      <c r="L266" s="7" t="s">
        <v>1151</v>
      </c>
      <c r="M266" s="12"/>
      <c r="N266" s="12"/>
    </row>
    <row r="267" customFormat="false" ht="35.05" hidden="false" customHeight="false" outlineLevel="0" collapsed="false">
      <c r="A267" s="7" t="s">
        <v>7411</v>
      </c>
      <c r="B267" s="7" t="s">
        <v>2441</v>
      </c>
      <c r="C267" s="7" t="s">
        <v>265</v>
      </c>
      <c r="D267" s="7" t="s">
        <v>7866</v>
      </c>
      <c r="E267" s="7" t="s">
        <v>7842</v>
      </c>
      <c r="F267" s="7" t="s">
        <v>7973</v>
      </c>
      <c r="G267" s="7" t="s">
        <v>943</v>
      </c>
      <c r="H267" s="8" t="s">
        <v>7868</v>
      </c>
      <c r="I267" s="7" t="s">
        <v>973</v>
      </c>
      <c r="J267" s="7" t="s">
        <v>7974</v>
      </c>
      <c r="K267" s="7" t="s">
        <v>2440</v>
      </c>
      <c r="L267" s="7" t="s">
        <v>1183</v>
      </c>
      <c r="M267" s="12"/>
      <c r="N267" s="12"/>
    </row>
    <row r="268" customFormat="false" ht="35.05" hidden="false" customHeight="false" outlineLevel="0" collapsed="false">
      <c r="A268" s="7" t="s">
        <v>7411</v>
      </c>
      <c r="B268" s="7" t="s">
        <v>2441</v>
      </c>
      <c r="C268" s="7" t="s">
        <v>265</v>
      </c>
      <c r="D268" s="7" t="s">
        <v>7870</v>
      </c>
      <c r="E268" s="7" t="s">
        <v>7842</v>
      </c>
      <c r="F268" s="7" t="s">
        <v>7975</v>
      </c>
      <c r="G268" s="7" t="s">
        <v>943</v>
      </c>
      <c r="H268" s="8" t="s">
        <v>7872</v>
      </c>
      <c r="I268" s="7" t="s">
        <v>973</v>
      </c>
      <c r="J268" s="7" t="s">
        <v>7976</v>
      </c>
      <c r="K268" s="7" t="s">
        <v>2440</v>
      </c>
      <c r="L268" s="7" t="s">
        <v>1183</v>
      </c>
      <c r="M268" s="12"/>
      <c r="N268" s="12"/>
    </row>
    <row r="269" customFormat="false" ht="35.05" hidden="false" customHeight="false" outlineLevel="0" collapsed="false">
      <c r="A269" s="7" t="s">
        <v>7411</v>
      </c>
      <c r="B269" s="7" t="s">
        <v>2441</v>
      </c>
      <c r="C269" s="7" t="s">
        <v>265</v>
      </c>
      <c r="D269" s="7" t="s">
        <v>7874</v>
      </c>
      <c r="E269" s="7" t="s">
        <v>7842</v>
      </c>
      <c r="F269" s="7" t="s">
        <v>7977</v>
      </c>
      <c r="G269" s="7" t="s">
        <v>943</v>
      </c>
      <c r="H269" s="8" t="s">
        <v>7876</v>
      </c>
      <c r="I269" s="7" t="s">
        <v>973</v>
      </c>
      <c r="J269" s="7" t="s">
        <v>7978</v>
      </c>
      <c r="K269" s="7" t="s">
        <v>2440</v>
      </c>
      <c r="L269" s="7" t="s">
        <v>1480</v>
      </c>
      <c r="M269" s="12"/>
      <c r="N269" s="12"/>
    </row>
    <row r="270" customFormat="false" ht="35.05" hidden="false" customHeight="false" outlineLevel="0" collapsed="false">
      <c r="A270" s="7" t="s">
        <v>7411</v>
      </c>
      <c r="B270" s="7" t="s">
        <v>2441</v>
      </c>
      <c r="C270" s="7" t="s">
        <v>265</v>
      </c>
      <c r="D270" s="7" t="s">
        <v>7878</v>
      </c>
      <c r="E270" s="7" t="s">
        <v>7842</v>
      </c>
      <c r="F270" s="7" t="s">
        <v>7979</v>
      </c>
      <c r="G270" s="7" t="s">
        <v>943</v>
      </c>
      <c r="H270" s="8" t="s">
        <v>7880</v>
      </c>
      <c r="I270" s="7" t="s">
        <v>973</v>
      </c>
      <c r="J270" s="7" t="s">
        <v>7980</v>
      </c>
      <c r="K270" s="7" t="s">
        <v>2440</v>
      </c>
      <c r="L270" s="7" t="s">
        <v>1480</v>
      </c>
      <c r="M270" s="12"/>
      <c r="N270" s="12"/>
    </row>
    <row r="271" customFormat="false" ht="35.05" hidden="false" customHeight="false" outlineLevel="0" collapsed="false">
      <c r="A271" s="7" t="s">
        <v>7411</v>
      </c>
      <c r="B271" s="7" t="s">
        <v>2441</v>
      </c>
      <c r="C271" s="7" t="s">
        <v>265</v>
      </c>
      <c r="D271" s="7" t="s">
        <v>7882</v>
      </c>
      <c r="E271" s="7" t="s">
        <v>7842</v>
      </c>
      <c r="F271" s="7" t="s">
        <v>7981</v>
      </c>
      <c r="G271" s="7" t="s">
        <v>943</v>
      </c>
      <c r="H271" s="8" t="s">
        <v>7884</v>
      </c>
      <c r="I271" s="7" t="s">
        <v>973</v>
      </c>
      <c r="J271" s="7" t="s">
        <v>7982</v>
      </c>
      <c r="K271" s="7" t="s">
        <v>2440</v>
      </c>
      <c r="L271" s="7" t="s">
        <v>1183</v>
      </c>
      <c r="M271" s="12"/>
      <c r="N271" s="12"/>
    </row>
    <row r="272" customFormat="false" ht="35.05" hidden="false" customHeight="false" outlineLevel="0" collapsed="false">
      <c r="A272" s="7" t="s">
        <v>7411</v>
      </c>
      <c r="B272" s="7" t="s">
        <v>2441</v>
      </c>
      <c r="C272" s="7" t="s">
        <v>265</v>
      </c>
      <c r="D272" s="7" t="s">
        <v>7886</v>
      </c>
      <c r="E272" s="7" t="s">
        <v>7842</v>
      </c>
      <c r="F272" s="7" t="s">
        <v>7983</v>
      </c>
      <c r="G272" s="7" t="s">
        <v>943</v>
      </c>
      <c r="H272" s="8" t="s">
        <v>7888</v>
      </c>
      <c r="I272" s="7" t="s">
        <v>973</v>
      </c>
      <c r="J272" s="7" t="s">
        <v>7984</v>
      </c>
      <c r="K272" s="7" t="s">
        <v>2440</v>
      </c>
      <c r="L272" s="7" t="s">
        <v>1183</v>
      </c>
      <c r="M272" s="12"/>
      <c r="N272" s="12"/>
    </row>
  </sheetData>
  <autoFilter ref="A14:N272"/>
  <dataValidations count="1">
    <dataValidation allowBlank="true" errorStyle="stop" operator="between" showDropDown="false" showErrorMessage="false" showInputMessage="false" sqref="M15:M272" type="list">
      <formula1>"Aprovar,Talvez,Descartar"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3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3" min="3" style="0" width="26"/>
    <col collapsed="false" customWidth="true" hidden="false" outlineLevel="0" max="4" min="4" style="0" width="34"/>
    <col collapsed="false" customWidth="true" hidden="false" outlineLevel="0" max="5" min="5" style="0" width="44"/>
    <col collapsed="false" customWidth="true" hidden="false" outlineLevel="0" max="6" min="6" style="0" width="22"/>
    <col collapsed="false" customWidth="true" hidden="false" outlineLevel="0" max="7" min="7" style="0" width="60"/>
    <col collapsed="false" customWidth="true" hidden="false" outlineLevel="0" max="8" min="8" style="0" width="50"/>
    <col collapsed="false" customWidth="true" hidden="false" outlineLevel="0" max="9" min="9" style="0" width="44"/>
    <col collapsed="false" customWidth="true" hidden="false" outlineLevel="0" max="10" min="10" style="0" width="26"/>
    <col collapsed="false" customWidth="true" hidden="false" outlineLevel="0" max="11" min="11" style="0" width="18"/>
    <col collapsed="false" customWidth="true" hidden="false" outlineLevel="0" max="12" min="12" style="0" width="60"/>
    <col collapsed="false" customWidth="true" hidden="false" outlineLevel="0" max="15" min="13" style="0" width="11"/>
    <col collapsed="false" customWidth="true" hidden="false" outlineLevel="0" max="16" min="16" style="0" width="44"/>
    <col collapsed="false" customWidth="true" hidden="false" outlineLevel="0" max="17" min="17" style="0" width="14"/>
    <col collapsed="false" customWidth="true" hidden="false" outlineLevel="0" max="18" min="18" style="0" width="30"/>
  </cols>
  <sheetData>
    <row r="1" customFormat="false" ht="31.5" hidden="false" customHeight="true" outlineLevel="0" collapsed="false">
      <c r="A1" s="16" t="s">
        <v>3979</v>
      </c>
      <c r="B1" s="6" t="s">
        <v>7985</v>
      </c>
      <c r="C1" s="6" t="s">
        <v>7986</v>
      </c>
      <c r="D1" s="6" t="s">
        <v>7987</v>
      </c>
      <c r="E1" s="6" t="s">
        <v>7988</v>
      </c>
      <c r="F1" s="6" t="s">
        <v>32</v>
      </c>
      <c r="G1" s="6" t="s">
        <v>7989</v>
      </c>
      <c r="H1" s="6" t="s">
        <v>1140</v>
      </c>
      <c r="I1" s="6" t="s">
        <v>7990</v>
      </c>
      <c r="J1" s="6" t="s">
        <v>7991</v>
      </c>
      <c r="K1" s="6" t="s">
        <v>7992</v>
      </c>
      <c r="L1" s="6" t="s">
        <v>7993</v>
      </c>
      <c r="M1" s="6" t="s">
        <v>7994</v>
      </c>
      <c r="N1" s="6" t="s">
        <v>1107</v>
      </c>
      <c r="O1" s="6" t="s">
        <v>44</v>
      </c>
      <c r="P1" s="6" t="s">
        <v>7995</v>
      </c>
      <c r="Q1" s="6" t="s">
        <v>1144</v>
      </c>
      <c r="R1" s="6" t="s">
        <v>822</v>
      </c>
    </row>
    <row r="2" customFormat="false" ht="35.05" hidden="false" customHeight="false" outlineLevel="0" collapsed="false">
      <c r="A2" s="14" t="s">
        <v>3990</v>
      </c>
      <c r="B2" s="17" t="s">
        <v>7996</v>
      </c>
      <c r="C2" s="18" t="s">
        <v>476</v>
      </c>
      <c r="D2" s="18" t="s">
        <v>7997</v>
      </c>
      <c r="E2" s="17" t="s">
        <v>7998</v>
      </c>
      <c r="F2" s="18" t="s">
        <v>7999</v>
      </c>
      <c r="G2" s="17" t="s">
        <v>8000</v>
      </c>
      <c r="H2" s="18" t="s">
        <v>3994</v>
      </c>
      <c r="I2" s="17" t="s">
        <v>8001</v>
      </c>
      <c r="J2" s="7"/>
      <c r="K2" s="7" t="s">
        <v>3992</v>
      </c>
      <c r="L2" s="8" t="s">
        <v>8002</v>
      </c>
      <c r="M2" s="7" t="n">
        <f aca="false">COUNTIF('Mapa de Marcas'!$B:$B,$A2)</f>
        <v>5</v>
      </c>
      <c r="N2" s="7" t="n">
        <f aca="false">COUNTIFS('Mapa de Marcas'!$B:$B,$A2,'Mapa de Marcas'!$R:$R,"Lacuna")</f>
        <v>1</v>
      </c>
      <c r="O2" s="7" t="s">
        <v>1183</v>
      </c>
      <c r="P2" s="8" t="s">
        <v>3984</v>
      </c>
      <c r="Q2" s="12"/>
      <c r="R2" s="12"/>
    </row>
    <row r="3" customFormat="false" ht="35.05" hidden="false" customHeight="false" outlineLevel="0" collapsed="false">
      <c r="A3" s="14" t="s">
        <v>4016</v>
      </c>
      <c r="B3" s="17" t="s">
        <v>7996</v>
      </c>
      <c r="C3" s="18" t="s">
        <v>476</v>
      </c>
      <c r="D3" s="18" t="s">
        <v>8003</v>
      </c>
      <c r="E3" s="17" t="s">
        <v>8004</v>
      </c>
      <c r="F3" s="18" t="s">
        <v>7999</v>
      </c>
      <c r="G3" s="17" t="s">
        <v>8000</v>
      </c>
      <c r="H3" s="18" t="s">
        <v>4019</v>
      </c>
      <c r="I3" s="17" t="s">
        <v>8005</v>
      </c>
      <c r="J3" s="7"/>
      <c r="K3" s="7" t="s">
        <v>3992</v>
      </c>
      <c r="L3" s="8" t="s">
        <v>8006</v>
      </c>
      <c r="M3" s="7" t="n">
        <f aca="false">COUNTIF('Mapa de Marcas'!$B:$B,$A3)</f>
        <v>5</v>
      </c>
      <c r="N3" s="7" t="n">
        <f aca="false">COUNTIFS('Mapa de Marcas'!$B:$B,$A3,'Mapa de Marcas'!$R:$R,"Lacuna")</f>
        <v>1</v>
      </c>
      <c r="O3" s="7" t="s">
        <v>1183</v>
      </c>
      <c r="P3" s="8" t="s">
        <v>3984</v>
      </c>
      <c r="Q3" s="12"/>
      <c r="R3" s="12"/>
    </row>
    <row r="4" customFormat="false" ht="35.05" hidden="false" customHeight="false" outlineLevel="0" collapsed="false">
      <c r="A4" s="14" t="s">
        <v>4037</v>
      </c>
      <c r="B4" s="17" t="s">
        <v>7996</v>
      </c>
      <c r="C4" s="18" t="s">
        <v>476</v>
      </c>
      <c r="D4" s="18" t="s">
        <v>8007</v>
      </c>
      <c r="E4" s="17" t="s">
        <v>8008</v>
      </c>
      <c r="F4" s="18" t="s">
        <v>7999</v>
      </c>
      <c r="G4" s="17" t="s">
        <v>8000</v>
      </c>
      <c r="H4" s="18" t="s">
        <v>4040</v>
      </c>
      <c r="I4" s="17" t="s">
        <v>8009</v>
      </c>
      <c r="J4" s="7"/>
      <c r="K4" s="7" t="s">
        <v>3992</v>
      </c>
      <c r="L4" s="8" t="s">
        <v>8010</v>
      </c>
      <c r="M4" s="7" t="n">
        <f aca="false">COUNTIF('Mapa de Marcas'!$B:$B,$A4)</f>
        <v>5</v>
      </c>
      <c r="N4" s="7" t="n">
        <f aca="false">COUNTIFS('Mapa de Marcas'!$B:$B,$A4,'Mapa de Marcas'!$R:$R,"Lacuna")</f>
        <v>1</v>
      </c>
      <c r="O4" s="7" t="s">
        <v>1480</v>
      </c>
      <c r="P4" s="8" t="s">
        <v>3984</v>
      </c>
      <c r="Q4" s="12"/>
      <c r="R4" s="12"/>
    </row>
    <row r="5" customFormat="false" ht="35.05" hidden="false" customHeight="false" outlineLevel="0" collapsed="false">
      <c r="A5" s="14" t="s">
        <v>4060</v>
      </c>
      <c r="B5" s="17" t="s">
        <v>8011</v>
      </c>
      <c r="C5" s="18" t="s">
        <v>486</v>
      </c>
      <c r="D5" s="18" t="s">
        <v>8012</v>
      </c>
      <c r="E5" s="17" t="s">
        <v>8013</v>
      </c>
      <c r="F5" s="18" t="s">
        <v>7999</v>
      </c>
      <c r="G5" s="17" t="s">
        <v>8000</v>
      </c>
      <c r="H5" s="18" t="s">
        <v>4063</v>
      </c>
      <c r="I5" s="17" t="s">
        <v>8014</v>
      </c>
      <c r="J5" s="7"/>
      <c r="K5" s="7" t="s">
        <v>3992</v>
      </c>
      <c r="L5" s="8" t="s">
        <v>8015</v>
      </c>
      <c r="M5" s="7" t="n">
        <f aca="false">COUNTIF('Mapa de Marcas'!$B:$B,$A5)</f>
        <v>4</v>
      </c>
      <c r="N5" s="7" t="n">
        <f aca="false">COUNTIFS('Mapa de Marcas'!$B:$B,$A5,'Mapa de Marcas'!$R:$R,"Lacuna")</f>
        <v>1</v>
      </c>
      <c r="O5" s="7" t="s">
        <v>1183</v>
      </c>
      <c r="P5" s="8" t="s">
        <v>3984</v>
      </c>
      <c r="Q5" s="12"/>
      <c r="R5" s="12"/>
    </row>
    <row r="6" customFormat="false" ht="35.05" hidden="false" customHeight="false" outlineLevel="0" collapsed="false">
      <c r="A6" s="14" t="s">
        <v>4080</v>
      </c>
      <c r="B6" s="17" t="s">
        <v>8011</v>
      </c>
      <c r="C6" s="18" t="s">
        <v>486</v>
      </c>
      <c r="D6" s="18" t="s">
        <v>8016</v>
      </c>
      <c r="E6" s="17" t="s">
        <v>8017</v>
      </c>
      <c r="F6" s="18" t="s">
        <v>7999</v>
      </c>
      <c r="G6" s="17" t="s">
        <v>8000</v>
      </c>
      <c r="H6" s="18" t="s">
        <v>4083</v>
      </c>
      <c r="I6" s="17" t="s">
        <v>8018</v>
      </c>
      <c r="J6" s="7"/>
      <c r="K6" s="7" t="s">
        <v>3992</v>
      </c>
      <c r="L6" s="8" t="s">
        <v>8019</v>
      </c>
      <c r="M6" s="7" t="n">
        <f aca="false">COUNTIF('Mapa de Marcas'!$B:$B,$A6)</f>
        <v>4</v>
      </c>
      <c r="N6" s="7" t="n">
        <f aca="false">COUNTIFS('Mapa de Marcas'!$B:$B,$A6,'Mapa de Marcas'!$R:$R,"Lacuna")</f>
        <v>1</v>
      </c>
      <c r="O6" s="7" t="s">
        <v>1480</v>
      </c>
      <c r="P6" s="8" t="s">
        <v>3984</v>
      </c>
      <c r="Q6" s="12"/>
      <c r="R6" s="12"/>
    </row>
    <row r="7" customFormat="false" ht="35.05" hidden="false" customHeight="false" outlineLevel="0" collapsed="false">
      <c r="A7" s="14" t="s">
        <v>4097</v>
      </c>
      <c r="B7" s="17" t="s">
        <v>8011</v>
      </c>
      <c r="C7" s="18" t="s">
        <v>486</v>
      </c>
      <c r="D7" s="18" t="s">
        <v>8020</v>
      </c>
      <c r="E7" s="17" t="s">
        <v>8021</v>
      </c>
      <c r="F7" s="18" t="s">
        <v>7999</v>
      </c>
      <c r="G7" s="17" t="s">
        <v>8000</v>
      </c>
      <c r="H7" s="18" t="s">
        <v>4100</v>
      </c>
      <c r="I7" s="17" t="s">
        <v>8022</v>
      </c>
      <c r="J7" s="7"/>
      <c r="K7" s="7" t="s">
        <v>3992</v>
      </c>
      <c r="L7" s="8" t="s">
        <v>8023</v>
      </c>
      <c r="M7" s="7" t="n">
        <f aca="false">COUNTIF('Mapa de Marcas'!$B:$B,$A7)</f>
        <v>4</v>
      </c>
      <c r="N7" s="7" t="n">
        <f aca="false">COUNTIFS('Mapa de Marcas'!$B:$B,$A7,'Mapa de Marcas'!$R:$R,"Lacuna")</f>
        <v>1</v>
      </c>
      <c r="O7" s="7" t="s">
        <v>1480</v>
      </c>
      <c r="P7" s="8" t="s">
        <v>3984</v>
      </c>
      <c r="Q7" s="12"/>
      <c r="R7" s="12"/>
    </row>
    <row r="8" customFormat="false" ht="35.05" hidden="false" customHeight="false" outlineLevel="0" collapsed="false">
      <c r="A8" s="14" t="s">
        <v>4114</v>
      </c>
      <c r="B8" s="17" t="s">
        <v>8011</v>
      </c>
      <c r="C8" s="18" t="s">
        <v>486</v>
      </c>
      <c r="D8" s="18" t="s">
        <v>8024</v>
      </c>
      <c r="E8" s="17" t="s">
        <v>8025</v>
      </c>
      <c r="F8" s="18" t="s">
        <v>7999</v>
      </c>
      <c r="G8" s="17" t="s">
        <v>8000</v>
      </c>
      <c r="H8" s="18" t="s">
        <v>4117</v>
      </c>
      <c r="I8" s="17" t="s">
        <v>8026</v>
      </c>
      <c r="J8" s="7"/>
      <c r="K8" s="7" t="s">
        <v>3992</v>
      </c>
      <c r="L8" s="8" t="s">
        <v>8027</v>
      </c>
      <c r="M8" s="7" t="n">
        <f aca="false">COUNTIF('Mapa de Marcas'!$B:$B,$A8)</f>
        <v>4</v>
      </c>
      <c r="N8" s="7" t="n">
        <f aca="false">COUNTIFS('Mapa de Marcas'!$B:$B,$A8,'Mapa de Marcas'!$R:$R,"Lacuna")</f>
        <v>1</v>
      </c>
      <c r="O8" s="7" t="s">
        <v>1480</v>
      </c>
      <c r="P8" s="8" t="s">
        <v>3984</v>
      </c>
      <c r="Q8" s="12"/>
      <c r="R8" s="12"/>
    </row>
    <row r="9" customFormat="false" ht="35.05" hidden="false" customHeight="false" outlineLevel="0" collapsed="false">
      <c r="A9" s="14" t="s">
        <v>4133</v>
      </c>
      <c r="B9" s="17" t="s">
        <v>8028</v>
      </c>
      <c r="C9" s="18" t="s">
        <v>491</v>
      </c>
      <c r="D9" s="18" t="s">
        <v>8029</v>
      </c>
      <c r="E9" s="17" t="s">
        <v>8030</v>
      </c>
      <c r="F9" s="18" t="s">
        <v>7999</v>
      </c>
      <c r="G9" s="17" t="s">
        <v>8000</v>
      </c>
      <c r="H9" s="18" t="s">
        <v>4136</v>
      </c>
      <c r="I9" s="17" t="s">
        <v>8031</v>
      </c>
      <c r="J9" s="7"/>
      <c r="K9" s="7" t="s">
        <v>3992</v>
      </c>
      <c r="L9" s="8" t="s">
        <v>8032</v>
      </c>
      <c r="M9" s="7" t="n">
        <f aca="false">COUNTIF('Mapa de Marcas'!$B:$B,$A9)</f>
        <v>5</v>
      </c>
      <c r="N9" s="7" t="n">
        <f aca="false">COUNTIFS('Mapa de Marcas'!$B:$B,$A9,'Mapa de Marcas'!$R:$R,"Lacuna")</f>
        <v>1</v>
      </c>
      <c r="O9" s="7" t="s">
        <v>1183</v>
      </c>
      <c r="P9" s="8" t="s">
        <v>3984</v>
      </c>
      <c r="Q9" s="12"/>
      <c r="R9" s="12"/>
    </row>
    <row r="10" customFormat="false" ht="35.05" hidden="false" customHeight="false" outlineLevel="0" collapsed="false">
      <c r="A10" s="14" t="s">
        <v>4158</v>
      </c>
      <c r="B10" s="17" t="s">
        <v>8028</v>
      </c>
      <c r="C10" s="18" t="s">
        <v>491</v>
      </c>
      <c r="D10" s="18" t="s">
        <v>8033</v>
      </c>
      <c r="E10" s="17" t="s">
        <v>8034</v>
      </c>
      <c r="F10" s="18" t="s">
        <v>7999</v>
      </c>
      <c r="G10" s="17" t="s">
        <v>8000</v>
      </c>
      <c r="H10" s="18" t="s">
        <v>4161</v>
      </c>
      <c r="I10" s="17" t="s">
        <v>8035</v>
      </c>
      <c r="J10" s="7"/>
      <c r="K10" s="7" t="s">
        <v>3992</v>
      </c>
      <c r="L10" s="8" t="s">
        <v>8036</v>
      </c>
      <c r="M10" s="7" t="n">
        <f aca="false">COUNTIF('Mapa de Marcas'!$B:$B,$A10)</f>
        <v>5</v>
      </c>
      <c r="N10" s="7" t="n">
        <f aca="false">COUNTIFS('Mapa de Marcas'!$B:$B,$A10,'Mapa de Marcas'!$R:$R,"Lacuna")</f>
        <v>1</v>
      </c>
      <c r="O10" s="7" t="s">
        <v>1183</v>
      </c>
      <c r="P10" s="8" t="s">
        <v>3984</v>
      </c>
      <c r="Q10" s="12"/>
      <c r="R10" s="12"/>
    </row>
    <row r="11" customFormat="false" ht="35.05" hidden="false" customHeight="false" outlineLevel="0" collapsed="false">
      <c r="A11" s="14" t="s">
        <v>4178</v>
      </c>
      <c r="B11" s="17" t="s">
        <v>8028</v>
      </c>
      <c r="C11" s="18" t="s">
        <v>491</v>
      </c>
      <c r="D11" s="18" t="s">
        <v>8037</v>
      </c>
      <c r="E11" s="17" t="s">
        <v>8038</v>
      </c>
      <c r="F11" s="18" t="s">
        <v>7999</v>
      </c>
      <c r="G11" s="17" t="s">
        <v>8000</v>
      </c>
      <c r="H11" s="18" t="s">
        <v>4181</v>
      </c>
      <c r="I11" s="17" t="s">
        <v>8039</v>
      </c>
      <c r="J11" s="7"/>
      <c r="K11" s="7" t="s">
        <v>3992</v>
      </c>
      <c r="L11" s="8" t="s">
        <v>8040</v>
      </c>
      <c r="M11" s="7" t="n">
        <f aca="false">COUNTIF('Mapa de Marcas'!$B:$B,$A11)</f>
        <v>5</v>
      </c>
      <c r="N11" s="7" t="n">
        <f aca="false">COUNTIFS('Mapa de Marcas'!$B:$B,$A11,'Mapa de Marcas'!$R:$R,"Lacuna")</f>
        <v>1</v>
      </c>
      <c r="O11" s="7" t="s">
        <v>1480</v>
      </c>
      <c r="P11" s="8" t="s">
        <v>3984</v>
      </c>
      <c r="Q11" s="12"/>
      <c r="R11" s="12"/>
    </row>
    <row r="12" customFormat="false" ht="35.05" hidden="false" customHeight="false" outlineLevel="0" collapsed="false">
      <c r="A12" s="14" t="s">
        <v>4200</v>
      </c>
      <c r="B12" s="17" t="s">
        <v>8041</v>
      </c>
      <c r="C12" s="18" t="s">
        <v>496</v>
      </c>
      <c r="D12" s="18" t="s">
        <v>8042</v>
      </c>
      <c r="E12" s="17" t="s">
        <v>8043</v>
      </c>
      <c r="F12" s="18" t="s">
        <v>7999</v>
      </c>
      <c r="G12" s="17" t="s">
        <v>8000</v>
      </c>
      <c r="H12" s="18" t="s">
        <v>4203</v>
      </c>
      <c r="I12" s="17" t="s">
        <v>8044</v>
      </c>
      <c r="J12" s="7"/>
      <c r="K12" s="7" t="s">
        <v>3992</v>
      </c>
      <c r="L12" s="8" t="s">
        <v>8045</v>
      </c>
      <c r="M12" s="7" t="n">
        <f aca="false">COUNTIF('Mapa de Marcas'!$B:$B,$A12)</f>
        <v>5</v>
      </c>
      <c r="N12" s="7" t="n">
        <f aca="false">COUNTIFS('Mapa de Marcas'!$B:$B,$A12,'Mapa de Marcas'!$R:$R,"Lacuna")</f>
        <v>1</v>
      </c>
      <c r="O12" s="7" t="s">
        <v>1183</v>
      </c>
      <c r="P12" s="8" t="s">
        <v>3984</v>
      </c>
      <c r="Q12" s="12"/>
      <c r="R12" s="12"/>
    </row>
    <row r="13" customFormat="false" ht="35.05" hidden="false" customHeight="false" outlineLevel="0" collapsed="false">
      <c r="A13" s="14" t="s">
        <v>4225</v>
      </c>
      <c r="B13" s="17" t="s">
        <v>8041</v>
      </c>
      <c r="C13" s="18" t="s">
        <v>496</v>
      </c>
      <c r="D13" s="18" t="s">
        <v>8046</v>
      </c>
      <c r="E13" s="17" t="s">
        <v>8047</v>
      </c>
      <c r="F13" s="18" t="s">
        <v>7999</v>
      </c>
      <c r="G13" s="17" t="s">
        <v>8000</v>
      </c>
      <c r="H13" s="18" t="s">
        <v>4228</v>
      </c>
      <c r="I13" s="17" t="s">
        <v>8048</v>
      </c>
      <c r="J13" s="7"/>
      <c r="K13" s="7" t="s">
        <v>3992</v>
      </c>
      <c r="L13" s="8" t="s">
        <v>8049</v>
      </c>
      <c r="M13" s="7" t="n">
        <f aca="false">COUNTIF('Mapa de Marcas'!$B:$B,$A13)</f>
        <v>5</v>
      </c>
      <c r="N13" s="7" t="n">
        <f aca="false">COUNTIFS('Mapa de Marcas'!$B:$B,$A13,'Mapa de Marcas'!$R:$R,"Lacuna")</f>
        <v>1</v>
      </c>
      <c r="O13" s="7" t="s">
        <v>1183</v>
      </c>
      <c r="P13" s="8" t="s">
        <v>3984</v>
      </c>
      <c r="Q13" s="12"/>
      <c r="R13" s="12"/>
    </row>
    <row r="14" customFormat="false" ht="35.05" hidden="false" customHeight="false" outlineLevel="0" collapsed="false">
      <c r="A14" s="14" t="s">
        <v>4246</v>
      </c>
      <c r="B14" s="17" t="s">
        <v>8041</v>
      </c>
      <c r="C14" s="18" t="s">
        <v>496</v>
      </c>
      <c r="D14" s="18" t="s">
        <v>8050</v>
      </c>
      <c r="E14" s="17" t="s">
        <v>8051</v>
      </c>
      <c r="F14" s="18" t="s">
        <v>7999</v>
      </c>
      <c r="G14" s="17" t="s">
        <v>8000</v>
      </c>
      <c r="H14" s="18" t="s">
        <v>4249</v>
      </c>
      <c r="I14" s="17" t="s">
        <v>8052</v>
      </c>
      <c r="J14" s="7"/>
      <c r="K14" s="7" t="s">
        <v>3992</v>
      </c>
      <c r="L14" s="8" t="s">
        <v>8053</v>
      </c>
      <c r="M14" s="7" t="n">
        <f aca="false">COUNTIF('Mapa de Marcas'!$B:$B,$A14)</f>
        <v>5</v>
      </c>
      <c r="N14" s="7" t="n">
        <f aca="false">COUNTIFS('Mapa de Marcas'!$B:$B,$A14,'Mapa de Marcas'!$R:$R,"Lacuna")</f>
        <v>1</v>
      </c>
      <c r="O14" s="7" t="s">
        <v>1183</v>
      </c>
      <c r="P14" s="8" t="s">
        <v>3984</v>
      </c>
      <c r="Q14" s="12"/>
      <c r="R14" s="12"/>
    </row>
    <row r="15" customFormat="false" ht="35.05" hidden="false" customHeight="false" outlineLevel="0" collapsed="false">
      <c r="A15" s="14" t="s">
        <v>4267</v>
      </c>
      <c r="B15" s="17" t="s">
        <v>8041</v>
      </c>
      <c r="C15" s="18" t="s">
        <v>496</v>
      </c>
      <c r="D15" s="18" t="s">
        <v>8054</v>
      </c>
      <c r="E15" s="17" t="s">
        <v>8055</v>
      </c>
      <c r="F15" s="18" t="s">
        <v>7999</v>
      </c>
      <c r="G15" s="17" t="s">
        <v>8000</v>
      </c>
      <c r="H15" s="18" t="s">
        <v>4270</v>
      </c>
      <c r="I15" s="17" t="s">
        <v>8056</v>
      </c>
      <c r="J15" s="7"/>
      <c r="K15" s="7" t="s">
        <v>3992</v>
      </c>
      <c r="L15" s="8" t="s">
        <v>8057</v>
      </c>
      <c r="M15" s="7" t="n">
        <f aca="false">COUNTIF('Mapa de Marcas'!$B:$B,$A15)</f>
        <v>5</v>
      </c>
      <c r="N15" s="7" t="n">
        <f aca="false">COUNTIFS('Mapa de Marcas'!$B:$B,$A15,'Mapa de Marcas'!$R:$R,"Lacuna")</f>
        <v>1</v>
      </c>
      <c r="O15" s="7" t="s">
        <v>1480</v>
      </c>
      <c r="P15" s="8" t="s">
        <v>3984</v>
      </c>
      <c r="Q15" s="12"/>
      <c r="R15" s="12"/>
    </row>
    <row r="16" customFormat="false" ht="35.05" hidden="false" customHeight="false" outlineLevel="0" collapsed="false">
      <c r="A16" s="14" t="s">
        <v>4288</v>
      </c>
      <c r="B16" s="17" t="s">
        <v>8041</v>
      </c>
      <c r="C16" s="18" t="s">
        <v>496</v>
      </c>
      <c r="D16" s="18" t="s">
        <v>8058</v>
      </c>
      <c r="E16" s="17" t="s">
        <v>8059</v>
      </c>
      <c r="F16" s="18" t="s">
        <v>7999</v>
      </c>
      <c r="G16" s="17" t="s">
        <v>8000</v>
      </c>
      <c r="H16" s="18" t="s">
        <v>4291</v>
      </c>
      <c r="I16" s="17" t="s">
        <v>8060</v>
      </c>
      <c r="J16" s="7"/>
      <c r="K16" s="7" t="s">
        <v>3992</v>
      </c>
      <c r="L16" s="8" t="s">
        <v>8061</v>
      </c>
      <c r="M16" s="7" t="n">
        <f aca="false">COUNTIF('Mapa de Marcas'!$B:$B,$A16)</f>
        <v>5</v>
      </c>
      <c r="N16" s="7" t="n">
        <f aca="false">COUNTIFS('Mapa de Marcas'!$B:$B,$A16,'Mapa de Marcas'!$R:$R,"Lacuna")</f>
        <v>1</v>
      </c>
      <c r="O16" s="7" t="s">
        <v>1480</v>
      </c>
      <c r="P16" s="8" t="s">
        <v>3984</v>
      </c>
      <c r="Q16" s="12"/>
      <c r="R16" s="12"/>
    </row>
    <row r="17" customFormat="false" ht="35.05" hidden="false" customHeight="false" outlineLevel="0" collapsed="false">
      <c r="A17" s="14" t="s">
        <v>4309</v>
      </c>
      <c r="B17" s="17" t="s">
        <v>8041</v>
      </c>
      <c r="C17" s="18" t="s">
        <v>496</v>
      </c>
      <c r="D17" s="18" t="s">
        <v>8062</v>
      </c>
      <c r="E17" s="17" t="s">
        <v>8063</v>
      </c>
      <c r="F17" s="18" t="s">
        <v>7999</v>
      </c>
      <c r="G17" s="17" t="s">
        <v>8000</v>
      </c>
      <c r="H17" s="18" t="s">
        <v>4312</v>
      </c>
      <c r="I17" s="17" t="s">
        <v>8064</v>
      </c>
      <c r="J17" s="7"/>
      <c r="K17" s="7" t="s">
        <v>3992</v>
      </c>
      <c r="L17" s="8" t="s">
        <v>8065</v>
      </c>
      <c r="M17" s="7" t="n">
        <f aca="false">COUNTIF('Mapa de Marcas'!$B:$B,$A17)</f>
        <v>5</v>
      </c>
      <c r="N17" s="7" t="n">
        <f aca="false">COUNTIFS('Mapa de Marcas'!$B:$B,$A17,'Mapa de Marcas'!$R:$R,"Lacuna")</f>
        <v>1</v>
      </c>
      <c r="O17" s="7" t="s">
        <v>1480</v>
      </c>
      <c r="P17" s="8" t="s">
        <v>3984</v>
      </c>
      <c r="Q17" s="12"/>
      <c r="R17" s="12"/>
    </row>
    <row r="18" customFormat="false" ht="35.05" hidden="false" customHeight="false" outlineLevel="0" collapsed="false">
      <c r="A18" s="14" t="s">
        <v>4332</v>
      </c>
      <c r="B18" s="17" t="s">
        <v>8066</v>
      </c>
      <c r="C18" s="18" t="s">
        <v>501</v>
      </c>
      <c r="D18" s="18" t="s">
        <v>8067</v>
      </c>
      <c r="E18" s="17" t="s">
        <v>8068</v>
      </c>
      <c r="F18" s="18" t="s">
        <v>7999</v>
      </c>
      <c r="G18" s="17" t="s">
        <v>8000</v>
      </c>
      <c r="H18" s="18" t="s">
        <v>4335</v>
      </c>
      <c r="I18" s="17" t="s">
        <v>8069</v>
      </c>
      <c r="J18" s="7"/>
      <c r="K18" s="7" t="s">
        <v>3992</v>
      </c>
      <c r="L18" s="8" t="s">
        <v>8070</v>
      </c>
      <c r="M18" s="7" t="n">
        <f aca="false">COUNTIF('Mapa de Marcas'!$B:$B,$A18)</f>
        <v>4</v>
      </c>
      <c r="N18" s="7" t="n">
        <f aca="false">COUNTIFS('Mapa de Marcas'!$B:$B,$A18,'Mapa de Marcas'!$R:$R,"Lacuna")</f>
        <v>1</v>
      </c>
      <c r="O18" s="7" t="s">
        <v>1183</v>
      </c>
      <c r="P18" s="8" t="s">
        <v>3984</v>
      </c>
      <c r="Q18" s="12"/>
      <c r="R18" s="12"/>
    </row>
    <row r="19" customFormat="false" ht="35.05" hidden="false" customHeight="false" outlineLevel="0" collapsed="false">
      <c r="A19" s="14" t="s">
        <v>4351</v>
      </c>
      <c r="B19" s="17" t="s">
        <v>8066</v>
      </c>
      <c r="C19" s="18" t="s">
        <v>501</v>
      </c>
      <c r="D19" s="18" t="s">
        <v>8071</v>
      </c>
      <c r="E19" s="17" t="s">
        <v>8072</v>
      </c>
      <c r="F19" s="18" t="s">
        <v>7999</v>
      </c>
      <c r="G19" s="17" t="s">
        <v>8000</v>
      </c>
      <c r="H19" s="18" t="s">
        <v>4354</v>
      </c>
      <c r="I19" s="17" t="s">
        <v>8073</v>
      </c>
      <c r="J19" s="7"/>
      <c r="K19" s="7" t="s">
        <v>3992</v>
      </c>
      <c r="L19" s="8" t="s">
        <v>8074</v>
      </c>
      <c r="M19" s="7" t="n">
        <f aca="false">COUNTIF('Mapa de Marcas'!$B:$B,$A19)</f>
        <v>4</v>
      </c>
      <c r="N19" s="7" t="n">
        <f aca="false">COUNTIFS('Mapa de Marcas'!$B:$B,$A19,'Mapa de Marcas'!$R:$R,"Lacuna")</f>
        <v>1</v>
      </c>
      <c r="O19" s="7" t="s">
        <v>1183</v>
      </c>
      <c r="P19" s="8" t="s">
        <v>3984</v>
      </c>
      <c r="Q19" s="12"/>
      <c r="R19" s="12"/>
    </row>
    <row r="20" customFormat="false" ht="35.05" hidden="false" customHeight="false" outlineLevel="0" collapsed="false">
      <c r="A20" s="14" t="s">
        <v>4368</v>
      </c>
      <c r="B20" s="17" t="s">
        <v>8066</v>
      </c>
      <c r="C20" s="18" t="s">
        <v>501</v>
      </c>
      <c r="D20" s="18" t="s">
        <v>8075</v>
      </c>
      <c r="E20" s="17" t="s">
        <v>8076</v>
      </c>
      <c r="F20" s="18" t="s">
        <v>7999</v>
      </c>
      <c r="G20" s="17" t="s">
        <v>8000</v>
      </c>
      <c r="H20" s="18" t="s">
        <v>4371</v>
      </c>
      <c r="I20" s="17" t="s">
        <v>8077</v>
      </c>
      <c r="J20" s="7"/>
      <c r="K20" s="7" t="s">
        <v>3992</v>
      </c>
      <c r="L20" s="8" t="s">
        <v>8078</v>
      </c>
      <c r="M20" s="7" t="n">
        <f aca="false">COUNTIF('Mapa de Marcas'!$B:$B,$A20)</f>
        <v>4</v>
      </c>
      <c r="N20" s="7" t="n">
        <f aca="false">COUNTIFS('Mapa de Marcas'!$B:$B,$A20,'Mapa de Marcas'!$R:$R,"Lacuna")</f>
        <v>1</v>
      </c>
      <c r="O20" s="7" t="s">
        <v>1480</v>
      </c>
      <c r="P20" s="8" t="s">
        <v>3984</v>
      </c>
      <c r="Q20" s="12"/>
      <c r="R20" s="12"/>
    </row>
    <row r="21" customFormat="false" ht="35.05" hidden="false" customHeight="false" outlineLevel="0" collapsed="false">
      <c r="A21" s="14" t="s">
        <v>4385</v>
      </c>
      <c r="B21" s="17" t="s">
        <v>8066</v>
      </c>
      <c r="C21" s="18" t="s">
        <v>501</v>
      </c>
      <c r="D21" s="18" t="s">
        <v>8079</v>
      </c>
      <c r="E21" s="17" t="s">
        <v>8080</v>
      </c>
      <c r="F21" s="18" t="s">
        <v>7999</v>
      </c>
      <c r="G21" s="17" t="s">
        <v>8000</v>
      </c>
      <c r="H21" s="18" t="s">
        <v>4388</v>
      </c>
      <c r="I21" s="17" t="s">
        <v>8081</v>
      </c>
      <c r="J21" s="7"/>
      <c r="K21" s="7" t="s">
        <v>3992</v>
      </c>
      <c r="L21" s="8" t="s">
        <v>8082</v>
      </c>
      <c r="M21" s="7" t="n">
        <f aca="false">COUNTIF('Mapa de Marcas'!$B:$B,$A21)</f>
        <v>4</v>
      </c>
      <c r="N21" s="7" t="n">
        <f aca="false">COUNTIFS('Mapa de Marcas'!$B:$B,$A21,'Mapa de Marcas'!$R:$R,"Lacuna")</f>
        <v>1</v>
      </c>
      <c r="O21" s="7" t="s">
        <v>1480</v>
      </c>
      <c r="P21" s="8" t="s">
        <v>3984</v>
      </c>
      <c r="Q21" s="12"/>
      <c r="R21" s="12"/>
    </row>
    <row r="22" customFormat="false" ht="35.05" hidden="false" customHeight="false" outlineLevel="0" collapsed="false">
      <c r="A22" s="14" t="s">
        <v>4402</v>
      </c>
      <c r="B22" s="17" t="s">
        <v>8066</v>
      </c>
      <c r="C22" s="18" t="s">
        <v>501</v>
      </c>
      <c r="D22" s="18" t="s">
        <v>8083</v>
      </c>
      <c r="E22" s="17" t="s">
        <v>8084</v>
      </c>
      <c r="F22" s="18" t="s">
        <v>7999</v>
      </c>
      <c r="G22" s="17" t="s">
        <v>8000</v>
      </c>
      <c r="H22" s="18" t="s">
        <v>4405</v>
      </c>
      <c r="I22" s="17" t="s">
        <v>8085</v>
      </c>
      <c r="J22" s="7"/>
      <c r="K22" s="7" t="s">
        <v>3992</v>
      </c>
      <c r="L22" s="8" t="s">
        <v>8086</v>
      </c>
      <c r="M22" s="7" t="n">
        <f aca="false">COUNTIF('Mapa de Marcas'!$B:$B,$A22)</f>
        <v>4</v>
      </c>
      <c r="N22" s="7" t="n">
        <f aca="false">COUNTIFS('Mapa de Marcas'!$B:$B,$A22,'Mapa de Marcas'!$R:$R,"Lacuna")</f>
        <v>1</v>
      </c>
      <c r="O22" s="7" t="s">
        <v>1480</v>
      </c>
      <c r="P22" s="8" t="s">
        <v>3984</v>
      </c>
      <c r="Q22" s="12"/>
      <c r="R22" s="12"/>
    </row>
    <row r="23" customFormat="false" ht="35.05" hidden="false" customHeight="false" outlineLevel="0" collapsed="false">
      <c r="A23" s="14" t="s">
        <v>4419</v>
      </c>
      <c r="B23" s="17" t="s">
        <v>8066</v>
      </c>
      <c r="C23" s="18" t="s">
        <v>501</v>
      </c>
      <c r="D23" s="18" t="s">
        <v>8087</v>
      </c>
      <c r="E23" s="17" t="s">
        <v>8088</v>
      </c>
      <c r="F23" s="18" t="s">
        <v>7999</v>
      </c>
      <c r="G23" s="17" t="s">
        <v>8000</v>
      </c>
      <c r="H23" s="18" t="s">
        <v>4422</v>
      </c>
      <c r="I23" s="17" t="s">
        <v>8089</v>
      </c>
      <c r="J23" s="7"/>
      <c r="K23" s="7" t="s">
        <v>3992</v>
      </c>
      <c r="L23" s="8" t="s">
        <v>8090</v>
      </c>
      <c r="M23" s="7" t="n">
        <f aca="false">COUNTIF('Mapa de Marcas'!$B:$B,$A23)</f>
        <v>4</v>
      </c>
      <c r="N23" s="7" t="n">
        <f aca="false">COUNTIFS('Mapa de Marcas'!$B:$B,$A23,'Mapa de Marcas'!$R:$R,"Lacuna")</f>
        <v>1</v>
      </c>
      <c r="O23" s="7" t="s">
        <v>1480</v>
      </c>
      <c r="P23" s="8" t="s">
        <v>3984</v>
      </c>
      <c r="Q23" s="12"/>
      <c r="R23" s="12"/>
    </row>
    <row r="24" customFormat="false" ht="35.05" hidden="false" customHeight="false" outlineLevel="0" collapsed="false">
      <c r="A24" s="14" t="s">
        <v>4436</v>
      </c>
      <c r="B24" s="17" t="s">
        <v>8066</v>
      </c>
      <c r="C24" s="18" t="s">
        <v>501</v>
      </c>
      <c r="D24" s="18" t="s">
        <v>8091</v>
      </c>
      <c r="E24" s="17" t="s">
        <v>8092</v>
      </c>
      <c r="F24" s="18" t="s">
        <v>7999</v>
      </c>
      <c r="G24" s="17" t="s">
        <v>8000</v>
      </c>
      <c r="H24" s="18" t="s">
        <v>4439</v>
      </c>
      <c r="I24" s="17" t="s">
        <v>8093</v>
      </c>
      <c r="J24" s="7"/>
      <c r="K24" s="7" t="s">
        <v>3992</v>
      </c>
      <c r="L24" s="8" t="s">
        <v>8094</v>
      </c>
      <c r="M24" s="7" t="n">
        <f aca="false">COUNTIF('Mapa de Marcas'!$B:$B,$A24)</f>
        <v>4</v>
      </c>
      <c r="N24" s="7" t="n">
        <f aca="false">COUNTIFS('Mapa de Marcas'!$B:$B,$A24,'Mapa de Marcas'!$R:$R,"Lacuna")</f>
        <v>1</v>
      </c>
      <c r="O24" s="7" t="s">
        <v>1183</v>
      </c>
      <c r="P24" s="8" t="s">
        <v>3984</v>
      </c>
      <c r="Q24" s="12"/>
      <c r="R24" s="12"/>
    </row>
    <row r="25" customFormat="false" ht="35.05" hidden="false" customHeight="false" outlineLevel="0" collapsed="false">
      <c r="A25" s="14" t="s">
        <v>4453</v>
      </c>
      <c r="B25" s="17" t="s">
        <v>8066</v>
      </c>
      <c r="C25" s="18" t="s">
        <v>501</v>
      </c>
      <c r="D25" s="18" t="s">
        <v>8095</v>
      </c>
      <c r="E25" s="17" t="s">
        <v>8096</v>
      </c>
      <c r="F25" s="18" t="s">
        <v>7999</v>
      </c>
      <c r="G25" s="17" t="s">
        <v>8000</v>
      </c>
      <c r="H25" s="18" t="s">
        <v>4456</v>
      </c>
      <c r="I25" s="17" t="s">
        <v>8097</v>
      </c>
      <c r="J25" s="7"/>
      <c r="K25" s="7" t="s">
        <v>3992</v>
      </c>
      <c r="L25" s="8" t="s">
        <v>8098</v>
      </c>
      <c r="M25" s="7" t="n">
        <f aca="false">COUNTIF('Mapa de Marcas'!$B:$B,$A25)</f>
        <v>4</v>
      </c>
      <c r="N25" s="7" t="n">
        <f aca="false">COUNTIFS('Mapa de Marcas'!$B:$B,$A25,'Mapa de Marcas'!$R:$R,"Lacuna")</f>
        <v>1</v>
      </c>
      <c r="O25" s="7" t="s">
        <v>1480</v>
      </c>
      <c r="P25" s="8" t="s">
        <v>3984</v>
      </c>
      <c r="Q25" s="12"/>
      <c r="R25" s="12"/>
    </row>
    <row r="26" customFormat="false" ht="35.05" hidden="false" customHeight="false" outlineLevel="0" collapsed="false">
      <c r="A26" s="14" t="s">
        <v>4470</v>
      </c>
      <c r="B26" s="17" t="s">
        <v>8066</v>
      </c>
      <c r="C26" s="18" t="s">
        <v>501</v>
      </c>
      <c r="D26" s="18" t="s">
        <v>8099</v>
      </c>
      <c r="E26" s="17" t="s">
        <v>8100</v>
      </c>
      <c r="F26" s="18" t="s">
        <v>7999</v>
      </c>
      <c r="G26" s="17" t="s">
        <v>8000</v>
      </c>
      <c r="H26" s="18" t="s">
        <v>4473</v>
      </c>
      <c r="I26" s="17" t="s">
        <v>8101</v>
      </c>
      <c r="J26" s="7"/>
      <c r="K26" s="7" t="s">
        <v>3992</v>
      </c>
      <c r="L26" s="8" t="s">
        <v>8102</v>
      </c>
      <c r="M26" s="7" t="n">
        <f aca="false">COUNTIF('Mapa de Marcas'!$B:$B,$A26)</f>
        <v>4</v>
      </c>
      <c r="N26" s="7" t="n">
        <f aca="false">COUNTIFS('Mapa de Marcas'!$B:$B,$A26,'Mapa de Marcas'!$R:$R,"Lacuna")</f>
        <v>1</v>
      </c>
      <c r="O26" s="7" t="s">
        <v>1480</v>
      </c>
      <c r="P26" s="8" t="s">
        <v>3984</v>
      </c>
      <c r="Q26" s="12"/>
      <c r="R26" s="12"/>
    </row>
    <row r="27" customFormat="false" ht="46.25" hidden="false" customHeight="false" outlineLevel="0" collapsed="false">
      <c r="A27" s="14" t="s">
        <v>4489</v>
      </c>
      <c r="B27" s="17" t="s">
        <v>8103</v>
      </c>
      <c r="C27" s="18" t="s">
        <v>506</v>
      </c>
      <c r="D27" s="18" t="s">
        <v>8104</v>
      </c>
      <c r="E27" s="17" t="s">
        <v>8105</v>
      </c>
      <c r="F27" s="18" t="s">
        <v>7999</v>
      </c>
      <c r="G27" s="17" t="s">
        <v>8000</v>
      </c>
      <c r="H27" s="18" t="s">
        <v>4492</v>
      </c>
      <c r="I27" s="17" t="s">
        <v>8106</v>
      </c>
      <c r="J27" s="7" t="s">
        <v>541</v>
      </c>
      <c r="K27" s="7" t="s">
        <v>3992</v>
      </c>
      <c r="L27" s="8" t="s">
        <v>8107</v>
      </c>
      <c r="M27" s="7" t="n">
        <f aca="false">COUNTIF('Mapa de Marcas'!$B:$B,$A27)</f>
        <v>8</v>
      </c>
      <c r="N27" s="7" t="n">
        <f aca="false">COUNTIFS('Mapa de Marcas'!$B:$B,$A27,'Mapa de Marcas'!$R:$R,"Lacuna")</f>
        <v>2</v>
      </c>
      <c r="O27" s="7" t="s">
        <v>1183</v>
      </c>
      <c r="P27" s="8" t="s">
        <v>3984</v>
      </c>
      <c r="Q27" s="12"/>
      <c r="R27" s="12"/>
    </row>
    <row r="28" customFormat="false" ht="35.05" hidden="false" customHeight="false" outlineLevel="0" collapsed="false">
      <c r="A28" s="14" t="s">
        <v>4502</v>
      </c>
      <c r="B28" s="17" t="s">
        <v>8066</v>
      </c>
      <c r="C28" s="18" t="s">
        <v>506</v>
      </c>
      <c r="D28" s="18" t="s">
        <v>8108</v>
      </c>
      <c r="E28" s="17" t="s">
        <v>8109</v>
      </c>
      <c r="F28" s="18" t="s">
        <v>7999</v>
      </c>
      <c r="G28" s="17" t="s">
        <v>8000</v>
      </c>
      <c r="H28" s="18" t="s">
        <v>4505</v>
      </c>
      <c r="I28" s="17" t="s">
        <v>8110</v>
      </c>
      <c r="J28" s="7"/>
      <c r="K28" s="7" t="s">
        <v>3992</v>
      </c>
      <c r="L28" s="8" t="s">
        <v>8111</v>
      </c>
      <c r="M28" s="7" t="n">
        <f aca="false">COUNTIF('Mapa de Marcas'!$B:$B,$A28)</f>
        <v>3</v>
      </c>
      <c r="N28" s="7" t="n">
        <f aca="false">COUNTIFS('Mapa de Marcas'!$B:$B,$A28,'Mapa de Marcas'!$R:$R,"Lacuna")</f>
        <v>1</v>
      </c>
      <c r="O28" s="7" t="s">
        <v>1480</v>
      </c>
      <c r="P28" s="8" t="s">
        <v>3984</v>
      </c>
      <c r="Q28" s="12"/>
      <c r="R28" s="12"/>
    </row>
    <row r="29" customFormat="false" ht="35.05" hidden="false" customHeight="false" outlineLevel="0" collapsed="false">
      <c r="A29" s="14" t="s">
        <v>4517</v>
      </c>
      <c r="B29" s="17" t="s">
        <v>8112</v>
      </c>
      <c r="C29" s="18" t="s">
        <v>541</v>
      </c>
      <c r="D29" s="18" t="s">
        <v>8113</v>
      </c>
      <c r="E29" s="17" t="s">
        <v>8114</v>
      </c>
      <c r="F29" s="18" t="s">
        <v>7999</v>
      </c>
      <c r="G29" s="17" t="s">
        <v>8000</v>
      </c>
      <c r="H29" s="18" t="s">
        <v>4520</v>
      </c>
      <c r="I29" s="17" t="s">
        <v>8115</v>
      </c>
      <c r="J29" s="7"/>
      <c r="K29" s="7" t="s">
        <v>3992</v>
      </c>
      <c r="L29" s="8" t="s">
        <v>8116</v>
      </c>
      <c r="M29" s="7" t="n">
        <f aca="false">COUNTIF('Mapa de Marcas'!$B:$B,$A29)</f>
        <v>5</v>
      </c>
      <c r="N29" s="7" t="n">
        <f aca="false">COUNTIFS('Mapa de Marcas'!$B:$B,$A29,'Mapa de Marcas'!$R:$R,"Lacuna")</f>
        <v>1</v>
      </c>
      <c r="O29" s="7" t="s">
        <v>1183</v>
      </c>
      <c r="P29" s="8" t="s">
        <v>3984</v>
      </c>
      <c r="Q29" s="12"/>
      <c r="R29" s="12"/>
    </row>
    <row r="30" customFormat="false" ht="35.05" hidden="false" customHeight="false" outlineLevel="0" collapsed="false">
      <c r="A30" s="14" t="s">
        <v>4542</v>
      </c>
      <c r="B30" s="17" t="s">
        <v>8112</v>
      </c>
      <c r="C30" s="18" t="s">
        <v>541</v>
      </c>
      <c r="D30" s="18" t="s">
        <v>8117</v>
      </c>
      <c r="E30" s="17" t="s">
        <v>8118</v>
      </c>
      <c r="F30" s="18" t="s">
        <v>7999</v>
      </c>
      <c r="G30" s="17" t="s">
        <v>8000</v>
      </c>
      <c r="H30" s="18" t="s">
        <v>4545</v>
      </c>
      <c r="I30" s="17" t="s">
        <v>8119</v>
      </c>
      <c r="J30" s="7"/>
      <c r="K30" s="7" t="s">
        <v>3992</v>
      </c>
      <c r="L30" s="8" t="s">
        <v>8120</v>
      </c>
      <c r="M30" s="7" t="n">
        <f aca="false">COUNTIF('Mapa de Marcas'!$B:$B,$A30)</f>
        <v>5</v>
      </c>
      <c r="N30" s="7" t="n">
        <f aca="false">COUNTIFS('Mapa de Marcas'!$B:$B,$A30,'Mapa de Marcas'!$R:$R,"Lacuna")</f>
        <v>1</v>
      </c>
      <c r="O30" s="7" t="s">
        <v>1183</v>
      </c>
      <c r="P30" s="8" t="s">
        <v>3984</v>
      </c>
      <c r="Q30" s="12"/>
      <c r="R30" s="12"/>
    </row>
    <row r="31" customFormat="false" ht="35.05" hidden="false" customHeight="false" outlineLevel="0" collapsed="false">
      <c r="A31" s="14" t="s">
        <v>4563</v>
      </c>
      <c r="B31" s="17" t="s">
        <v>8112</v>
      </c>
      <c r="C31" s="18" t="s">
        <v>541</v>
      </c>
      <c r="D31" s="18" t="s">
        <v>8121</v>
      </c>
      <c r="E31" s="17" t="s">
        <v>8122</v>
      </c>
      <c r="F31" s="18" t="s">
        <v>7999</v>
      </c>
      <c r="G31" s="17" t="s">
        <v>8000</v>
      </c>
      <c r="H31" s="18" t="s">
        <v>4566</v>
      </c>
      <c r="I31" s="17" t="s">
        <v>8123</v>
      </c>
      <c r="J31" s="7"/>
      <c r="K31" s="7" t="s">
        <v>3992</v>
      </c>
      <c r="L31" s="8" t="s">
        <v>8124</v>
      </c>
      <c r="M31" s="7" t="n">
        <f aca="false">COUNTIF('Mapa de Marcas'!$B:$B,$A31)</f>
        <v>5</v>
      </c>
      <c r="N31" s="7" t="n">
        <f aca="false">COUNTIFS('Mapa de Marcas'!$B:$B,$A31,'Mapa de Marcas'!$R:$R,"Lacuna")</f>
        <v>1</v>
      </c>
      <c r="O31" s="7" t="s">
        <v>1183</v>
      </c>
      <c r="P31" s="8" t="s">
        <v>3984</v>
      </c>
      <c r="Q31" s="12"/>
      <c r="R31" s="12"/>
    </row>
    <row r="32" customFormat="false" ht="46.25" hidden="false" customHeight="false" outlineLevel="0" collapsed="false">
      <c r="A32" s="14" t="s">
        <v>4603</v>
      </c>
      <c r="B32" s="17" t="s">
        <v>8112</v>
      </c>
      <c r="C32" s="18" t="s">
        <v>541</v>
      </c>
      <c r="D32" s="18" t="s">
        <v>8125</v>
      </c>
      <c r="E32" s="17" t="s">
        <v>8126</v>
      </c>
      <c r="F32" s="18" t="s">
        <v>7999</v>
      </c>
      <c r="G32" s="17" t="s">
        <v>8000</v>
      </c>
      <c r="H32" s="18" t="s">
        <v>4606</v>
      </c>
      <c r="I32" s="17" t="s">
        <v>8127</v>
      </c>
      <c r="J32" s="7"/>
      <c r="K32" s="7" t="s">
        <v>3992</v>
      </c>
      <c r="L32" s="8" t="s">
        <v>8128</v>
      </c>
      <c r="M32" s="7" t="n">
        <f aca="false">COUNTIF('Mapa de Marcas'!$B:$B,$A32)</f>
        <v>5</v>
      </c>
      <c r="N32" s="7" t="n">
        <f aca="false">COUNTIFS('Mapa de Marcas'!$B:$B,$A32,'Mapa de Marcas'!$R:$R,"Lacuna")</f>
        <v>1</v>
      </c>
      <c r="O32" s="7" t="s">
        <v>1480</v>
      </c>
      <c r="P32" s="8" t="s">
        <v>3984</v>
      </c>
      <c r="Q32" s="12"/>
      <c r="R32" s="12"/>
    </row>
    <row r="33" customFormat="false" ht="35.05" hidden="false" customHeight="false" outlineLevel="0" collapsed="false">
      <c r="A33" s="14" t="s">
        <v>4624</v>
      </c>
      <c r="B33" s="17" t="s">
        <v>8112</v>
      </c>
      <c r="C33" s="18" t="s">
        <v>541</v>
      </c>
      <c r="D33" s="18" t="s">
        <v>8129</v>
      </c>
      <c r="E33" s="17" t="s">
        <v>8130</v>
      </c>
      <c r="F33" s="18" t="s">
        <v>7999</v>
      </c>
      <c r="G33" s="17" t="s">
        <v>8000</v>
      </c>
      <c r="H33" s="18" t="s">
        <v>4627</v>
      </c>
      <c r="I33" s="17" t="s">
        <v>8131</v>
      </c>
      <c r="J33" s="7"/>
      <c r="K33" s="7" t="s">
        <v>3992</v>
      </c>
      <c r="L33" s="8" t="s">
        <v>8132</v>
      </c>
      <c r="M33" s="7" t="n">
        <f aca="false">COUNTIF('Mapa de Marcas'!$B:$B,$A33)</f>
        <v>5</v>
      </c>
      <c r="N33" s="7" t="n">
        <f aca="false">COUNTIFS('Mapa de Marcas'!$B:$B,$A33,'Mapa de Marcas'!$R:$R,"Lacuna")</f>
        <v>1</v>
      </c>
      <c r="O33" s="7" t="s">
        <v>1480</v>
      </c>
      <c r="P33" s="8" t="s">
        <v>3984</v>
      </c>
      <c r="Q33" s="12"/>
      <c r="R33" s="12"/>
    </row>
    <row r="34" customFormat="false" ht="35.05" hidden="false" customHeight="false" outlineLevel="0" collapsed="false">
      <c r="A34" s="14" t="s">
        <v>4647</v>
      </c>
      <c r="B34" s="17" t="s">
        <v>8133</v>
      </c>
      <c r="C34" s="18" t="s">
        <v>511</v>
      </c>
      <c r="D34" s="18" t="s">
        <v>8134</v>
      </c>
      <c r="E34" s="17" t="s">
        <v>8135</v>
      </c>
      <c r="F34" s="18" t="s">
        <v>7999</v>
      </c>
      <c r="G34" s="17" t="s">
        <v>8000</v>
      </c>
      <c r="H34" s="18" t="s">
        <v>4650</v>
      </c>
      <c r="I34" s="17" t="s">
        <v>8136</v>
      </c>
      <c r="J34" s="7"/>
      <c r="K34" s="7" t="s">
        <v>3992</v>
      </c>
      <c r="L34" s="8" t="s">
        <v>8137</v>
      </c>
      <c r="M34" s="7" t="n">
        <f aca="false">COUNTIF('Mapa de Marcas'!$B:$B,$A34)</f>
        <v>4</v>
      </c>
      <c r="N34" s="7" t="n">
        <f aca="false">COUNTIFS('Mapa de Marcas'!$B:$B,$A34,'Mapa de Marcas'!$R:$R,"Lacuna")</f>
        <v>1</v>
      </c>
      <c r="O34" s="7" t="s">
        <v>1183</v>
      </c>
      <c r="P34" s="8" t="s">
        <v>3984</v>
      </c>
      <c r="Q34" s="12"/>
      <c r="R34" s="12"/>
    </row>
    <row r="35" customFormat="false" ht="35.05" hidden="false" customHeight="false" outlineLevel="0" collapsed="false">
      <c r="A35" s="14" t="s">
        <v>4667</v>
      </c>
      <c r="B35" s="17" t="s">
        <v>8133</v>
      </c>
      <c r="C35" s="18" t="s">
        <v>511</v>
      </c>
      <c r="D35" s="18" t="s">
        <v>8138</v>
      </c>
      <c r="E35" s="17" t="s">
        <v>8139</v>
      </c>
      <c r="F35" s="18" t="s">
        <v>7999</v>
      </c>
      <c r="G35" s="17" t="s">
        <v>8000</v>
      </c>
      <c r="H35" s="18" t="s">
        <v>4670</v>
      </c>
      <c r="I35" s="17" t="s">
        <v>8140</v>
      </c>
      <c r="J35" s="7"/>
      <c r="K35" s="7" t="s">
        <v>3992</v>
      </c>
      <c r="L35" s="8" t="s">
        <v>8141</v>
      </c>
      <c r="M35" s="7" t="n">
        <f aca="false">COUNTIF('Mapa de Marcas'!$B:$B,$A35)</f>
        <v>4</v>
      </c>
      <c r="N35" s="7" t="n">
        <f aca="false">COUNTIFS('Mapa de Marcas'!$B:$B,$A35,'Mapa de Marcas'!$R:$R,"Lacuna")</f>
        <v>1</v>
      </c>
      <c r="O35" s="7" t="s">
        <v>1183</v>
      </c>
      <c r="P35" s="8" t="s">
        <v>3984</v>
      </c>
      <c r="Q35" s="12"/>
      <c r="R35" s="12"/>
    </row>
    <row r="36" customFormat="false" ht="35.05" hidden="false" customHeight="false" outlineLevel="0" collapsed="false">
      <c r="A36" s="14" t="s">
        <v>4684</v>
      </c>
      <c r="B36" s="17" t="s">
        <v>8133</v>
      </c>
      <c r="C36" s="18" t="s">
        <v>511</v>
      </c>
      <c r="D36" s="18" t="s">
        <v>8142</v>
      </c>
      <c r="E36" s="17" t="s">
        <v>8143</v>
      </c>
      <c r="F36" s="18" t="s">
        <v>7999</v>
      </c>
      <c r="G36" s="17" t="s">
        <v>8000</v>
      </c>
      <c r="H36" s="18" t="s">
        <v>4687</v>
      </c>
      <c r="I36" s="17" t="s">
        <v>8144</v>
      </c>
      <c r="J36" s="7"/>
      <c r="K36" s="7" t="s">
        <v>3992</v>
      </c>
      <c r="L36" s="8" t="s">
        <v>8145</v>
      </c>
      <c r="M36" s="7" t="n">
        <f aca="false">COUNTIF('Mapa de Marcas'!$B:$B,$A36)</f>
        <v>4</v>
      </c>
      <c r="N36" s="7" t="n">
        <f aca="false">COUNTIFS('Mapa de Marcas'!$B:$B,$A36,'Mapa de Marcas'!$R:$R,"Lacuna")</f>
        <v>1</v>
      </c>
      <c r="O36" s="7" t="s">
        <v>1480</v>
      </c>
      <c r="P36" s="8" t="s">
        <v>3984</v>
      </c>
      <c r="Q36" s="12"/>
      <c r="R36" s="12"/>
    </row>
    <row r="37" customFormat="false" ht="35.05" hidden="false" customHeight="false" outlineLevel="0" collapsed="false">
      <c r="A37" s="14" t="s">
        <v>4701</v>
      </c>
      <c r="B37" s="17" t="s">
        <v>8133</v>
      </c>
      <c r="C37" s="18" t="s">
        <v>511</v>
      </c>
      <c r="D37" s="18" t="s">
        <v>8146</v>
      </c>
      <c r="E37" s="17" t="s">
        <v>8147</v>
      </c>
      <c r="F37" s="18" t="s">
        <v>7999</v>
      </c>
      <c r="G37" s="17" t="s">
        <v>8000</v>
      </c>
      <c r="H37" s="18" t="s">
        <v>4704</v>
      </c>
      <c r="I37" s="17" t="s">
        <v>8148</v>
      </c>
      <c r="J37" s="7"/>
      <c r="K37" s="7" t="s">
        <v>3992</v>
      </c>
      <c r="L37" s="8" t="s">
        <v>8149</v>
      </c>
      <c r="M37" s="7" t="n">
        <f aca="false">COUNTIF('Mapa de Marcas'!$B:$B,$A37)</f>
        <v>4</v>
      </c>
      <c r="N37" s="7" t="n">
        <f aca="false">COUNTIFS('Mapa de Marcas'!$B:$B,$A37,'Mapa de Marcas'!$R:$R,"Lacuna")</f>
        <v>1</v>
      </c>
      <c r="O37" s="7" t="s">
        <v>1480</v>
      </c>
      <c r="P37" s="8" t="s">
        <v>3984</v>
      </c>
      <c r="Q37" s="12"/>
      <c r="R37" s="12"/>
    </row>
    <row r="38" customFormat="false" ht="35.05" hidden="false" customHeight="false" outlineLevel="0" collapsed="false">
      <c r="A38" s="14" t="s">
        <v>4720</v>
      </c>
      <c r="B38" s="17" t="s">
        <v>8150</v>
      </c>
      <c r="C38" s="18" t="s">
        <v>516</v>
      </c>
      <c r="D38" s="18" t="s">
        <v>8151</v>
      </c>
      <c r="E38" s="17" t="s">
        <v>8152</v>
      </c>
      <c r="F38" s="18" t="s">
        <v>7999</v>
      </c>
      <c r="G38" s="17" t="s">
        <v>8000</v>
      </c>
      <c r="H38" s="18" t="s">
        <v>4723</v>
      </c>
      <c r="I38" s="17" t="s">
        <v>8153</v>
      </c>
      <c r="J38" s="7"/>
      <c r="K38" s="7" t="s">
        <v>3992</v>
      </c>
      <c r="L38" s="8" t="s">
        <v>8154</v>
      </c>
      <c r="M38" s="7" t="n">
        <f aca="false">COUNTIF('Mapa de Marcas'!$B:$B,$A38)</f>
        <v>4</v>
      </c>
      <c r="N38" s="7" t="n">
        <f aca="false">COUNTIFS('Mapa de Marcas'!$B:$B,$A38,'Mapa de Marcas'!$R:$R,"Lacuna")</f>
        <v>0</v>
      </c>
      <c r="O38" s="7" t="s">
        <v>1183</v>
      </c>
      <c r="P38" s="8" t="s">
        <v>3984</v>
      </c>
      <c r="Q38" s="12"/>
      <c r="R38" s="12"/>
    </row>
    <row r="39" customFormat="false" ht="35.05" hidden="false" customHeight="false" outlineLevel="0" collapsed="false">
      <c r="A39" s="14" t="s">
        <v>4740</v>
      </c>
      <c r="B39" s="17" t="s">
        <v>8150</v>
      </c>
      <c r="C39" s="18" t="s">
        <v>516</v>
      </c>
      <c r="D39" s="18" t="s">
        <v>8155</v>
      </c>
      <c r="E39" s="17" t="s">
        <v>8156</v>
      </c>
      <c r="F39" s="18" t="s">
        <v>7999</v>
      </c>
      <c r="G39" s="17" t="s">
        <v>8000</v>
      </c>
      <c r="H39" s="18" t="s">
        <v>4743</v>
      </c>
      <c r="I39" s="17" t="s">
        <v>8157</v>
      </c>
      <c r="J39" s="7"/>
      <c r="K39" s="7" t="s">
        <v>3992</v>
      </c>
      <c r="L39" s="8" t="s">
        <v>8158</v>
      </c>
      <c r="M39" s="7" t="n">
        <f aca="false">COUNTIF('Mapa de Marcas'!$B:$B,$A39)</f>
        <v>4</v>
      </c>
      <c r="N39" s="7" t="n">
        <f aca="false">COUNTIFS('Mapa de Marcas'!$B:$B,$A39,'Mapa de Marcas'!$R:$R,"Lacuna")</f>
        <v>0</v>
      </c>
      <c r="O39" s="7" t="s">
        <v>1480</v>
      </c>
      <c r="P39" s="8" t="s">
        <v>3984</v>
      </c>
      <c r="Q39" s="12"/>
      <c r="R39" s="12"/>
    </row>
    <row r="40" customFormat="false" ht="35.05" hidden="false" customHeight="false" outlineLevel="0" collapsed="false">
      <c r="A40" s="14" t="s">
        <v>4759</v>
      </c>
      <c r="B40" s="17" t="s">
        <v>8041</v>
      </c>
      <c r="C40" s="18" t="s">
        <v>546</v>
      </c>
      <c r="D40" s="18" t="s">
        <v>8159</v>
      </c>
      <c r="E40" s="17" t="s">
        <v>8160</v>
      </c>
      <c r="F40" s="18" t="s">
        <v>7999</v>
      </c>
      <c r="G40" s="17" t="s">
        <v>8000</v>
      </c>
      <c r="H40" s="18" t="s">
        <v>4762</v>
      </c>
      <c r="I40" s="17" t="s">
        <v>8161</v>
      </c>
      <c r="J40" s="7"/>
      <c r="K40" s="7" t="s">
        <v>3992</v>
      </c>
      <c r="L40" s="8" t="s">
        <v>8162</v>
      </c>
      <c r="M40" s="7" t="n">
        <f aca="false">COUNTIF('Mapa de Marcas'!$B:$B,$A40)</f>
        <v>4</v>
      </c>
      <c r="N40" s="7" t="n">
        <f aca="false">COUNTIFS('Mapa de Marcas'!$B:$B,$A40,'Mapa de Marcas'!$R:$R,"Lacuna")</f>
        <v>1</v>
      </c>
      <c r="O40" s="7" t="s">
        <v>1183</v>
      </c>
      <c r="P40" s="8" t="s">
        <v>3984</v>
      </c>
      <c r="Q40" s="12"/>
      <c r="R40" s="12"/>
    </row>
    <row r="41" customFormat="false" ht="35.05" hidden="false" customHeight="false" outlineLevel="0" collapsed="false">
      <c r="A41" s="14" t="s">
        <v>4779</v>
      </c>
      <c r="B41" s="17" t="s">
        <v>8041</v>
      </c>
      <c r="C41" s="18" t="s">
        <v>546</v>
      </c>
      <c r="D41" s="18" t="s">
        <v>8163</v>
      </c>
      <c r="E41" s="17" t="s">
        <v>8164</v>
      </c>
      <c r="F41" s="18" t="s">
        <v>7999</v>
      </c>
      <c r="G41" s="17" t="s">
        <v>8000</v>
      </c>
      <c r="H41" s="18" t="s">
        <v>4782</v>
      </c>
      <c r="I41" s="17" t="s">
        <v>8165</v>
      </c>
      <c r="J41" s="7"/>
      <c r="K41" s="7" t="s">
        <v>3992</v>
      </c>
      <c r="L41" s="8" t="s">
        <v>8166</v>
      </c>
      <c r="M41" s="7" t="n">
        <f aca="false">COUNTIF('Mapa de Marcas'!$B:$B,$A41)</f>
        <v>4</v>
      </c>
      <c r="N41" s="7" t="n">
        <f aca="false">COUNTIFS('Mapa de Marcas'!$B:$B,$A41,'Mapa de Marcas'!$R:$R,"Lacuna")</f>
        <v>1</v>
      </c>
      <c r="O41" s="7" t="s">
        <v>1480</v>
      </c>
      <c r="P41" s="8" t="s">
        <v>3984</v>
      </c>
      <c r="Q41" s="12"/>
      <c r="R41" s="12"/>
    </row>
    <row r="42" customFormat="false" ht="35.05" hidden="false" customHeight="false" outlineLevel="0" collapsed="false">
      <c r="A42" s="14" t="s">
        <v>4796</v>
      </c>
      <c r="B42" s="17" t="s">
        <v>8041</v>
      </c>
      <c r="C42" s="18" t="s">
        <v>546</v>
      </c>
      <c r="D42" s="18" t="s">
        <v>8167</v>
      </c>
      <c r="E42" s="17" t="s">
        <v>8168</v>
      </c>
      <c r="F42" s="18" t="s">
        <v>7999</v>
      </c>
      <c r="G42" s="17" t="s">
        <v>8000</v>
      </c>
      <c r="H42" s="18" t="s">
        <v>4799</v>
      </c>
      <c r="I42" s="17" t="s">
        <v>8169</v>
      </c>
      <c r="J42" s="7"/>
      <c r="K42" s="7" t="s">
        <v>3992</v>
      </c>
      <c r="L42" s="8" t="s">
        <v>8170</v>
      </c>
      <c r="M42" s="7" t="n">
        <f aca="false">COUNTIF('Mapa de Marcas'!$B:$B,$A42)</f>
        <v>4</v>
      </c>
      <c r="N42" s="7" t="n">
        <f aca="false">COUNTIFS('Mapa de Marcas'!$B:$B,$A42,'Mapa de Marcas'!$R:$R,"Lacuna")</f>
        <v>1</v>
      </c>
      <c r="O42" s="7" t="s">
        <v>1183</v>
      </c>
      <c r="P42" s="8" t="s">
        <v>3984</v>
      </c>
      <c r="Q42" s="12"/>
      <c r="R42" s="12"/>
    </row>
    <row r="43" customFormat="false" ht="35.05" hidden="false" customHeight="false" outlineLevel="0" collapsed="false">
      <c r="A43" s="14" t="s">
        <v>4813</v>
      </c>
      <c r="B43" s="17" t="s">
        <v>8041</v>
      </c>
      <c r="C43" s="18" t="s">
        <v>546</v>
      </c>
      <c r="D43" s="18" t="s">
        <v>8171</v>
      </c>
      <c r="E43" s="17" t="s">
        <v>8172</v>
      </c>
      <c r="F43" s="18" t="s">
        <v>7999</v>
      </c>
      <c r="G43" s="17" t="s">
        <v>8000</v>
      </c>
      <c r="H43" s="18" t="s">
        <v>4816</v>
      </c>
      <c r="I43" s="17" t="s">
        <v>8173</v>
      </c>
      <c r="J43" s="7"/>
      <c r="K43" s="7" t="s">
        <v>3992</v>
      </c>
      <c r="L43" s="8" t="s">
        <v>8174</v>
      </c>
      <c r="M43" s="7" t="n">
        <f aca="false">COUNTIF('Mapa de Marcas'!$B:$B,$A43)</f>
        <v>4</v>
      </c>
      <c r="N43" s="7" t="n">
        <f aca="false">COUNTIFS('Mapa de Marcas'!$B:$B,$A43,'Mapa de Marcas'!$R:$R,"Lacuna")</f>
        <v>1</v>
      </c>
      <c r="O43" s="7" t="s">
        <v>1480</v>
      </c>
      <c r="P43" s="8" t="s">
        <v>3984</v>
      </c>
      <c r="Q43" s="12"/>
      <c r="R43" s="12"/>
    </row>
    <row r="44" customFormat="false" ht="35.05" hidden="false" customHeight="false" outlineLevel="0" collapsed="false">
      <c r="A44" s="14" t="s">
        <v>4830</v>
      </c>
      <c r="B44" s="17" t="s">
        <v>8041</v>
      </c>
      <c r="C44" s="18" t="s">
        <v>546</v>
      </c>
      <c r="D44" s="18" t="s">
        <v>8175</v>
      </c>
      <c r="E44" s="17" t="s">
        <v>8176</v>
      </c>
      <c r="F44" s="18" t="s">
        <v>7999</v>
      </c>
      <c r="G44" s="17" t="s">
        <v>8000</v>
      </c>
      <c r="H44" s="18" t="s">
        <v>4833</v>
      </c>
      <c r="I44" s="17" t="s">
        <v>8177</v>
      </c>
      <c r="J44" s="7"/>
      <c r="K44" s="7" t="s">
        <v>3992</v>
      </c>
      <c r="L44" s="8" t="s">
        <v>8178</v>
      </c>
      <c r="M44" s="7" t="n">
        <f aca="false">COUNTIF('Mapa de Marcas'!$B:$B,$A44)</f>
        <v>4</v>
      </c>
      <c r="N44" s="7" t="n">
        <f aca="false">COUNTIFS('Mapa de Marcas'!$B:$B,$A44,'Mapa de Marcas'!$R:$R,"Lacuna")</f>
        <v>1</v>
      </c>
      <c r="O44" s="7" t="s">
        <v>1480</v>
      </c>
      <c r="P44" s="8" t="s">
        <v>3984</v>
      </c>
      <c r="Q44" s="12"/>
      <c r="R44" s="12"/>
    </row>
    <row r="45" customFormat="false" ht="35.05" hidden="false" customHeight="false" outlineLevel="0" collapsed="false">
      <c r="A45" s="14" t="s">
        <v>4847</v>
      </c>
      <c r="B45" s="17" t="s">
        <v>8041</v>
      </c>
      <c r="C45" s="18" t="s">
        <v>546</v>
      </c>
      <c r="D45" s="18" t="s">
        <v>8179</v>
      </c>
      <c r="E45" s="17" t="s">
        <v>8180</v>
      </c>
      <c r="F45" s="18" t="s">
        <v>7999</v>
      </c>
      <c r="G45" s="17" t="s">
        <v>8000</v>
      </c>
      <c r="H45" s="18" t="s">
        <v>4850</v>
      </c>
      <c r="I45" s="17" t="s">
        <v>8181</v>
      </c>
      <c r="J45" s="7"/>
      <c r="K45" s="7" t="s">
        <v>3992</v>
      </c>
      <c r="L45" s="8" t="s">
        <v>8182</v>
      </c>
      <c r="M45" s="7" t="n">
        <f aca="false">COUNTIF('Mapa de Marcas'!$B:$B,$A45)</f>
        <v>4</v>
      </c>
      <c r="N45" s="7" t="n">
        <f aca="false">COUNTIFS('Mapa de Marcas'!$B:$B,$A45,'Mapa de Marcas'!$R:$R,"Lacuna")</f>
        <v>1</v>
      </c>
      <c r="O45" s="7" t="s">
        <v>1480</v>
      </c>
      <c r="P45" s="8" t="s">
        <v>3984</v>
      </c>
      <c r="Q45" s="12"/>
      <c r="R45" s="12"/>
    </row>
    <row r="46" customFormat="false" ht="35.05" hidden="false" customHeight="false" outlineLevel="0" collapsed="false">
      <c r="A46" s="14" t="s">
        <v>4866</v>
      </c>
      <c r="B46" s="17" t="s">
        <v>8066</v>
      </c>
      <c r="C46" s="18" t="s">
        <v>521</v>
      </c>
      <c r="D46" s="18" t="s">
        <v>8183</v>
      </c>
      <c r="E46" s="17" t="s">
        <v>8184</v>
      </c>
      <c r="F46" s="18" t="s">
        <v>7999</v>
      </c>
      <c r="G46" s="17" t="s">
        <v>8000</v>
      </c>
      <c r="H46" s="18" t="s">
        <v>4869</v>
      </c>
      <c r="I46" s="17" t="s">
        <v>8185</v>
      </c>
      <c r="J46" s="7"/>
      <c r="K46" s="7" t="s">
        <v>3992</v>
      </c>
      <c r="L46" s="8" t="s">
        <v>8186</v>
      </c>
      <c r="M46" s="7" t="n">
        <f aca="false">COUNTIF('Mapa de Marcas'!$B:$B,$A46)</f>
        <v>3</v>
      </c>
      <c r="N46" s="7" t="n">
        <f aca="false">COUNTIFS('Mapa de Marcas'!$B:$B,$A46,'Mapa de Marcas'!$R:$R,"Lacuna")</f>
        <v>1</v>
      </c>
      <c r="O46" s="7" t="s">
        <v>1480</v>
      </c>
      <c r="P46" s="8" t="s">
        <v>3984</v>
      </c>
      <c r="Q46" s="12"/>
      <c r="R46" s="12"/>
    </row>
    <row r="47" customFormat="false" ht="35.05" hidden="false" customHeight="false" outlineLevel="0" collapsed="false">
      <c r="A47" s="14" t="s">
        <v>4881</v>
      </c>
      <c r="B47" s="17" t="s">
        <v>8066</v>
      </c>
      <c r="C47" s="18" t="s">
        <v>521</v>
      </c>
      <c r="D47" s="18" t="s">
        <v>8187</v>
      </c>
      <c r="E47" s="17" t="s">
        <v>8188</v>
      </c>
      <c r="F47" s="18" t="s">
        <v>7999</v>
      </c>
      <c r="G47" s="17" t="s">
        <v>8000</v>
      </c>
      <c r="H47" s="18" t="s">
        <v>4884</v>
      </c>
      <c r="I47" s="17" t="s">
        <v>8189</v>
      </c>
      <c r="J47" s="7"/>
      <c r="K47" s="7" t="s">
        <v>3992</v>
      </c>
      <c r="L47" s="8" t="s">
        <v>8190</v>
      </c>
      <c r="M47" s="7" t="n">
        <f aca="false">COUNTIF('Mapa de Marcas'!$B:$B,$A47)</f>
        <v>3</v>
      </c>
      <c r="N47" s="7" t="n">
        <f aca="false">COUNTIFS('Mapa de Marcas'!$B:$B,$A47,'Mapa de Marcas'!$R:$R,"Lacuna")</f>
        <v>1</v>
      </c>
      <c r="O47" s="7" t="s">
        <v>1480</v>
      </c>
      <c r="P47" s="8" t="s">
        <v>3984</v>
      </c>
      <c r="Q47" s="12"/>
      <c r="R47" s="12"/>
    </row>
    <row r="48" customFormat="false" ht="35.05" hidden="false" customHeight="false" outlineLevel="0" collapsed="false">
      <c r="A48" s="14" t="s">
        <v>4894</v>
      </c>
      <c r="B48" s="17" t="s">
        <v>8066</v>
      </c>
      <c r="C48" s="18" t="s">
        <v>521</v>
      </c>
      <c r="D48" s="18" t="s">
        <v>8191</v>
      </c>
      <c r="E48" s="17" t="s">
        <v>8192</v>
      </c>
      <c r="F48" s="18" t="s">
        <v>7999</v>
      </c>
      <c r="G48" s="17" t="s">
        <v>8000</v>
      </c>
      <c r="H48" s="18" t="s">
        <v>4897</v>
      </c>
      <c r="I48" s="17" t="s">
        <v>8193</v>
      </c>
      <c r="J48" s="7"/>
      <c r="K48" s="7" t="s">
        <v>3992</v>
      </c>
      <c r="L48" s="8" t="s">
        <v>8194</v>
      </c>
      <c r="M48" s="7" t="n">
        <f aca="false">COUNTIF('Mapa de Marcas'!$B:$B,$A48)</f>
        <v>3</v>
      </c>
      <c r="N48" s="7" t="n">
        <f aca="false">COUNTIFS('Mapa de Marcas'!$B:$B,$A48,'Mapa de Marcas'!$R:$R,"Lacuna")</f>
        <v>1</v>
      </c>
      <c r="O48" s="7" t="s">
        <v>1183</v>
      </c>
      <c r="P48" s="8" t="s">
        <v>3984</v>
      </c>
      <c r="Q48" s="12"/>
      <c r="R48" s="12"/>
    </row>
    <row r="49" customFormat="false" ht="35.05" hidden="false" customHeight="false" outlineLevel="0" collapsed="false">
      <c r="A49" s="14" t="s">
        <v>4907</v>
      </c>
      <c r="B49" s="17" t="s">
        <v>8066</v>
      </c>
      <c r="C49" s="18" t="s">
        <v>521</v>
      </c>
      <c r="D49" s="18" t="s">
        <v>8195</v>
      </c>
      <c r="E49" s="17" t="s">
        <v>8196</v>
      </c>
      <c r="F49" s="18" t="s">
        <v>7999</v>
      </c>
      <c r="G49" s="17" t="s">
        <v>8000</v>
      </c>
      <c r="H49" s="18" t="s">
        <v>4910</v>
      </c>
      <c r="I49" s="17" t="s">
        <v>8197</v>
      </c>
      <c r="J49" s="7"/>
      <c r="K49" s="7" t="s">
        <v>3992</v>
      </c>
      <c r="L49" s="8" t="s">
        <v>8198</v>
      </c>
      <c r="M49" s="7" t="n">
        <f aca="false">COUNTIF('Mapa de Marcas'!$B:$B,$A49)</f>
        <v>3</v>
      </c>
      <c r="N49" s="7" t="n">
        <f aca="false">COUNTIFS('Mapa de Marcas'!$B:$B,$A49,'Mapa de Marcas'!$R:$R,"Lacuna")</f>
        <v>1</v>
      </c>
      <c r="O49" s="7" t="s">
        <v>1480</v>
      </c>
      <c r="P49" s="8" t="s">
        <v>3984</v>
      </c>
      <c r="Q49" s="12"/>
      <c r="R49" s="12"/>
    </row>
    <row r="50" customFormat="false" ht="35.05" hidden="false" customHeight="false" outlineLevel="0" collapsed="false">
      <c r="A50" s="14" t="s">
        <v>4920</v>
      </c>
      <c r="B50" s="17" t="s">
        <v>8066</v>
      </c>
      <c r="C50" s="18" t="s">
        <v>521</v>
      </c>
      <c r="D50" s="18" t="s">
        <v>8199</v>
      </c>
      <c r="E50" s="17" t="s">
        <v>8200</v>
      </c>
      <c r="F50" s="18" t="s">
        <v>7999</v>
      </c>
      <c r="G50" s="17" t="s">
        <v>8000</v>
      </c>
      <c r="H50" s="18" t="s">
        <v>4923</v>
      </c>
      <c r="I50" s="17" t="s">
        <v>8201</v>
      </c>
      <c r="J50" s="7"/>
      <c r="K50" s="7" t="s">
        <v>3992</v>
      </c>
      <c r="L50" s="8" t="s">
        <v>8202</v>
      </c>
      <c r="M50" s="7" t="n">
        <f aca="false">COUNTIF('Mapa de Marcas'!$B:$B,$A50)</f>
        <v>3</v>
      </c>
      <c r="N50" s="7" t="n">
        <f aca="false">COUNTIFS('Mapa de Marcas'!$B:$B,$A50,'Mapa de Marcas'!$R:$R,"Lacuna")</f>
        <v>1</v>
      </c>
      <c r="O50" s="7" t="s">
        <v>1480</v>
      </c>
      <c r="P50" s="8" t="s">
        <v>3984</v>
      </c>
      <c r="Q50" s="12"/>
      <c r="R50" s="12"/>
    </row>
    <row r="51" customFormat="false" ht="35.05" hidden="false" customHeight="false" outlineLevel="0" collapsed="false">
      <c r="A51" s="14" t="s">
        <v>4935</v>
      </c>
      <c r="B51" s="17" t="s">
        <v>8203</v>
      </c>
      <c r="C51" s="18" t="s">
        <v>526</v>
      </c>
      <c r="D51" s="18" t="s">
        <v>8204</v>
      </c>
      <c r="E51" s="17" t="s">
        <v>8205</v>
      </c>
      <c r="F51" s="18" t="s">
        <v>8206</v>
      </c>
      <c r="G51" s="17" t="s">
        <v>8000</v>
      </c>
      <c r="H51" s="18" t="s">
        <v>4938</v>
      </c>
      <c r="I51" s="17" t="s">
        <v>8207</v>
      </c>
      <c r="J51" s="7"/>
      <c r="K51" s="7" t="s">
        <v>3992</v>
      </c>
      <c r="L51" s="8" t="s">
        <v>8208</v>
      </c>
      <c r="M51" s="7" t="n">
        <f aca="false">COUNTIF('Mapa de Marcas'!$B:$B,$A51)</f>
        <v>3</v>
      </c>
      <c r="N51" s="7" t="n">
        <f aca="false">COUNTIFS('Mapa de Marcas'!$B:$B,$A51,'Mapa de Marcas'!$R:$R,"Lacuna")</f>
        <v>0</v>
      </c>
      <c r="O51" s="7" t="s">
        <v>1480</v>
      </c>
      <c r="P51" s="8" t="s">
        <v>3984</v>
      </c>
      <c r="Q51" s="12"/>
      <c r="R51" s="12"/>
    </row>
    <row r="52" customFormat="false" ht="35.05" hidden="false" customHeight="false" outlineLevel="0" collapsed="false">
      <c r="A52" s="14" t="s">
        <v>4950</v>
      </c>
      <c r="B52" s="17" t="s">
        <v>8203</v>
      </c>
      <c r="C52" s="18" t="s">
        <v>526</v>
      </c>
      <c r="D52" s="18" t="s">
        <v>8209</v>
      </c>
      <c r="E52" s="17" t="s">
        <v>8210</v>
      </c>
      <c r="F52" s="18" t="s">
        <v>8206</v>
      </c>
      <c r="G52" s="17" t="s">
        <v>8000</v>
      </c>
      <c r="H52" s="18" t="s">
        <v>4953</v>
      </c>
      <c r="I52" s="17" t="s">
        <v>8211</v>
      </c>
      <c r="J52" s="7"/>
      <c r="K52" s="7" t="s">
        <v>3992</v>
      </c>
      <c r="L52" s="8" t="s">
        <v>8212</v>
      </c>
      <c r="M52" s="7" t="n">
        <f aca="false">COUNTIF('Mapa de Marcas'!$B:$B,$A52)</f>
        <v>3</v>
      </c>
      <c r="N52" s="7" t="n">
        <f aca="false">COUNTIFS('Mapa de Marcas'!$B:$B,$A52,'Mapa de Marcas'!$R:$R,"Lacuna")</f>
        <v>0</v>
      </c>
      <c r="O52" s="7" t="s">
        <v>1480</v>
      </c>
      <c r="P52" s="8" t="s">
        <v>3984</v>
      </c>
      <c r="Q52" s="12"/>
      <c r="R52" s="12"/>
    </row>
    <row r="53" customFormat="false" ht="35.05" hidden="false" customHeight="false" outlineLevel="0" collapsed="false">
      <c r="A53" s="14" t="s">
        <v>4963</v>
      </c>
      <c r="B53" s="17" t="s">
        <v>8203</v>
      </c>
      <c r="C53" s="18" t="s">
        <v>526</v>
      </c>
      <c r="D53" s="18" t="s">
        <v>8213</v>
      </c>
      <c r="E53" s="17" t="s">
        <v>8214</v>
      </c>
      <c r="F53" s="18" t="s">
        <v>8206</v>
      </c>
      <c r="G53" s="17" t="s">
        <v>8000</v>
      </c>
      <c r="H53" s="18" t="s">
        <v>4966</v>
      </c>
      <c r="I53" s="17" t="s">
        <v>8215</v>
      </c>
      <c r="J53" s="7"/>
      <c r="K53" s="7" t="s">
        <v>3992</v>
      </c>
      <c r="L53" s="8" t="s">
        <v>8216</v>
      </c>
      <c r="M53" s="7" t="n">
        <f aca="false">COUNTIF('Mapa de Marcas'!$B:$B,$A53)</f>
        <v>3</v>
      </c>
      <c r="N53" s="7" t="n">
        <f aca="false">COUNTIFS('Mapa de Marcas'!$B:$B,$A53,'Mapa de Marcas'!$R:$R,"Lacuna")</f>
        <v>0</v>
      </c>
      <c r="O53" s="7" t="s">
        <v>1480</v>
      </c>
      <c r="P53" s="8" t="s">
        <v>3984</v>
      </c>
      <c r="Q53" s="12"/>
      <c r="R53" s="12"/>
    </row>
    <row r="54" customFormat="false" ht="35.05" hidden="false" customHeight="false" outlineLevel="0" collapsed="false">
      <c r="A54" s="14" t="s">
        <v>4978</v>
      </c>
      <c r="B54" s="17" t="s">
        <v>8203</v>
      </c>
      <c r="C54" s="18" t="s">
        <v>531</v>
      </c>
      <c r="D54" s="18" t="s">
        <v>8217</v>
      </c>
      <c r="E54" s="17" t="s">
        <v>8218</v>
      </c>
      <c r="F54" s="18" t="s">
        <v>7999</v>
      </c>
      <c r="G54" s="17" t="s">
        <v>8000</v>
      </c>
      <c r="H54" s="18" t="s">
        <v>4981</v>
      </c>
      <c r="I54" s="17" t="s">
        <v>8219</v>
      </c>
      <c r="J54" s="7"/>
      <c r="K54" s="7" t="s">
        <v>3992</v>
      </c>
      <c r="L54" s="8" t="s">
        <v>8220</v>
      </c>
      <c r="M54" s="7" t="n">
        <f aca="false">COUNTIF('Mapa de Marcas'!$B:$B,$A54)</f>
        <v>4</v>
      </c>
      <c r="N54" s="7" t="n">
        <f aca="false">COUNTIFS('Mapa de Marcas'!$B:$B,$A54,'Mapa de Marcas'!$R:$R,"Lacuna")</f>
        <v>0</v>
      </c>
      <c r="O54" s="7" t="s">
        <v>1480</v>
      </c>
      <c r="P54" s="8" t="s">
        <v>3984</v>
      </c>
      <c r="Q54" s="12"/>
      <c r="R54" s="12"/>
    </row>
    <row r="55" customFormat="false" ht="35.05" hidden="false" customHeight="false" outlineLevel="0" collapsed="false">
      <c r="A55" s="14" t="s">
        <v>4998</v>
      </c>
      <c r="B55" s="17" t="s">
        <v>8203</v>
      </c>
      <c r="C55" s="18" t="s">
        <v>531</v>
      </c>
      <c r="D55" s="18" t="s">
        <v>8221</v>
      </c>
      <c r="E55" s="17" t="s">
        <v>8222</v>
      </c>
      <c r="F55" s="18" t="s">
        <v>7999</v>
      </c>
      <c r="G55" s="17" t="s">
        <v>8000</v>
      </c>
      <c r="H55" s="18" t="s">
        <v>5001</v>
      </c>
      <c r="I55" s="17" t="s">
        <v>8223</v>
      </c>
      <c r="J55" s="7"/>
      <c r="K55" s="7" t="s">
        <v>3992</v>
      </c>
      <c r="L55" s="8" t="s">
        <v>8224</v>
      </c>
      <c r="M55" s="7" t="n">
        <f aca="false">COUNTIF('Mapa de Marcas'!$B:$B,$A55)</f>
        <v>4</v>
      </c>
      <c r="N55" s="7" t="n">
        <f aca="false">COUNTIFS('Mapa de Marcas'!$B:$B,$A55,'Mapa de Marcas'!$R:$R,"Lacuna")</f>
        <v>0</v>
      </c>
      <c r="O55" s="7" t="s">
        <v>1480</v>
      </c>
      <c r="P55" s="8" t="s">
        <v>3984</v>
      </c>
      <c r="Q55" s="12"/>
      <c r="R55" s="12"/>
    </row>
    <row r="56" customFormat="false" ht="35.05" hidden="false" customHeight="false" outlineLevel="0" collapsed="false">
      <c r="A56" s="14" t="s">
        <v>5015</v>
      </c>
      <c r="B56" s="17" t="s">
        <v>8203</v>
      </c>
      <c r="C56" s="18" t="s">
        <v>531</v>
      </c>
      <c r="D56" s="18" t="s">
        <v>8225</v>
      </c>
      <c r="E56" s="17" t="s">
        <v>8226</v>
      </c>
      <c r="F56" s="18" t="s">
        <v>7999</v>
      </c>
      <c r="G56" s="17" t="s">
        <v>8000</v>
      </c>
      <c r="H56" s="18" t="s">
        <v>5018</v>
      </c>
      <c r="I56" s="17" t="s">
        <v>8227</v>
      </c>
      <c r="J56" s="7"/>
      <c r="K56" s="7" t="s">
        <v>3992</v>
      </c>
      <c r="L56" s="8" t="s">
        <v>8228</v>
      </c>
      <c r="M56" s="7" t="n">
        <f aca="false">COUNTIF('Mapa de Marcas'!$B:$B,$A56)</f>
        <v>4</v>
      </c>
      <c r="N56" s="7" t="n">
        <f aca="false">COUNTIFS('Mapa de Marcas'!$B:$B,$A56,'Mapa de Marcas'!$R:$R,"Lacuna")</f>
        <v>0</v>
      </c>
      <c r="O56" s="7" t="s">
        <v>1480</v>
      </c>
      <c r="P56" s="8" t="s">
        <v>3984</v>
      </c>
      <c r="Q56" s="12"/>
      <c r="R56" s="12"/>
    </row>
    <row r="57" customFormat="false" ht="35.05" hidden="false" customHeight="false" outlineLevel="0" collapsed="false">
      <c r="A57" s="14" t="s">
        <v>5034</v>
      </c>
      <c r="B57" s="17" t="s">
        <v>8150</v>
      </c>
      <c r="C57" s="18" t="s">
        <v>536</v>
      </c>
      <c r="D57" s="18" t="s">
        <v>5035</v>
      </c>
      <c r="E57" s="17" t="s">
        <v>8229</v>
      </c>
      <c r="F57" s="18" t="s">
        <v>8206</v>
      </c>
      <c r="G57" s="17" t="s">
        <v>8000</v>
      </c>
      <c r="H57" s="18" t="s">
        <v>5037</v>
      </c>
      <c r="I57" s="17" t="s">
        <v>8230</v>
      </c>
      <c r="J57" s="7"/>
      <c r="K57" s="7" t="s">
        <v>3992</v>
      </c>
      <c r="L57" s="8" t="s">
        <v>5039</v>
      </c>
      <c r="M57" s="7" t="n">
        <f aca="false">COUNTIF('Mapa de Marcas'!$B:$B,$A57)</f>
        <v>2</v>
      </c>
      <c r="N57" s="7" t="n">
        <f aca="false">COUNTIFS('Mapa de Marcas'!$B:$B,$A57,'Mapa de Marcas'!$R:$R,"Lacuna")</f>
        <v>0</v>
      </c>
      <c r="O57" s="7" t="s">
        <v>1480</v>
      </c>
      <c r="P57" s="8" t="s">
        <v>3984</v>
      </c>
      <c r="Q57" s="12"/>
      <c r="R57" s="12"/>
    </row>
    <row r="58" customFormat="false" ht="35.05" hidden="false" customHeight="false" outlineLevel="0" collapsed="false">
      <c r="A58" s="14" t="s">
        <v>5044</v>
      </c>
      <c r="B58" s="17" t="s">
        <v>8150</v>
      </c>
      <c r="C58" s="18" t="s">
        <v>536</v>
      </c>
      <c r="D58" s="18" t="s">
        <v>5045</v>
      </c>
      <c r="E58" s="17" t="s">
        <v>8231</v>
      </c>
      <c r="F58" s="18" t="s">
        <v>8206</v>
      </c>
      <c r="G58" s="17" t="s">
        <v>8000</v>
      </c>
      <c r="H58" s="18" t="s">
        <v>5047</v>
      </c>
      <c r="I58" s="17" t="s">
        <v>8232</v>
      </c>
      <c r="J58" s="7"/>
      <c r="K58" s="7" t="s">
        <v>3992</v>
      </c>
      <c r="L58" s="8" t="s">
        <v>5049</v>
      </c>
      <c r="M58" s="7" t="n">
        <f aca="false">COUNTIF('Mapa de Marcas'!$B:$B,$A58)</f>
        <v>2</v>
      </c>
      <c r="N58" s="7" t="n">
        <f aca="false">COUNTIFS('Mapa de Marcas'!$B:$B,$A58,'Mapa de Marcas'!$R:$R,"Lacuna")</f>
        <v>0</v>
      </c>
      <c r="O58" s="7" t="s">
        <v>1480</v>
      </c>
      <c r="P58" s="8" t="s">
        <v>3984</v>
      </c>
      <c r="Q58" s="12"/>
      <c r="R58" s="12"/>
    </row>
    <row r="59" customFormat="false" ht="35.05" hidden="false" customHeight="false" outlineLevel="0" collapsed="false">
      <c r="A59" s="14" t="s">
        <v>5053</v>
      </c>
      <c r="B59" s="17" t="s">
        <v>8150</v>
      </c>
      <c r="C59" s="18" t="s">
        <v>536</v>
      </c>
      <c r="D59" s="18" t="s">
        <v>5054</v>
      </c>
      <c r="E59" s="17" t="s">
        <v>8233</v>
      </c>
      <c r="F59" s="18" t="s">
        <v>8206</v>
      </c>
      <c r="G59" s="17" t="s">
        <v>8000</v>
      </c>
      <c r="H59" s="18" t="s">
        <v>5056</v>
      </c>
      <c r="I59" s="17" t="s">
        <v>8234</v>
      </c>
      <c r="J59" s="7"/>
      <c r="K59" s="7" t="s">
        <v>3992</v>
      </c>
      <c r="L59" s="8" t="s">
        <v>5058</v>
      </c>
      <c r="M59" s="7" t="n">
        <f aca="false">COUNTIF('Mapa de Marcas'!$B:$B,$A59)</f>
        <v>2</v>
      </c>
      <c r="N59" s="7" t="n">
        <f aca="false">COUNTIFS('Mapa de Marcas'!$B:$B,$A59,'Mapa de Marcas'!$R:$R,"Lacuna")</f>
        <v>0</v>
      </c>
      <c r="O59" s="7" t="s">
        <v>1480</v>
      </c>
      <c r="P59" s="8" t="s">
        <v>3984</v>
      </c>
      <c r="Q59" s="12"/>
      <c r="R59" s="12"/>
    </row>
    <row r="60" customFormat="false" ht="23.85" hidden="false" customHeight="false" outlineLevel="0" collapsed="false">
      <c r="A60" s="14" t="s">
        <v>5064</v>
      </c>
      <c r="B60" s="17" t="s">
        <v>8235</v>
      </c>
      <c r="C60" s="18" t="s">
        <v>551</v>
      </c>
      <c r="D60" s="18" t="s">
        <v>8236</v>
      </c>
      <c r="E60" s="17" t="s">
        <v>8237</v>
      </c>
      <c r="F60" s="18" t="s">
        <v>7999</v>
      </c>
      <c r="G60" s="17" t="s">
        <v>8238</v>
      </c>
      <c r="H60" s="18" t="s">
        <v>5068</v>
      </c>
      <c r="I60" s="17" t="s">
        <v>8239</v>
      </c>
      <c r="J60" s="7"/>
      <c r="K60" s="7" t="s">
        <v>5066</v>
      </c>
      <c r="L60" s="8" t="s">
        <v>8240</v>
      </c>
      <c r="M60" s="7" t="n">
        <f aca="false">COUNTIF('Mapa de Marcas'!$B:$B,$A60)</f>
        <v>4</v>
      </c>
      <c r="N60" s="7" t="n">
        <f aca="false">COUNTIFS('Mapa de Marcas'!$B:$B,$A60,'Mapa de Marcas'!$R:$R,"Lacuna")</f>
        <v>0</v>
      </c>
      <c r="O60" s="7" t="s">
        <v>1480</v>
      </c>
      <c r="P60" s="8" t="s">
        <v>3984</v>
      </c>
      <c r="Q60" s="12"/>
      <c r="R60" s="12"/>
    </row>
    <row r="61" customFormat="false" ht="23.85" hidden="false" customHeight="false" outlineLevel="0" collapsed="false">
      <c r="A61" s="14" t="s">
        <v>5084</v>
      </c>
      <c r="B61" s="17" t="s">
        <v>8235</v>
      </c>
      <c r="C61" s="18" t="s">
        <v>551</v>
      </c>
      <c r="D61" s="18" t="s">
        <v>8241</v>
      </c>
      <c r="E61" s="17" t="s">
        <v>8242</v>
      </c>
      <c r="F61" s="18" t="s">
        <v>7999</v>
      </c>
      <c r="G61" s="17" t="s">
        <v>8238</v>
      </c>
      <c r="H61" s="18" t="s">
        <v>5087</v>
      </c>
      <c r="I61" s="17" t="s">
        <v>8243</v>
      </c>
      <c r="J61" s="7"/>
      <c r="K61" s="7" t="s">
        <v>5066</v>
      </c>
      <c r="L61" s="8" t="s">
        <v>8244</v>
      </c>
      <c r="M61" s="7" t="n">
        <f aca="false">COUNTIF('Mapa de Marcas'!$B:$B,$A61)</f>
        <v>4</v>
      </c>
      <c r="N61" s="7" t="n">
        <f aca="false">COUNTIFS('Mapa de Marcas'!$B:$B,$A61,'Mapa de Marcas'!$R:$R,"Lacuna")</f>
        <v>0</v>
      </c>
      <c r="O61" s="7" t="s">
        <v>1183</v>
      </c>
      <c r="P61" s="8" t="s">
        <v>3984</v>
      </c>
      <c r="Q61" s="12"/>
      <c r="R61" s="12"/>
    </row>
    <row r="62" customFormat="false" ht="23.85" hidden="false" customHeight="false" outlineLevel="0" collapsed="false">
      <c r="A62" s="14" t="s">
        <v>5101</v>
      </c>
      <c r="B62" s="17" t="s">
        <v>8235</v>
      </c>
      <c r="C62" s="18" t="s">
        <v>551</v>
      </c>
      <c r="D62" s="18" t="s">
        <v>8245</v>
      </c>
      <c r="E62" s="17" t="s">
        <v>8246</v>
      </c>
      <c r="F62" s="18" t="s">
        <v>7999</v>
      </c>
      <c r="G62" s="17" t="s">
        <v>8238</v>
      </c>
      <c r="H62" s="18" t="s">
        <v>5104</v>
      </c>
      <c r="I62" s="17" t="s">
        <v>8247</v>
      </c>
      <c r="J62" s="7"/>
      <c r="K62" s="7" t="s">
        <v>5066</v>
      </c>
      <c r="L62" s="8" t="s">
        <v>8248</v>
      </c>
      <c r="M62" s="7" t="n">
        <f aca="false">COUNTIF('Mapa de Marcas'!$B:$B,$A62)</f>
        <v>4</v>
      </c>
      <c r="N62" s="7" t="n">
        <f aca="false">COUNTIFS('Mapa de Marcas'!$B:$B,$A62,'Mapa de Marcas'!$R:$R,"Lacuna")</f>
        <v>0</v>
      </c>
      <c r="O62" s="7" t="s">
        <v>1480</v>
      </c>
      <c r="P62" s="8" t="s">
        <v>3984</v>
      </c>
      <c r="Q62" s="12"/>
      <c r="R62" s="12"/>
    </row>
    <row r="63" customFormat="false" ht="23.85" hidden="false" customHeight="false" outlineLevel="0" collapsed="false">
      <c r="A63" s="14" t="s">
        <v>5118</v>
      </c>
      <c r="B63" s="17" t="s">
        <v>8235</v>
      </c>
      <c r="C63" s="18" t="s">
        <v>551</v>
      </c>
      <c r="D63" s="18" t="s">
        <v>8249</v>
      </c>
      <c r="E63" s="17" t="s">
        <v>8250</v>
      </c>
      <c r="F63" s="18" t="s">
        <v>7999</v>
      </c>
      <c r="G63" s="17" t="s">
        <v>8238</v>
      </c>
      <c r="H63" s="18" t="s">
        <v>5121</v>
      </c>
      <c r="I63" s="17" t="s">
        <v>8251</v>
      </c>
      <c r="J63" s="7"/>
      <c r="K63" s="7" t="s">
        <v>5066</v>
      </c>
      <c r="L63" s="8" t="s">
        <v>8252</v>
      </c>
      <c r="M63" s="7" t="n">
        <f aca="false">COUNTIF('Mapa de Marcas'!$B:$B,$A63)</f>
        <v>4</v>
      </c>
      <c r="N63" s="7" t="n">
        <f aca="false">COUNTIFS('Mapa de Marcas'!$B:$B,$A63,'Mapa de Marcas'!$R:$R,"Lacuna")</f>
        <v>0</v>
      </c>
      <c r="O63" s="7" t="s">
        <v>1183</v>
      </c>
      <c r="P63" s="8" t="s">
        <v>3984</v>
      </c>
      <c r="Q63" s="12"/>
      <c r="R63" s="12"/>
    </row>
    <row r="64" customFormat="false" ht="23.85" hidden="false" customHeight="false" outlineLevel="0" collapsed="false">
      <c r="A64" s="14" t="s">
        <v>5137</v>
      </c>
      <c r="B64" s="17" t="s">
        <v>8235</v>
      </c>
      <c r="C64" s="18" t="s">
        <v>556</v>
      </c>
      <c r="D64" s="18" t="s">
        <v>8253</v>
      </c>
      <c r="E64" s="17" t="s">
        <v>8254</v>
      </c>
      <c r="F64" s="18" t="s">
        <v>7999</v>
      </c>
      <c r="G64" s="17" t="s">
        <v>8238</v>
      </c>
      <c r="H64" s="18" t="s">
        <v>5140</v>
      </c>
      <c r="I64" s="17" t="s">
        <v>8255</v>
      </c>
      <c r="J64" s="7"/>
      <c r="K64" s="7" t="s">
        <v>5066</v>
      </c>
      <c r="L64" s="8" t="s">
        <v>8256</v>
      </c>
      <c r="M64" s="7" t="n">
        <f aca="false">COUNTIF('Mapa de Marcas'!$B:$B,$A64)</f>
        <v>3</v>
      </c>
      <c r="N64" s="7" t="n">
        <f aca="false">COUNTIFS('Mapa de Marcas'!$B:$B,$A64,'Mapa de Marcas'!$R:$R,"Lacuna")</f>
        <v>0</v>
      </c>
      <c r="O64" s="7" t="s">
        <v>1183</v>
      </c>
      <c r="P64" s="8" t="s">
        <v>3984</v>
      </c>
      <c r="Q64" s="12"/>
      <c r="R64" s="12"/>
    </row>
    <row r="65" customFormat="false" ht="23.85" hidden="false" customHeight="false" outlineLevel="0" collapsed="false">
      <c r="A65" s="14" t="s">
        <v>5152</v>
      </c>
      <c r="B65" s="17" t="s">
        <v>8235</v>
      </c>
      <c r="C65" s="18" t="s">
        <v>556</v>
      </c>
      <c r="D65" s="18" t="s">
        <v>8257</v>
      </c>
      <c r="E65" s="17" t="s">
        <v>8258</v>
      </c>
      <c r="F65" s="18" t="s">
        <v>7999</v>
      </c>
      <c r="G65" s="17" t="s">
        <v>8238</v>
      </c>
      <c r="H65" s="18" t="s">
        <v>5155</v>
      </c>
      <c r="I65" s="17" t="s">
        <v>8259</v>
      </c>
      <c r="J65" s="7"/>
      <c r="K65" s="7" t="s">
        <v>5066</v>
      </c>
      <c r="L65" s="8" t="s">
        <v>8260</v>
      </c>
      <c r="M65" s="7" t="n">
        <f aca="false">COUNTIF('Mapa de Marcas'!$B:$B,$A65)</f>
        <v>3</v>
      </c>
      <c r="N65" s="7" t="n">
        <f aca="false">COUNTIFS('Mapa de Marcas'!$B:$B,$A65,'Mapa de Marcas'!$R:$R,"Lacuna")</f>
        <v>0</v>
      </c>
      <c r="O65" s="7" t="s">
        <v>1480</v>
      </c>
      <c r="P65" s="8" t="s">
        <v>3984</v>
      </c>
      <c r="Q65" s="12"/>
      <c r="R65" s="12"/>
    </row>
    <row r="66" customFormat="false" ht="23.85" hidden="false" customHeight="false" outlineLevel="0" collapsed="false">
      <c r="A66" s="14" t="s">
        <v>5165</v>
      </c>
      <c r="B66" s="17" t="s">
        <v>8235</v>
      </c>
      <c r="C66" s="18" t="s">
        <v>556</v>
      </c>
      <c r="D66" s="18" t="s">
        <v>8261</v>
      </c>
      <c r="E66" s="17" t="s">
        <v>8262</v>
      </c>
      <c r="F66" s="18" t="s">
        <v>7999</v>
      </c>
      <c r="G66" s="17" t="s">
        <v>8238</v>
      </c>
      <c r="H66" s="18" t="s">
        <v>5168</v>
      </c>
      <c r="I66" s="17" t="s">
        <v>8263</v>
      </c>
      <c r="J66" s="7"/>
      <c r="K66" s="7" t="s">
        <v>5066</v>
      </c>
      <c r="L66" s="8" t="s">
        <v>8264</v>
      </c>
      <c r="M66" s="7" t="n">
        <f aca="false">COUNTIF('Mapa de Marcas'!$B:$B,$A66)</f>
        <v>3</v>
      </c>
      <c r="N66" s="7" t="n">
        <f aca="false">COUNTIFS('Mapa de Marcas'!$B:$B,$A66,'Mapa de Marcas'!$R:$R,"Lacuna")</f>
        <v>0</v>
      </c>
      <c r="O66" s="7" t="s">
        <v>1480</v>
      </c>
      <c r="P66" s="8" t="s">
        <v>3984</v>
      </c>
      <c r="Q66" s="12"/>
      <c r="R66" s="12"/>
    </row>
    <row r="67" customFormat="false" ht="23.85" hidden="false" customHeight="false" outlineLevel="0" collapsed="false">
      <c r="A67" s="14" t="s">
        <v>5178</v>
      </c>
      <c r="B67" s="17" t="s">
        <v>8235</v>
      </c>
      <c r="C67" s="18" t="s">
        <v>556</v>
      </c>
      <c r="D67" s="18" t="s">
        <v>8265</v>
      </c>
      <c r="E67" s="17" t="s">
        <v>8266</v>
      </c>
      <c r="F67" s="18" t="s">
        <v>7999</v>
      </c>
      <c r="G67" s="17" t="s">
        <v>8238</v>
      </c>
      <c r="H67" s="18" t="s">
        <v>5181</v>
      </c>
      <c r="I67" s="17" t="s">
        <v>8267</v>
      </c>
      <c r="J67" s="7"/>
      <c r="K67" s="7" t="s">
        <v>5066</v>
      </c>
      <c r="L67" s="8" t="s">
        <v>8268</v>
      </c>
      <c r="M67" s="7" t="n">
        <f aca="false">COUNTIF('Mapa de Marcas'!$B:$B,$A67)</f>
        <v>3</v>
      </c>
      <c r="N67" s="7" t="n">
        <f aca="false">COUNTIFS('Mapa de Marcas'!$B:$B,$A67,'Mapa de Marcas'!$R:$R,"Lacuna")</f>
        <v>0</v>
      </c>
      <c r="O67" s="7" t="s">
        <v>1480</v>
      </c>
      <c r="P67" s="8" t="s">
        <v>3984</v>
      </c>
      <c r="Q67" s="12"/>
      <c r="R67" s="12"/>
    </row>
    <row r="68" customFormat="false" ht="23.85" hidden="false" customHeight="false" outlineLevel="0" collapsed="false">
      <c r="A68" s="14" t="s">
        <v>5191</v>
      </c>
      <c r="B68" s="17" t="s">
        <v>8235</v>
      </c>
      <c r="C68" s="18" t="s">
        <v>556</v>
      </c>
      <c r="D68" s="18" t="s">
        <v>8269</v>
      </c>
      <c r="E68" s="17" t="s">
        <v>8270</v>
      </c>
      <c r="F68" s="18" t="s">
        <v>7999</v>
      </c>
      <c r="G68" s="17" t="s">
        <v>8238</v>
      </c>
      <c r="H68" s="18" t="s">
        <v>5194</v>
      </c>
      <c r="I68" s="17" t="s">
        <v>8271</v>
      </c>
      <c r="J68" s="7"/>
      <c r="K68" s="7" t="s">
        <v>5066</v>
      </c>
      <c r="L68" s="8" t="s">
        <v>8272</v>
      </c>
      <c r="M68" s="7" t="n">
        <f aca="false">COUNTIF('Mapa de Marcas'!$B:$B,$A68)</f>
        <v>3</v>
      </c>
      <c r="N68" s="7" t="n">
        <f aca="false">COUNTIFS('Mapa de Marcas'!$B:$B,$A68,'Mapa de Marcas'!$R:$R,"Lacuna")</f>
        <v>0</v>
      </c>
      <c r="O68" s="7" t="s">
        <v>1480</v>
      </c>
      <c r="P68" s="8" t="s">
        <v>3984</v>
      </c>
      <c r="Q68" s="12"/>
      <c r="R68" s="12"/>
    </row>
    <row r="69" customFormat="false" ht="23.85" hidden="false" customHeight="false" outlineLevel="0" collapsed="false">
      <c r="A69" s="14" t="s">
        <v>5204</v>
      </c>
      <c r="B69" s="17" t="s">
        <v>8235</v>
      </c>
      <c r="C69" s="18" t="s">
        <v>556</v>
      </c>
      <c r="D69" s="18" t="s">
        <v>8273</v>
      </c>
      <c r="E69" s="17" t="s">
        <v>8274</v>
      </c>
      <c r="F69" s="18" t="s">
        <v>7999</v>
      </c>
      <c r="G69" s="17" t="s">
        <v>8238</v>
      </c>
      <c r="H69" s="18" t="s">
        <v>5207</v>
      </c>
      <c r="I69" s="17" t="s">
        <v>8275</v>
      </c>
      <c r="J69" s="7"/>
      <c r="K69" s="7" t="s">
        <v>5066</v>
      </c>
      <c r="L69" s="8" t="s">
        <v>8276</v>
      </c>
      <c r="M69" s="7" t="n">
        <f aca="false">COUNTIF('Mapa de Marcas'!$B:$B,$A69)</f>
        <v>3</v>
      </c>
      <c r="N69" s="7" t="n">
        <f aca="false">COUNTIFS('Mapa de Marcas'!$B:$B,$A69,'Mapa de Marcas'!$R:$R,"Lacuna")</f>
        <v>0</v>
      </c>
      <c r="O69" s="7" t="s">
        <v>1480</v>
      </c>
      <c r="P69" s="8" t="s">
        <v>3984</v>
      </c>
      <c r="Q69" s="12"/>
      <c r="R69" s="12"/>
    </row>
    <row r="70" customFormat="false" ht="23.85" hidden="false" customHeight="false" outlineLevel="0" collapsed="false">
      <c r="A70" s="14" t="s">
        <v>5217</v>
      </c>
      <c r="B70" s="17" t="s">
        <v>8235</v>
      </c>
      <c r="C70" s="18" t="s">
        <v>556</v>
      </c>
      <c r="D70" s="18" t="s">
        <v>8277</v>
      </c>
      <c r="E70" s="17" t="s">
        <v>8278</v>
      </c>
      <c r="F70" s="18" t="s">
        <v>7999</v>
      </c>
      <c r="G70" s="17" t="s">
        <v>8238</v>
      </c>
      <c r="H70" s="18" t="s">
        <v>5220</v>
      </c>
      <c r="I70" s="17" t="s">
        <v>8279</v>
      </c>
      <c r="J70" s="7"/>
      <c r="K70" s="7" t="s">
        <v>5066</v>
      </c>
      <c r="L70" s="8" t="s">
        <v>8280</v>
      </c>
      <c r="M70" s="7" t="n">
        <f aca="false">COUNTIF('Mapa de Marcas'!$B:$B,$A70)</f>
        <v>3</v>
      </c>
      <c r="N70" s="7" t="n">
        <f aca="false">COUNTIFS('Mapa de Marcas'!$B:$B,$A70,'Mapa de Marcas'!$R:$R,"Lacuna")</f>
        <v>0</v>
      </c>
      <c r="O70" s="7" t="s">
        <v>1480</v>
      </c>
      <c r="P70" s="8" t="s">
        <v>3984</v>
      </c>
      <c r="Q70" s="12"/>
      <c r="R70" s="12"/>
    </row>
    <row r="71" customFormat="false" ht="23.85" hidden="false" customHeight="false" outlineLevel="0" collapsed="false">
      <c r="A71" s="14" t="s">
        <v>5230</v>
      </c>
      <c r="B71" s="17" t="s">
        <v>8235</v>
      </c>
      <c r="C71" s="18" t="s">
        <v>556</v>
      </c>
      <c r="D71" s="18" t="s">
        <v>8281</v>
      </c>
      <c r="E71" s="17" t="s">
        <v>8282</v>
      </c>
      <c r="F71" s="18" t="s">
        <v>7999</v>
      </c>
      <c r="G71" s="17" t="s">
        <v>8238</v>
      </c>
      <c r="H71" s="18" t="s">
        <v>5233</v>
      </c>
      <c r="I71" s="17" t="s">
        <v>8283</v>
      </c>
      <c r="J71" s="7"/>
      <c r="K71" s="7" t="s">
        <v>5066</v>
      </c>
      <c r="L71" s="8" t="s">
        <v>8284</v>
      </c>
      <c r="M71" s="7" t="n">
        <f aca="false">COUNTIF('Mapa de Marcas'!$B:$B,$A71)</f>
        <v>3</v>
      </c>
      <c r="N71" s="7" t="n">
        <f aca="false">COUNTIFS('Mapa de Marcas'!$B:$B,$A71,'Mapa de Marcas'!$R:$R,"Lacuna")</f>
        <v>0</v>
      </c>
      <c r="O71" s="7" t="s">
        <v>1480</v>
      </c>
      <c r="P71" s="8" t="s">
        <v>3984</v>
      </c>
      <c r="Q71" s="12"/>
      <c r="R71" s="12"/>
    </row>
    <row r="72" customFormat="false" ht="23.85" hidden="false" customHeight="false" outlineLevel="0" collapsed="false">
      <c r="A72" s="14" t="s">
        <v>5245</v>
      </c>
      <c r="B72" s="17" t="s">
        <v>8235</v>
      </c>
      <c r="C72" s="18" t="s">
        <v>561</v>
      </c>
      <c r="D72" s="18" t="s">
        <v>8285</v>
      </c>
      <c r="E72" s="17" t="s">
        <v>8286</v>
      </c>
      <c r="F72" s="18" t="s">
        <v>7999</v>
      </c>
      <c r="G72" s="17" t="s">
        <v>8238</v>
      </c>
      <c r="H72" s="18" t="s">
        <v>5248</v>
      </c>
      <c r="I72" s="17" t="s">
        <v>8287</v>
      </c>
      <c r="J72" s="7"/>
      <c r="K72" s="7" t="s">
        <v>5066</v>
      </c>
      <c r="L72" s="8" t="s">
        <v>8288</v>
      </c>
      <c r="M72" s="7" t="n">
        <f aca="false">COUNTIF('Mapa de Marcas'!$B:$B,$A72)</f>
        <v>3</v>
      </c>
      <c r="N72" s="7" t="n">
        <f aca="false">COUNTIFS('Mapa de Marcas'!$B:$B,$A72,'Mapa de Marcas'!$R:$R,"Lacuna")</f>
        <v>0</v>
      </c>
      <c r="O72" s="7" t="s">
        <v>1183</v>
      </c>
      <c r="P72" s="8" t="s">
        <v>3984</v>
      </c>
      <c r="Q72" s="12"/>
      <c r="R72" s="12"/>
    </row>
    <row r="73" customFormat="false" ht="23.85" hidden="false" customHeight="false" outlineLevel="0" collapsed="false">
      <c r="A73" s="14" t="s">
        <v>5259</v>
      </c>
      <c r="B73" s="17" t="s">
        <v>8235</v>
      </c>
      <c r="C73" s="18" t="s">
        <v>561</v>
      </c>
      <c r="D73" s="18" t="s">
        <v>8289</v>
      </c>
      <c r="E73" s="17" t="s">
        <v>8290</v>
      </c>
      <c r="F73" s="18" t="s">
        <v>7999</v>
      </c>
      <c r="G73" s="17" t="s">
        <v>8238</v>
      </c>
      <c r="H73" s="18" t="s">
        <v>5262</v>
      </c>
      <c r="I73" s="17" t="s">
        <v>8291</v>
      </c>
      <c r="J73" s="7"/>
      <c r="K73" s="7" t="s">
        <v>5066</v>
      </c>
      <c r="L73" s="8" t="s">
        <v>8292</v>
      </c>
      <c r="M73" s="7" t="n">
        <f aca="false">COUNTIF('Mapa de Marcas'!$B:$B,$A73)</f>
        <v>3</v>
      </c>
      <c r="N73" s="7" t="n">
        <f aca="false">COUNTIFS('Mapa de Marcas'!$B:$B,$A73,'Mapa de Marcas'!$R:$R,"Lacuna")</f>
        <v>0</v>
      </c>
      <c r="O73" s="7" t="s">
        <v>1480</v>
      </c>
      <c r="P73" s="8" t="s">
        <v>3984</v>
      </c>
      <c r="Q73" s="12"/>
      <c r="R73" s="12"/>
    </row>
    <row r="74" customFormat="false" ht="23.85" hidden="false" customHeight="false" outlineLevel="0" collapsed="false">
      <c r="A74" s="14" t="s">
        <v>5272</v>
      </c>
      <c r="B74" s="17" t="s">
        <v>8235</v>
      </c>
      <c r="C74" s="18" t="s">
        <v>561</v>
      </c>
      <c r="D74" s="18" t="s">
        <v>8293</v>
      </c>
      <c r="E74" s="17" t="s">
        <v>8294</v>
      </c>
      <c r="F74" s="18" t="s">
        <v>7999</v>
      </c>
      <c r="G74" s="17" t="s">
        <v>8238</v>
      </c>
      <c r="H74" s="18" t="s">
        <v>5275</v>
      </c>
      <c r="I74" s="17" t="s">
        <v>8295</v>
      </c>
      <c r="J74" s="7"/>
      <c r="K74" s="7" t="s">
        <v>5066</v>
      </c>
      <c r="L74" s="8" t="s">
        <v>8296</v>
      </c>
      <c r="M74" s="7" t="n">
        <f aca="false">COUNTIF('Mapa de Marcas'!$B:$B,$A74)</f>
        <v>3</v>
      </c>
      <c r="N74" s="7" t="n">
        <f aca="false">COUNTIFS('Mapa de Marcas'!$B:$B,$A74,'Mapa de Marcas'!$R:$R,"Lacuna")</f>
        <v>0</v>
      </c>
      <c r="O74" s="7" t="s">
        <v>1480</v>
      </c>
      <c r="P74" s="8" t="s">
        <v>3984</v>
      </c>
      <c r="Q74" s="12"/>
      <c r="R74" s="12"/>
    </row>
    <row r="75" customFormat="false" ht="35.05" hidden="false" customHeight="false" outlineLevel="0" collapsed="false">
      <c r="A75" s="14" t="s">
        <v>5287</v>
      </c>
      <c r="B75" s="17" t="s">
        <v>8297</v>
      </c>
      <c r="C75" s="18" t="s">
        <v>566</v>
      </c>
      <c r="D75" s="18" t="s">
        <v>8298</v>
      </c>
      <c r="E75" s="17" t="s">
        <v>8299</v>
      </c>
      <c r="F75" s="18" t="s">
        <v>7999</v>
      </c>
      <c r="G75" s="17" t="s">
        <v>8238</v>
      </c>
      <c r="H75" s="18" t="s">
        <v>5290</v>
      </c>
      <c r="I75" s="17" t="s">
        <v>8300</v>
      </c>
      <c r="J75" s="7" t="s">
        <v>8301</v>
      </c>
      <c r="K75" s="7" t="s">
        <v>5066</v>
      </c>
      <c r="L75" s="8" t="s">
        <v>8302</v>
      </c>
      <c r="M75" s="7" t="n">
        <f aca="false">COUNTIF('Mapa de Marcas'!$B:$B,$A75)</f>
        <v>9</v>
      </c>
      <c r="N75" s="7" t="n">
        <f aca="false">COUNTIFS('Mapa de Marcas'!$B:$B,$A75,'Mapa de Marcas'!$R:$R,"Lacuna")</f>
        <v>1</v>
      </c>
      <c r="O75" s="7" t="s">
        <v>1480</v>
      </c>
      <c r="P75" s="8" t="s">
        <v>3984</v>
      </c>
      <c r="Q75" s="12"/>
      <c r="R75" s="12"/>
    </row>
    <row r="76" customFormat="false" ht="23.85" hidden="false" customHeight="false" outlineLevel="0" collapsed="false">
      <c r="A76" s="14" t="s">
        <v>5302</v>
      </c>
      <c r="B76" s="17" t="s">
        <v>8235</v>
      </c>
      <c r="C76" s="18" t="s">
        <v>566</v>
      </c>
      <c r="D76" s="18" t="s">
        <v>8303</v>
      </c>
      <c r="E76" s="17" t="s">
        <v>8304</v>
      </c>
      <c r="F76" s="18" t="s">
        <v>7999</v>
      </c>
      <c r="G76" s="17" t="s">
        <v>8238</v>
      </c>
      <c r="H76" s="18" t="s">
        <v>5305</v>
      </c>
      <c r="I76" s="17" t="s">
        <v>8305</v>
      </c>
      <c r="J76" s="7"/>
      <c r="K76" s="7" t="s">
        <v>5066</v>
      </c>
      <c r="L76" s="8" t="s">
        <v>8306</v>
      </c>
      <c r="M76" s="7" t="n">
        <f aca="false">COUNTIF('Mapa de Marcas'!$B:$B,$A76)</f>
        <v>3</v>
      </c>
      <c r="N76" s="7" t="n">
        <f aca="false">COUNTIFS('Mapa de Marcas'!$B:$B,$A76,'Mapa de Marcas'!$R:$R,"Lacuna")</f>
        <v>0</v>
      </c>
      <c r="O76" s="7" t="s">
        <v>1480</v>
      </c>
      <c r="P76" s="8" t="s">
        <v>3984</v>
      </c>
      <c r="Q76" s="12"/>
      <c r="R76" s="12"/>
    </row>
    <row r="77" customFormat="false" ht="23.85" hidden="false" customHeight="false" outlineLevel="0" collapsed="false">
      <c r="A77" s="14" t="s">
        <v>5315</v>
      </c>
      <c r="B77" s="17" t="s">
        <v>8235</v>
      </c>
      <c r="C77" s="18" t="s">
        <v>566</v>
      </c>
      <c r="D77" s="18" t="s">
        <v>8307</v>
      </c>
      <c r="E77" s="17" t="s">
        <v>8308</v>
      </c>
      <c r="F77" s="18" t="s">
        <v>7999</v>
      </c>
      <c r="G77" s="17" t="s">
        <v>8238</v>
      </c>
      <c r="H77" s="18" t="s">
        <v>5318</v>
      </c>
      <c r="I77" s="17" t="s">
        <v>8309</v>
      </c>
      <c r="J77" s="7"/>
      <c r="K77" s="7" t="s">
        <v>5066</v>
      </c>
      <c r="L77" s="8" t="s">
        <v>8310</v>
      </c>
      <c r="M77" s="7" t="n">
        <f aca="false">COUNTIF('Mapa de Marcas'!$B:$B,$A77)</f>
        <v>3</v>
      </c>
      <c r="N77" s="7" t="n">
        <f aca="false">COUNTIFS('Mapa de Marcas'!$B:$B,$A77,'Mapa de Marcas'!$R:$R,"Lacuna")</f>
        <v>0</v>
      </c>
      <c r="O77" s="7" t="s">
        <v>1480</v>
      </c>
      <c r="P77" s="8" t="s">
        <v>3984</v>
      </c>
      <c r="Q77" s="12"/>
      <c r="R77" s="12"/>
    </row>
    <row r="78" customFormat="false" ht="23.85" hidden="false" customHeight="false" outlineLevel="0" collapsed="false">
      <c r="A78" s="14" t="s">
        <v>5342</v>
      </c>
      <c r="B78" s="17" t="s">
        <v>8311</v>
      </c>
      <c r="C78" s="18" t="s">
        <v>571</v>
      </c>
      <c r="D78" s="18" t="s">
        <v>8312</v>
      </c>
      <c r="E78" s="17" t="s">
        <v>8313</v>
      </c>
      <c r="F78" s="18" t="s">
        <v>7999</v>
      </c>
      <c r="G78" s="17" t="s">
        <v>8238</v>
      </c>
      <c r="H78" s="18" t="s">
        <v>5345</v>
      </c>
      <c r="I78" s="17" t="s">
        <v>8314</v>
      </c>
      <c r="J78" s="7"/>
      <c r="K78" s="7" t="s">
        <v>5066</v>
      </c>
      <c r="L78" s="8" t="s">
        <v>8315</v>
      </c>
      <c r="M78" s="7" t="n">
        <f aca="false">COUNTIF('Mapa de Marcas'!$B:$B,$A78)</f>
        <v>3</v>
      </c>
      <c r="N78" s="7" t="n">
        <f aca="false">COUNTIFS('Mapa de Marcas'!$B:$B,$A78,'Mapa de Marcas'!$R:$R,"Lacuna")</f>
        <v>1</v>
      </c>
      <c r="O78" s="7" t="s">
        <v>1480</v>
      </c>
      <c r="P78" s="8" t="s">
        <v>3984</v>
      </c>
      <c r="Q78" s="12"/>
      <c r="R78" s="12"/>
    </row>
    <row r="79" customFormat="false" ht="23.85" hidden="false" customHeight="false" outlineLevel="0" collapsed="false">
      <c r="A79" s="14" t="s">
        <v>5355</v>
      </c>
      <c r="B79" s="17" t="s">
        <v>8311</v>
      </c>
      <c r="C79" s="18" t="s">
        <v>571</v>
      </c>
      <c r="D79" s="18" t="s">
        <v>8316</v>
      </c>
      <c r="E79" s="17" t="s">
        <v>8317</v>
      </c>
      <c r="F79" s="18" t="s">
        <v>7999</v>
      </c>
      <c r="G79" s="17" t="s">
        <v>8238</v>
      </c>
      <c r="H79" s="18" t="s">
        <v>5358</v>
      </c>
      <c r="I79" s="17" t="s">
        <v>8318</v>
      </c>
      <c r="J79" s="7"/>
      <c r="K79" s="7" t="s">
        <v>5066</v>
      </c>
      <c r="L79" s="8" t="s">
        <v>8319</v>
      </c>
      <c r="M79" s="7" t="n">
        <f aca="false">COUNTIF('Mapa de Marcas'!$B:$B,$A79)</f>
        <v>3</v>
      </c>
      <c r="N79" s="7" t="n">
        <f aca="false">COUNTIFS('Mapa de Marcas'!$B:$B,$A79,'Mapa de Marcas'!$R:$R,"Lacuna")</f>
        <v>1</v>
      </c>
      <c r="O79" s="7" t="s">
        <v>1480</v>
      </c>
      <c r="P79" s="8" t="s">
        <v>3984</v>
      </c>
      <c r="Q79" s="12"/>
      <c r="R79" s="12"/>
    </row>
    <row r="80" customFormat="false" ht="23.85" hidden="false" customHeight="false" outlineLevel="0" collapsed="false">
      <c r="A80" s="14" t="s">
        <v>5368</v>
      </c>
      <c r="B80" s="17" t="s">
        <v>8311</v>
      </c>
      <c r="C80" s="18" t="s">
        <v>571</v>
      </c>
      <c r="D80" s="18" t="s">
        <v>8320</v>
      </c>
      <c r="E80" s="17" t="s">
        <v>8321</v>
      </c>
      <c r="F80" s="18" t="s">
        <v>7999</v>
      </c>
      <c r="G80" s="17" t="s">
        <v>8238</v>
      </c>
      <c r="H80" s="18" t="s">
        <v>5371</v>
      </c>
      <c r="I80" s="17" t="s">
        <v>8322</v>
      </c>
      <c r="J80" s="7"/>
      <c r="K80" s="7" t="s">
        <v>5066</v>
      </c>
      <c r="L80" s="8" t="s">
        <v>8323</v>
      </c>
      <c r="M80" s="7" t="n">
        <f aca="false">COUNTIF('Mapa de Marcas'!$B:$B,$A80)</f>
        <v>3</v>
      </c>
      <c r="N80" s="7" t="n">
        <f aca="false">COUNTIFS('Mapa de Marcas'!$B:$B,$A80,'Mapa de Marcas'!$R:$R,"Lacuna")</f>
        <v>1</v>
      </c>
      <c r="O80" s="7" t="s">
        <v>1480</v>
      </c>
      <c r="P80" s="8" t="s">
        <v>3984</v>
      </c>
      <c r="Q80" s="12"/>
      <c r="R80" s="12"/>
    </row>
    <row r="81" customFormat="false" ht="23.85" hidden="false" customHeight="false" outlineLevel="0" collapsed="false">
      <c r="A81" s="14" t="s">
        <v>5381</v>
      </c>
      <c r="B81" s="17" t="s">
        <v>8311</v>
      </c>
      <c r="C81" s="18" t="s">
        <v>571</v>
      </c>
      <c r="D81" s="18" t="s">
        <v>8324</v>
      </c>
      <c r="E81" s="17" t="s">
        <v>8325</v>
      </c>
      <c r="F81" s="18" t="s">
        <v>7999</v>
      </c>
      <c r="G81" s="17" t="s">
        <v>8238</v>
      </c>
      <c r="H81" s="18" t="s">
        <v>5384</v>
      </c>
      <c r="I81" s="17" t="s">
        <v>8326</v>
      </c>
      <c r="J81" s="7"/>
      <c r="K81" s="7" t="s">
        <v>5066</v>
      </c>
      <c r="L81" s="8" t="s">
        <v>8327</v>
      </c>
      <c r="M81" s="7" t="n">
        <f aca="false">COUNTIF('Mapa de Marcas'!$B:$B,$A81)</f>
        <v>3</v>
      </c>
      <c r="N81" s="7" t="n">
        <f aca="false">COUNTIFS('Mapa de Marcas'!$B:$B,$A81,'Mapa de Marcas'!$R:$R,"Lacuna")</f>
        <v>1</v>
      </c>
      <c r="O81" s="7" t="s">
        <v>1480</v>
      </c>
      <c r="P81" s="8" t="s">
        <v>3984</v>
      </c>
      <c r="Q81" s="12"/>
      <c r="R81" s="12"/>
    </row>
    <row r="82" customFormat="false" ht="23.85" hidden="false" customHeight="false" outlineLevel="0" collapsed="false">
      <c r="A82" s="14" t="s">
        <v>5396</v>
      </c>
      <c r="B82" s="17" t="s">
        <v>8235</v>
      </c>
      <c r="C82" s="18" t="s">
        <v>576</v>
      </c>
      <c r="D82" s="18" t="s">
        <v>8328</v>
      </c>
      <c r="E82" s="17" t="s">
        <v>8329</v>
      </c>
      <c r="F82" s="18" t="s">
        <v>7999</v>
      </c>
      <c r="G82" s="17" t="s">
        <v>8238</v>
      </c>
      <c r="H82" s="18" t="s">
        <v>5399</v>
      </c>
      <c r="I82" s="17" t="s">
        <v>8330</v>
      </c>
      <c r="J82" s="7"/>
      <c r="K82" s="7" t="s">
        <v>5066</v>
      </c>
      <c r="L82" s="8" t="s">
        <v>8331</v>
      </c>
      <c r="M82" s="7" t="n">
        <f aca="false">COUNTIF('Mapa de Marcas'!$B:$B,$A82)</f>
        <v>3</v>
      </c>
      <c r="N82" s="7" t="n">
        <f aca="false">COUNTIFS('Mapa de Marcas'!$B:$B,$A82,'Mapa de Marcas'!$R:$R,"Lacuna")</f>
        <v>0</v>
      </c>
      <c r="O82" s="7" t="s">
        <v>1480</v>
      </c>
      <c r="P82" s="8" t="s">
        <v>3984</v>
      </c>
      <c r="Q82" s="12"/>
      <c r="R82" s="12"/>
    </row>
    <row r="83" customFormat="false" ht="23.85" hidden="false" customHeight="false" outlineLevel="0" collapsed="false">
      <c r="A83" s="14" t="s">
        <v>5411</v>
      </c>
      <c r="B83" s="17" t="s">
        <v>8235</v>
      </c>
      <c r="C83" s="18" t="s">
        <v>576</v>
      </c>
      <c r="D83" s="18" t="s">
        <v>8332</v>
      </c>
      <c r="E83" s="17" t="s">
        <v>8333</v>
      </c>
      <c r="F83" s="18" t="s">
        <v>7999</v>
      </c>
      <c r="G83" s="17" t="s">
        <v>8238</v>
      </c>
      <c r="H83" s="18" t="s">
        <v>5414</v>
      </c>
      <c r="I83" s="17" t="s">
        <v>8334</v>
      </c>
      <c r="J83" s="7"/>
      <c r="K83" s="7" t="s">
        <v>5066</v>
      </c>
      <c r="L83" s="8" t="s">
        <v>8335</v>
      </c>
      <c r="M83" s="7" t="n">
        <f aca="false">COUNTIF('Mapa de Marcas'!$B:$B,$A83)</f>
        <v>3</v>
      </c>
      <c r="N83" s="7" t="n">
        <f aca="false">COUNTIFS('Mapa de Marcas'!$B:$B,$A83,'Mapa de Marcas'!$R:$R,"Lacuna")</f>
        <v>0</v>
      </c>
      <c r="O83" s="7" t="s">
        <v>1480</v>
      </c>
      <c r="P83" s="8" t="s">
        <v>3984</v>
      </c>
      <c r="Q83" s="12"/>
      <c r="R83" s="12"/>
    </row>
    <row r="84" customFormat="false" ht="23.85" hidden="false" customHeight="false" outlineLevel="0" collapsed="false">
      <c r="A84" s="14" t="s">
        <v>5424</v>
      </c>
      <c r="B84" s="17" t="s">
        <v>8235</v>
      </c>
      <c r="C84" s="18" t="s">
        <v>576</v>
      </c>
      <c r="D84" s="18" t="s">
        <v>8336</v>
      </c>
      <c r="E84" s="17" t="s">
        <v>8337</v>
      </c>
      <c r="F84" s="18" t="s">
        <v>7999</v>
      </c>
      <c r="G84" s="17" t="s">
        <v>8238</v>
      </c>
      <c r="H84" s="18" t="s">
        <v>5427</v>
      </c>
      <c r="I84" s="17" t="s">
        <v>8338</v>
      </c>
      <c r="J84" s="7"/>
      <c r="K84" s="7" t="s">
        <v>5066</v>
      </c>
      <c r="L84" s="8" t="s">
        <v>8339</v>
      </c>
      <c r="M84" s="7" t="n">
        <f aca="false">COUNTIF('Mapa de Marcas'!$B:$B,$A84)</f>
        <v>3</v>
      </c>
      <c r="N84" s="7" t="n">
        <f aca="false">COUNTIFS('Mapa de Marcas'!$B:$B,$A84,'Mapa de Marcas'!$R:$R,"Lacuna")</f>
        <v>0</v>
      </c>
      <c r="O84" s="7" t="s">
        <v>1480</v>
      </c>
      <c r="P84" s="8" t="s">
        <v>3984</v>
      </c>
      <c r="Q84" s="12"/>
      <c r="R84" s="12"/>
    </row>
    <row r="85" customFormat="false" ht="23.85" hidden="false" customHeight="false" outlineLevel="0" collapsed="false">
      <c r="A85" s="14" t="s">
        <v>5437</v>
      </c>
      <c r="B85" s="17" t="s">
        <v>8235</v>
      </c>
      <c r="C85" s="18" t="s">
        <v>576</v>
      </c>
      <c r="D85" s="18" t="s">
        <v>8340</v>
      </c>
      <c r="E85" s="17" t="s">
        <v>8341</v>
      </c>
      <c r="F85" s="18" t="s">
        <v>7999</v>
      </c>
      <c r="G85" s="17" t="s">
        <v>8238</v>
      </c>
      <c r="H85" s="18" t="s">
        <v>5440</v>
      </c>
      <c r="I85" s="17" t="s">
        <v>8342</v>
      </c>
      <c r="J85" s="7"/>
      <c r="K85" s="7" t="s">
        <v>5066</v>
      </c>
      <c r="L85" s="8" t="s">
        <v>8343</v>
      </c>
      <c r="M85" s="7" t="n">
        <f aca="false">COUNTIF('Mapa de Marcas'!$B:$B,$A85)</f>
        <v>3</v>
      </c>
      <c r="N85" s="7" t="n">
        <f aca="false">COUNTIFS('Mapa de Marcas'!$B:$B,$A85,'Mapa de Marcas'!$R:$R,"Lacuna")</f>
        <v>0</v>
      </c>
      <c r="O85" s="7" t="s">
        <v>1480</v>
      </c>
      <c r="P85" s="8" t="s">
        <v>3984</v>
      </c>
      <c r="Q85" s="12"/>
      <c r="R85" s="12"/>
    </row>
    <row r="86" customFormat="false" ht="23.85" hidden="false" customHeight="false" outlineLevel="0" collapsed="false">
      <c r="A86" s="14" t="s">
        <v>5450</v>
      </c>
      <c r="B86" s="17" t="s">
        <v>8235</v>
      </c>
      <c r="C86" s="18" t="s">
        <v>576</v>
      </c>
      <c r="D86" s="18" t="s">
        <v>8344</v>
      </c>
      <c r="E86" s="17" t="s">
        <v>8345</v>
      </c>
      <c r="F86" s="18" t="s">
        <v>7999</v>
      </c>
      <c r="G86" s="17" t="s">
        <v>8238</v>
      </c>
      <c r="H86" s="18" t="s">
        <v>5453</v>
      </c>
      <c r="I86" s="17" t="s">
        <v>8346</v>
      </c>
      <c r="J86" s="7" t="s">
        <v>581</v>
      </c>
      <c r="K86" s="7" t="s">
        <v>5066</v>
      </c>
      <c r="L86" s="8" t="s">
        <v>8347</v>
      </c>
      <c r="M86" s="7" t="n">
        <f aca="false">COUNTIF('Mapa de Marcas'!$B:$B,$A86)</f>
        <v>6</v>
      </c>
      <c r="N86" s="7" t="n">
        <f aca="false">COUNTIFS('Mapa de Marcas'!$B:$B,$A86,'Mapa de Marcas'!$R:$R,"Lacuna")</f>
        <v>0</v>
      </c>
      <c r="O86" s="7" t="s">
        <v>1183</v>
      </c>
      <c r="P86" s="8" t="s">
        <v>3984</v>
      </c>
      <c r="Q86" s="12"/>
      <c r="R86" s="12"/>
    </row>
    <row r="87" customFormat="false" ht="23.85" hidden="false" customHeight="false" outlineLevel="0" collapsed="false">
      <c r="A87" s="14" t="s">
        <v>5478</v>
      </c>
      <c r="B87" s="17" t="s">
        <v>8235</v>
      </c>
      <c r="C87" s="18" t="s">
        <v>581</v>
      </c>
      <c r="D87" s="18" t="s">
        <v>8348</v>
      </c>
      <c r="E87" s="17" t="s">
        <v>8349</v>
      </c>
      <c r="F87" s="18" t="s">
        <v>7999</v>
      </c>
      <c r="G87" s="17" t="s">
        <v>8238</v>
      </c>
      <c r="H87" s="18" t="s">
        <v>5481</v>
      </c>
      <c r="I87" s="17" t="s">
        <v>8350</v>
      </c>
      <c r="J87" s="7"/>
      <c r="K87" s="7" t="s">
        <v>5066</v>
      </c>
      <c r="L87" s="8" t="s">
        <v>8351</v>
      </c>
      <c r="M87" s="7" t="n">
        <f aca="false">COUNTIF('Mapa de Marcas'!$B:$B,$A87)</f>
        <v>3</v>
      </c>
      <c r="N87" s="7" t="n">
        <f aca="false">COUNTIFS('Mapa de Marcas'!$B:$B,$A87,'Mapa de Marcas'!$R:$R,"Lacuna")</f>
        <v>0</v>
      </c>
      <c r="O87" s="7" t="s">
        <v>1480</v>
      </c>
      <c r="P87" s="8" t="s">
        <v>3984</v>
      </c>
      <c r="Q87" s="12"/>
      <c r="R87" s="12"/>
    </row>
    <row r="88" customFormat="false" ht="23.85" hidden="false" customHeight="false" outlineLevel="0" collapsed="false">
      <c r="A88" s="14" t="s">
        <v>5493</v>
      </c>
      <c r="B88" s="17" t="s">
        <v>8352</v>
      </c>
      <c r="C88" s="18" t="s">
        <v>586</v>
      </c>
      <c r="D88" s="18" t="s">
        <v>8353</v>
      </c>
      <c r="E88" s="17" t="s">
        <v>8354</v>
      </c>
      <c r="F88" s="18" t="s">
        <v>7999</v>
      </c>
      <c r="G88" s="17" t="s">
        <v>8238</v>
      </c>
      <c r="H88" s="18" t="s">
        <v>5496</v>
      </c>
      <c r="I88" s="17" t="s">
        <v>8355</v>
      </c>
      <c r="J88" s="7"/>
      <c r="K88" s="7" t="s">
        <v>5066</v>
      </c>
      <c r="L88" s="8" t="s">
        <v>8356</v>
      </c>
      <c r="M88" s="7" t="n">
        <f aca="false">COUNTIF('Mapa de Marcas'!$B:$B,$A88)</f>
        <v>3</v>
      </c>
      <c r="N88" s="7" t="n">
        <f aca="false">COUNTIFS('Mapa de Marcas'!$B:$B,$A88,'Mapa de Marcas'!$R:$R,"Lacuna")</f>
        <v>0</v>
      </c>
      <c r="O88" s="7" t="s">
        <v>1480</v>
      </c>
      <c r="P88" s="8" t="s">
        <v>3984</v>
      </c>
      <c r="Q88" s="12"/>
      <c r="R88" s="12"/>
    </row>
    <row r="89" customFormat="false" ht="23.85" hidden="false" customHeight="false" outlineLevel="0" collapsed="false">
      <c r="A89" s="14" t="s">
        <v>5508</v>
      </c>
      <c r="B89" s="17" t="s">
        <v>8352</v>
      </c>
      <c r="C89" s="18" t="s">
        <v>586</v>
      </c>
      <c r="D89" s="18" t="s">
        <v>8357</v>
      </c>
      <c r="E89" s="17" t="s">
        <v>8358</v>
      </c>
      <c r="F89" s="18" t="s">
        <v>7999</v>
      </c>
      <c r="G89" s="17" t="s">
        <v>8238</v>
      </c>
      <c r="H89" s="18" t="s">
        <v>5511</v>
      </c>
      <c r="I89" s="17" t="s">
        <v>8359</v>
      </c>
      <c r="J89" s="7"/>
      <c r="K89" s="7" t="s">
        <v>5066</v>
      </c>
      <c r="L89" s="8" t="s">
        <v>8360</v>
      </c>
      <c r="M89" s="7" t="n">
        <f aca="false">COUNTIF('Mapa de Marcas'!$B:$B,$A89)</f>
        <v>3</v>
      </c>
      <c r="N89" s="7" t="n">
        <f aca="false">COUNTIFS('Mapa de Marcas'!$B:$B,$A89,'Mapa de Marcas'!$R:$R,"Lacuna")</f>
        <v>0</v>
      </c>
      <c r="O89" s="7" t="s">
        <v>1480</v>
      </c>
      <c r="P89" s="8" t="s">
        <v>3984</v>
      </c>
      <c r="Q89" s="12"/>
      <c r="R89" s="12"/>
    </row>
    <row r="90" customFormat="false" ht="23.85" hidden="false" customHeight="false" outlineLevel="0" collapsed="false">
      <c r="A90" s="14" t="s">
        <v>5521</v>
      </c>
      <c r="B90" s="17" t="s">
        <v>8352</v>
      </c>
      <c r="C90" s="18" t="s">
        <v>586</v>
      </c>
      <c r="D90" s="18" t="s">
        <v>8361</v>
      </c>
      <c r="E90" s="17" t="s">
        <v>8362</v>
      </c>
      <c r="F90" s="18" t="s">
        <v>7999</v>
      </c>
      <c r="G90" s="17" t="s">
        <v>8238</v>
      </c>
      <c r="H90" s="18" t="s">
        <v>5524</v>
      </c>
      <c r="I90" s="17" t="s">
        <v>8363</v>
      </c>
      <c r="J90" s="7"/>
      <c r="K90" s="7" t="s">
        <v>5066</v>
      </c>
      <c r="L90" s="8" t="s">
        <v>8364</v>
      </c>
      <c r="M90" s="7" t="n">
        <f aca="false">COUNTIF('Mapa de Marcas'!$B:$B,$A90)</f>
        <v>3</v>
      </c>
      <c r="N90" s="7" t="n">
        <f aca="false">COUNTIFS('Mapa de Marcas'!$B:$B,$A90,'Mapa de Marcas'!$R:$R,"Lacuna")</f>
        <v>0</v>
      </c>
      <c r="O90" s="7" t="s">
        <v>1480</v>
      </c>
      <c r="P90" s="8" t="s">
        <v>3984</v>
      </c>
      <c r="Q90" s="12"/>
      <c r="R90" s="12"/>
    </row>
    <row r="91" customFormat="false" ht="23.85" hidden="false" customHeight="false" outlineLevel="0" collapsed="false">
      <c r="A91" s="14" t="s">
        <v>5534</v>
      </c>
      <c r="B91" s="17" t="s">
        <v>8352</v>
      </c>
      <c r="C91" s="18" t="s">
        <v>586</v>
      </c>
      <c r="D91" s="18" t="s">
        <v>8365</v>
      </c>
      <c r="E91" s="17" t="s">
        <v>8366</v>
      </c>
      <c r="F91" s="18" t="s">
        <v>7999</v>
      </c>
      <c r="G91" s="17" t="s">
        <v>8238</v>
      </c>
      <c r="H91" s="18" t="s">
        <v>5537</v>
      </c>
      <c r="I91" s="17" t="s">
        <v>8367</v>
      </c>
      <c r="J91" s="7"/>
      <c r="K91" s="7" t="s">
        <v>5066</v>
      </c>
      <c r="L91" s="8" t="s">
        <v>8368</v>
      </c>
      <c r="M91" s="7" t="n">
        <f aca="false">COUNTIF('Mapa de Marcas'!$B:$B,$A91)</f>
        <v>3</v>
      </c>
      <c r="N91" s="7" t="n">
        <f aca="false">COUNTIFS('Mapa de Marcas'!$B:$B,$A91,'Mapa de Marcas'!$R:$R,"Lacuna")</f>
        <v>0</v>
      </c>
      <c r="O91" s="7" t="s">
        <v>1480</v>
      </c>
      <c r="P91" s="8" t="s">
        <v>3984</v>
      </c>
      <c r="Q91" s="12"/>
      <c r="R91" s="12"/>
    </row>
    <row r="92" customFormat="false" ht="23.85" hidden="false" customHeight="false" outlineLevel="0" collapsed="false">
      <c r="A92" s="14" t="s">
        <v>5560</v>
      </c>
      <c r="B92" s="17" t="s">
        <v>8369</v>
      </c>
      <c r="C92" s="18" t="s">
        <v>591</v>
      </c>
      <c r="D92" s="18" t="s">
        <v>8370</v>
      </c>
      <c r="E92" s="17" t="s">
        <v>8371</v>
      </c>
      <c r="F92" s="18" t="s">
        <v>8206</v>
      </c>
      <c r="G92" s="17" t="s">
        <v>8238</v>
      </c>
      <c r="H92" s="18" t="s">
        <v>5563</v>
      </c>
      <c r="I92" s="17" t="s">
        <v>8372</v>
      </c>
      <c r="J92" s="7"/>
      <c r="K92" s="7" t="s">
        <v>5066</v>
      </c>
      <c r="L92" s="8" t="s">
        <v>8373</v>
      </c>
      <c r="M92" s="7" t="n">
        <f aca="false">COUNTIF('Mapa de Marcas'!$B:$B,$A92)</f>
        <v>3</v>
      </c>
      <c r="N92" s="7" t="n">
        <f aca="false">COUNTIFS('Mapa de Marcas'!$B:$B,$A92,'Mapa de Marcas'!$R:$R,"Lacuna")</f>
        <v>0</v>
      </c>
      <c r="O92" s="7" t="s">
        <v>1480</v>
      </c>
      <c r="P92" s="8" t="s">
        <v>3984</v>
      </c>
      <c r="Q92" s="12"/>
      <c r="R92" s="12"/>
    </row>
    <row r="93" customFormat="false" ht="23.85" hidden="false" customHeight="false" outlineLevel="0" collapsed="false">
      <c r="A93" s="14" t="s">
        <v>5575</v>
      </c>
      <c r="B93" s="17" t="s">
        <v>8369</v>
      </c>
      <c r="C93" s="18" t="s">
        <v>591</v>
      </c>
      <c r="D93" s="18" t="s">
        <v>8374</v>
      </c>
      <c r="E93" s="17" t="s">
        <v>8375</v>
      </c>
      <c r="F93" s="18" t="s">
        <v>8206</v>
      </c>
      <c r="G93" s="17" t="s">
        <v>8238</v>
      </c>
      <c r="H93" s="18" t="s">
        <v>5578</v>
      </c>
      <c r="I93" s="17" t="s">
        <v>8376</v>
      </c>
      <c r="J93" s="7"/>
      <c r="K93" s="7" t="s">
        <v>5066</v>
      </c>
      <c r="L93" s="8" t="s">
        <v>8377</v>
      </c>
      <c r="M93" s="7" t="n">
        <f aca="false">COUNTIF('Mapa de Marcas'!$B:$B,$A93)</f>
        <v>3</v>
      </c>
      <c r="N93" s="7" t="n">
        <f aca="false">COUNTIFS('Mapa de Marcas'!$B:$B,$A93,'Mapa de Marcas'!$R:$R,"Lacuna")</f>
        <v>0</v>
      </c>
      <c r="O93" s="7" t="s">
        <v>1480</v>
      </c>
      <c r="P93" s="8" t="s">
        <v>3984</v>
      </c>
      <c r="Q93" s="12"/>
      <c r="R93" s="12"/>
    </row>
    <row r="94" customFormat="false" ht="23.85" hidden="false" customHeight="false" outlineLevel="0" collapsed="false">
      <c r="A94" s="14" t="s">
        <v>5588</v>
      </c>
      <c r="B94" s="17" t="s">
        <v>8369</v>
      </c>
      <c r="C94" s="18" t="s">
        <v>591</v>
      </c>
      <c r="D94" s="18" t="s">
        <v>8378</v>
      </c>
      <c r="E94" s="17" t="s">
        <v>8379</v>
      </c>
      <c r="F94" s="18" t="s">
        <v>8206</v>
      </c>
      <c r="G94" s="17" t="s">
        <v>8238</v>
      </c>
      <c r="H94" s="18" t="s">
        <v>5591</v>
      </c>
      <c r="I94" s="17" t="s">
        <v>8380</v>
      </c>
      <c r="J94" s="7"/>
      <c r="K94" s="7" t="s">
        <v>5066</v>
      </c>
      <c r="L94" s="8" t="s">
        <v>8381</v>
      </c>
      <c r="M94" s="7" t="n">
        <f aca="false">COUNTIF('Mapa de Marcas'!$B:$B,$A94)</f>
        <v>3</v>
      </c>
      <c r="N94" s="7" t="n">
        <f aca="false">COUNTIFS('Mapa de Marcas'!$B:$B,$A94,'Mapa de Marcas'!$R:$R,"Lacuna")</f>
        <v>0</v>
      </c>
      <c r="O94" s="7" t="s">
        <v>1480</v>
      </c>
      <c r="P94" s="8" t="s">
        <v>3984</v>
      </c>
      <c r="Q94" s="12"/>
      <c r="R94" s="12"/>
    </row>
    <row r="95" customFormat="false" ht="23.85" hidden="false" customHeight="false" outlineLevel="0" collapsed="false">
      <c r="A95" s="14" t="s">
        <v>5601</v>
      </c>
      <c r="B95" s="17" t="s">
        <v>8369</v>
      </c>
      <c r="C95" s="18" t="s">
        <v>591</v>
      </c>
      <c r="D95" s="18" t="s">
        <v>8382</v>
      </c>
      <c r="E95" s="17" t="s">
        <v>8383</v>
      </c>
      <c r="F95" s="18" t="s">
        <v>8206</v>
      </c>
      <c r="G95" s="17" t="s">
        <v>8238</v>
      </c>
      <c r="H95" s="18" t="s">
        <v>5604</v>
      </c>
      <c r="I95" s="17" t="s">
        <v>8384</v>
      </c>
      <c r="J95" s="7"/>
      <c r="K95" s="7" t="s">
        <v>5066</v>
      </c>
      <c r="L95" s="8" t="s">
        <v>8385</v>
      </c>
      <c r="M95" s="7" t="n">
        <f aca="false">COUNTIF('Mapa de Marcas'!$B:$B,$A95)</f>
        <v>3</v>
      </c>
      <c r="N95" s="7" t="n">
        <f aca="false">COUNTIFS('Mapa de Marcas'!$B:$B,$A95,'Mapa de Marcas'!$R:$R,"Lacuna")</f>
        <v>0</v>
      </c>
      <c r="O95" s="7" t="s">
        <v>1480</v>
      </c>
      <c r="P95" s="8" t="s">
        <v>3984</v>
      </c>
      <c r="Q95" s="12"/>
      <c r="R95" s="12"/>
    </row>
    <row r="96" customFormat="false" ht="35.05" hidden="false" customHeight="false" outlineLevel="0" collapsed="false">
      <c r="A96" s="14" t="s">
        <v>5616</v>
      </c>
      <c r="B96" s="17" t="s">
        <v>471</v>
      </c>
      <c r="C96" s="18" t="s">
        <v>91</v>
      </c>
      <c r="D96" s="18" t="s">
        <v>8386</v>
      </c>
      <c r="E96" s="17" t="s">
        <v>8387</v>
      </c>
      <c r="F96" s="18" t="s">
        <v>8388</v>
      </c>
      <c r="G96" s="17" t="s">
        <v>8389</v>
      </c>
      <c r="H96" s="18" t="s">
        <v>5619</v>
      </c>
      <c r="I96" s="17" t="s">
        <v>8390</v>
      </c>
      <c r="J96" s="7"/>
      <c r="K96" s="7" t="s">
        <v>5617</v>
      </c>
      <c r="L96" s="8" t="s">
        <v>8391</v>
      </c>
      <c r="M96" s="7" t="n">
        <f aca="false">COUNTIF('Mapa de Marcas'!$B:$B,$A96)</f>
        <v>7</v>
      </c>
      <c r="N96" s="7" t="n">
        <f aca="false">COUNTIFS('Mapa de Marcas'!$B:$B,$A96,'Mapa de Marcas'!$R:$R,"Lacuna")</f>
        <v>0</v>
      </c>
      <c r="O96" s="7" t="s">
        <v>1183</v>
      </c>
      <c r="P96" s="8"/>
      <c r="Q96" s="12"/>
      <c r="R96" s="12"/>
    </row>
    <row r="97" customFormat="false" ht="35.05" hidden="false" customHeight="false" outlineLevel="0" collapsed="false">
      <c r="A97" s="14" t="s">
        <v>5651</v>
      </c>
      <c r="B97" s="17" t="s">
        <v>471</v>
      </c>
      <c r="C97" s="18" t="s">
        <v>91</v>
      </c>
      <c r="D97" s="18" t="s">
        <v>8392</v>
      </c>
      <c r="E97" s="17" t="s">
        <v>8393</v>
      </c>
      <c r="F97" s="18" t="s">
        <v>8388</v>
      </c>
      <c r="G97" s="17" t="s">
        <v>8389</v>
      </c>
      <c r="H97" s="18" t="s">
        <v>5653</v>
      </c>
      <c r="I97" s="17" t="s">
        <v>8394</v>
      </c>
      <c r="J97" s="7"/>
      <c r="K97" s="7" t="s">
        <v>5617</v>
      </c>
      <c r="L97" s="8" t="s">
        <v>8395</v>
      </c>
      <c r="M97" s="7" t="n">
        <f aca="false">COUNTIF('Mapa de Marcas'!$B:$B,$A97)</f>
        <v>7</v>
      </c>
      <c r="N97" s="7" t="n">
        <f aca="false">COUNTIFS('Mapa de Marcas'!$B:$B,$A97,'Mapa de Marcas'!$R:$R,"Lacuna")</f>
        <v>0</v>
      </c>
      <c r="O97" s="7" t="s">
        <v>1183</v>
      </c>
      <c r="P97" s="8"/>
      <c r="Q97" s="12"/>
      <c r="R97" s="12"/>
    </row>
    <row r="98" customFormat="false" ht="35.05" hidden="false" customHeight="false" outlineLevel="0" collapsed="false">
      <c r="A98" s="14" t="s">
        <v>5679</v>
      </c>
      <c r="B98" s="17" t="s">
        <v>471</v>
      </c>
      <c r="C98" s="18" t="s">
        <v>91</v>
      </c>
      <c r="D98" s="18" t="s">
        <v>8396</v>
      </c>
      <c r="E98" s="17" t="s">
        <v>8397</v>
      </c>
      <c r="F98" s="18" t="s">
        <v>8388</v>
      </c>
      <c r="G98" s="17" t="s">
        <v>8389</v>
      </c>
      <c r="H98" s="18" t="s">
        <v>5681</v>
      </c>
      <c r="I98" s="17" t="s">
        <v>8398</v>
      </c>
      <c r="J98" s="7"/>
      <c r="K98" s="7" t="s">
        <v>5617</v>
      </c>
      <c r="L98" s="8" t="s">
        <v>8399</v>
      </c>
      <c r="M98" s="7" t="n">
        <f aca="false">COUNTIF('Mapa de Marcas'!$B:$B,$A98)</f>
        <v>6</v>
      </c>
      <c r="N98" s="7" t="n">
        <f aca="false">COUNTIFS('Mapa de Marcas'!$B:$B,$A98,'Mapa de Marcas'!$R:$R,"Lacuna")</f>
        <v>0</v>
      </c>
      <c r="O98" s="7" t="s">
        <v>1183</v>
      </c>
      <c r="P98" s="8"/>
      <c r="Q98" s="12"/>
      <c r="R98" s="12"/>
    </row>
    <row r="99" customFormat="false" ht="35.05" hidden="false" customHeight="false" outlineLevel="0" collapsed="false">
      <c r="A99" s="14" t="s">
        <v>5703</v>
      </c>
      <c r="B99" s="17" t="s">
        <v>471</v>
      </c>
      <c r="C99" s="18" t="s">
        <v>91</v>
      </c>
      <c r="D99" s="18" t="s">
        <v>8400</v>
      </c>
      <c r="E99" s="17" t="s">
        <v>8401</v>
      </c>
      <c r="F99" s="18" t="s">
        <v>8388</v>
      </c>
      <c r="G99" s="17" t="s">
        <v>8389</v>
      </c>
      <c r="H99" s="18" t="s">
        <v>5705</v>
      </c>
      <c r="I99" s="17" t="s">
        <v>8402</v>
      </c>
      <c r="J99" s="7"/>
      <c r="K99" s="7" t="s">
        <v>5617</v>
      </c>
      <c r="L99" s="8" t="s">
        <v>8403</v>
      </c>
      <c r="M99" s="7" t="n">
        <f aca="false">COUNTIF('Mapa de Marcas'!$B:$B,$A99)</f>
        <v>7</v>
      </c>
      <c r="N99" s="7" t="n">
        <f aca="false">COUNTIFS('Mapa de Marcas'!$B:$B,$A99,'Mapa de Marcas'!$R:$R,"Lacuna")</f>
        <v>0</v>
      </c>
      <c r="O99" s="7" t="s">
        <v>1183</v>
      </c>
      <c r="P99" s="8"/>
      <c r="Q99" s="12"/>
      <c r="R99" s="12"/>
    </row>
    <row r="100" customFormat="false" ht="46.25" hidden="false" customHeight="false" outlineLevel="0" collapsed="false">
      <c r="A100" s="14" t="s">
        <v>5731</v>
      </c>
      <c r="B100" s="17" t="s">
        <v>471</v>
      </c>
      <c r="C100" s="18" t="s">
        <v>91</v>
      </c>
      <c r="D100" s="18" t="s">
        <v>8404</v>
      </c>
      <c r="E100" s="17" t="s">
        <v>8405</v>
      </c>
      <c r="F100" s="18" t="s">
        <v>8388</v>
      </c>
      <c r="G100" s="17" t="s">
        <v>8389</v>
      </c>
      <c r="H100" s="18" t="s">
        <v>5733</v>
      </c>
      <c r="I100" s="17" t="s">
        <v>8406</v>
      </c>
      <c r="J100" s="7"/>
      <c r="K100" s="7" t="s">
        <v>5617</v>
      </c>
      <c r="L100" s="8" t="s">
        <v>8407</v>
      </c>
      <c r="M100" s="7" t="n">
        <f aca="false">COUNTIF('Mapa de Marcas'!$B:$B,$A100)</f>
        <v>7</v>
      </c>
      <c r="N100" s="7" t="n">
        <f aca="false">COUNTIFS('Mapa de Marcas'!$B:$B,$A100,'Mapa de Marcas'!$R:$R,"Lacuna")</f>
        <v>0</v>
      </c>
      <c r="O100" s="7" t="s">
        <v>1480</v>
      </c>
      <c r="P100" s="8"/>
      <c r="Q100" s="12"/>
      <c r="R100" s="12"/>
    </row>
    <row r="101" customFormat="false" ht="46.25" hidden="false" customHeight="false" outlineLevel="0" collapsed="false">
      <c r="A101" s="14" t="s">
        <v>5759</v>
      </c>
      <c r="B101" s="17" t="s">
        <v>471</v>
      </c>
      <c r="C101" s="18" t="s">
        <v>91</v>
      </c>
      <c r="D101" s="18" t="s">
        <v>8408</v>
      </c>
      <c r="E101" s="17" t="s">
        <v>8409</v>
      </c>
      <c r="F101" s="18" t="s">
        <v>8388</v>
      </c>
      <c r="G101" s="17" t="s">
        <v>8389</v>
      </c>
      <c r="H101" s="18" t="s">
        <v>5761</v>
      </c>
      <c r="I101" s="17" t="s">
        <v>8410</v>
      </c>
      <c r="J101" s="7"/>
      <c r="K101" s="7" t="s">
        <v>5617</v>
      </c>
      <c r="L101" s="8" t="s">
        <v>8411</v>
      </c>
      <c r="M101" s="7" t="n">
        <f aca="false">COUNTIF('Mapa de Marcas'!$B:$B,$A101)</f>
        <v>7</v>
      </c>
      <c r="N101" s="7" t="n">
        <f aca="false">COUNTIFS('Mapa de Marcas'!$B:$B,$A101,'Mapa de Marcas'!$R:$R,"Lacuna")</f>
        <v>0</v>
      </c>
      <c r="O101" s="7" t="s">
        <v>1480</v>
      </c>
      <c r="P101" s="8"/>
      <c r="Q101" s="12"/>
      <c r="R101" s="12"/>
    </row>
    <row r="102" customFormat="false" ht="46.25" hidden="false" customHeight="false" outlineLevel="0" collapsed="false">
      <c r="A102" s="14" t="s">
        <v>5787</v>
      </c>
      <c r="B102" s="17" t="s">
        <v>471</v>
      </c>
      <c r="C102" s="18" t="s">
        <v>91</v>
      </c>
      <c r="D102" s="18" t="s">
        <v>8412</v>
      </c>
      <c r="E102" s="17" t="s">
        <v>8413</v>
      </c>
      <c r="F102" s="18" t="s">
        <v>8388</v>
      </c>
      <c r="G102" s="17" t="s">
        <v>8389</v>
      </c>
      <c r="H102" s="18" t="s">
        <v>5789</v>
      </c>
      <c r="I102" s="17" t="s">
        <v>8414</v>
      </c>
      <c r="J102" s="7"/>
      <c r="K102" s="7" t="s">
        <v>5617</v>
      </c>
      <c r="L102" s="8" t="s">
        <v>8415</v>
      </c>
      <c r="M102" s="7" t="n">
        <f aca="false">COUNTIF('Mapa de Marcas'!$B:$B,$A102)</f>
        <v>7</v>
      </c>
      <c r="N102" s="7" t="n">
        <f aca="false">COUNTIFS('Mapa de Marcas'!$B:$B,$A102,'Mapa de Marcas'!$R:$R,"Lacuna")</f>
        <v>0</v>
      </c>
      <c r="O102" s="7" t="s">
        <v>1480</v>
      </c>
      <c r="P102" s="8"/>
      <c r="Q102" s="12"/>
      <c r="R102" s="12"/>
    </row>
    <row r="103" customFormat="false" ht="46.25" hidden="false" customHeight="false" outlineLevel="0" collapsed="false">
      <c r="A103" s="14" t="s">
        <v>5815</v>
      </c>
      <c r="B103" s="17" t="s">
        <v>471</v>
      </c>
      <c r="C103" s="18" t="s">
        <v>91</v>
      </c>
      <c r="D103" s="18" t="s">
        <v>8416</v>
      </c>
      <c r="E103" s="17" t="s">
        <v>8417</v>
      </c>
      <c r="F103" s="18" t="s">
        <v>8388</v>
      </c>
      <c r="G103" s="17" t="s">
        <v>8389</v>
      </c>
      <c r="H103" s="18" t="s">
        <v>5817</v>
      </c>
      <c r="I103" s="17" t="s">
        <v>8418</v>
      </c>
      <c r="J103" s="7"/>
      <c r="K103" s="7" t="s">
        <v>5617</v>
      </c>
      <c r="L103" s="8" t="s">
        <v>8419</v>
      </c>
      <c r="M103" s="7" t="n">
        <f aca="false">COUNTIF('Mapa de Marcas'!$B:$B,$A103)</f>
        <v>7</v>
      </c>
      <c r="N103" s="7" t="n">
        <f aca="false">COUNTIFS('Mapa de Marcas'!$B:$B,$A103,'Mapa de Marcas'!$R:$R,"Lacuna")</f>
        <v>0</v>
      </c>
      <c r="O103" s="7" t="s">
        <v>1480</v>
      </c>
      <c r="P103" s="8"/>
      <c r="Q103" s="12"/>
      <c r="R103" s="12"/>
    </row>
    <row r="104" customFormat="false" ht="46.25" hidden="false" customHeight="false" outlineLevel="0" collapsed="false">
      <c r="A104" s="14" t="s">
        <v>5843</v>
      </c>
      <c r="B104" s="17" t="s">
        <v>471</v>
      </c>
      <c r="C104" s="18" t="s">
        <v>91</v>
      </c>
      <c r="D104" s="18" t="s">
        <v>8420</v>
      </c>
      <c r="E104" s="17" t="s">
        <v>8421</v>
      </c>
      <c r="F104" s="18" t="s">
        <v>8388</v>
      </c>
      <c r="G104" s="17" t="s">
        <v>8389</v>
      </c>
      <c r="H104" s="18" t="s">
        <v>5845</v>
      </c>
      <c r="I104" s="17" t="s">
        <v>8422</v>
      </c>
      <c r="J104" s="7"/>
      <c r="K104" s="7" t="s">
        <v>5617</v>
      </c>
      <c r="L104" s="8" t="s">
        <v>8423</v>
      </c>
      <c r="M104" s="7" t="n">
        <f aca="false">COUNTIF('Mapa de Marcas'!$B:$B,$A104)</f>
        <v>7</v>
      </c>
      <c r="N104" s="7" t="n">
        <f aca="false">COUNTIFS('Mapa de Marcas'!$B:$B,$A104,'Mapa de Marcas'!$R:$R,"Lacuna")</f>
        <v>0</v>
      </c>
      <c r="O104" s="7" t="s">
        <v>1480</v>
      </c>
      <c r="P104" s="8"/>
      <c r="Q104" s="12"/>
      <c r="R104" s="12"/>
    </row>
    <row r="105" customFormat="false" ht="35.05" hidden="false" customHeight="false" outlineLevel="0" collapsed="false">
      <c r="A105" s="14" t="s">
        <v>5871</v>
      </c>
      <c r="B105" s="17" t="s">
        <v>471</v>
      </c>
      <c r="C105" s="18" t="s">
        <v>91</v>
      </c>
      <c r="D105" s="18" t="s">
        <v>8424</v>
      </c>
      <c r="E105" s="17" t="s">
        <v>8425</v>
      </c>
      <c r="F105" s="18" t="s">
        <v>8388</v>
      </c>
      <c r="G105" s="17" t="s">
        <v>8389</v>
      </c>
      <c r="H105" s="18" t="s">
        <v>5873</v>
      </c>
      <c r="I105" s="17" t="s">
        <v>8426</v>
      </c>
      <c r="J105" s="7"/>
      <c r="K105" s="7" t="s">
        <v>5617</v>
      </c>
      <c r="L105" s="8" t="s">
        <v>8427</v>
      </c>
      <c r="M105" s="7" t="n">
        <f aca="false">COUNTIF('Mapa de Marcas'!$B:$B,$A105)</f>
        <v>6</v>
      </c>
      <c r="N105" s="7" t="n">
        <f aca="false">COUNTIFS('Mapa de Marcas'!$B:$B,$A105,'Mapa de Marcas'!$R:$R,"Lacuna")</f>
        <v>0</v>
      </c>
      <c r="O105" s="7" t="s">
        <v>1480</v>
      </c>
      <c r="P105" s="8"/>
      <c r="Q105" s="12"/>
      <c r="R105" s="12"/>
    </row>
    <row r="106" customFormat="false" ht="23.85" hidden="false" customHeight="false" outlineLevel="0" collapsed="false">
      <c r="A106" s="14" t="s">
        <v>5896</v>
      </c>
      <c r="B106" s="17" t="s">
        <v>471</v>
      </c>
      <c r="C106" s="18" t="s">
        <v>91</v>
      </c>
      <c r="D106" s="18" t="s">
        <v>8428</v>
      </c>
      <c r="E106" s="17" t="s">
        <v>8429</v>
      </c>
      <c r="F106" s="18" t="s">
        <v>8388</v>
      </c>
      <c r="G106" s="17" t="s">
        <v>8389</v>
      </c>
      <c r="H106" s="18" t="s">
        <v>5898</v>
      </c>
      <c r="I106" s="17" t="s">
        <v>8430</v>
      </c>
      <c r="J106" s="7"/>
      <c r="K106" s="7" t="s">
        <v>5617</v>
      </c>
      <c r="L106" s="8" t="s">
        <v>8431</v>
      </c>
      <c r="M106" s="7" t="n">
        <f aca="false">COUNTIF('Mapa de Marcas'!$B:$B,$A106)</f>
        <v>6</v>
      </c>
      <c r="N106" s="7" t="n">
        <f aca="false">COUNTIFS('Mapa de Marcas'!$B:$B,$A106,'Mapa de Marcas'!$R:$R,"Lacuna")</f>
        <v>0</v>
      </c>
      <c r="O106" s="7" t="s">
        <v>1480</v>
      </c>
      <c r="P106" s="8"/>
      <c r="Q106" s="12"/>
      <c r="R106" s="12"/>
    </row>
    <row r="107" customFormat="false" ht="35.05" hidden="false" customHeight="false" outlineLevel="0" collapsed="false">
      <c r="A107" s="14" t="s">
        <v>5920</v>
      </c>
      <c r="B107" s="17" t="s">
        <v>471</v>
      </c>
      <c r="C107" s="18" t="s">
        <v>91</v>
      </c>
      <c r="D107" s="18" t="s">
        <v>8432</v>
      </c>
      <c r="E107" s="17" t="s">
        <v>8433</v>
      </c>
      <c r="F107" s="18" t="s">
        <v>8388</v>
      </c>
      <c r="G107" s="17" t="s">
        <v>8389</v>
      </c>
      <c r="H107" s="18" t="s">
        <v>5922</v>
      </c>
      <c r="I107" s="17" t="s">
        <v>8434</v>
      </c>
      <c r="J107" s="7"/>
      <c r="K107" s="7" t="s">
        <v>5617</v>
      </c>
      <c r="L107" s="8" t="s">
        <v>8435</v>
      </c>
      <c r="M107" s="7" t="n">
        <f aca="false">COUNTIF('Mapa de Marcas'!$B:$B,$A107)</f>
        <v>7</v>
      </c>
      <c r="N107" s="7" t="n">
        <f aca="false">COUNTIFS('Mapa de Marcas'!$B:$B,$A107,'Mapa de Marcas'!$R:$R,"Lacuna")</f>
        <v>0</v>
      </c>
      <c r="O107" s="7" t="s">
        <v>1480</v>
      </c>
      <c r="P107" s="8"/>
      <c r="Q107" s="12"/>
      <c r="R107" s="12"/>
    </row>
    <row r="108" customFormat="false" ht="35.05" hidden="false" customHeight="false" outlineLevel="0" collapsed="false">
      <c r="A108" s="14" t="s">
        <v>5948</v>
      </c>
      <c r="B108" s="17" t="s">
        <v>471</v>
      </c>
      <c r="C108" s="18" t="s">
        <v>91</v>
      </c>
      <c r="D108" s="18" t="s">
        <v>8436</v>
      </c>
      <c r="E108" s="17" t="s">
        <v>8437</v>
      </c>
      <c r="F108" s="18" t="s">
        <v>8388</v>
      </c>
      <c r="G108" s="17" t="s">
        <v>8389</v>
      </c>
      <c r="H108" s="18" t="s">
        <v>5950</v>
      </c>
      <c r="I108" s="17" t="s">
        <v>8438</v>
      </c>
      <c r="J108" s="7"/>
      <c r="K108" s="7" t="s">
        <v>5617</v>
      </c>
      <c r="L108" s="8" t="s">
        <v>8439</v>
      </c>
      <c r="M108" s="7" t="n">
        <f aca="false">COUNTIF('Mapa de Marcas'!$B:$B,$A108)</f>
        <v>7</v>
      </c>
      <c r="N108" s="7" t="n">
        <f aca="false">COUNTIFS('Mapa de Marcas'!$B:$B,$A108,'Mapa de Marcas'!$R:$R,"Lacuna")</f>
        <v>0</v>
      </c>
      <c r="O108" s="7" t="s">
        <v>1183</v>
      </c>
      <c r="P108" s="8"/>
      <c r="Q108" s="12"/>
      <c r="R108" s="12"/>
    </row>
    <row r="109" customFormat="false" ht="46.25" hidden="false" customHeight="false" outlineLevel="0" collapsed="false">
      <c r="A109" s="14" t="s">
        <v>5976</v>
      </c>
      <c r="B109" s="17" t="s">
        <v>471</v>
      </c>
      <c r="C109" s="18" t="s">
        <v>91</v>
      </c>
      <c r="D109" s="18" t="s">
        <v>8440</v>
      </c>
      <c r="E109" s="17" t="s">
        <v>8441</v>
      </c>
      <c r="F109" s="18" t="s">
        <v>8388</v>
      </c>
      <c r="G109" s="17" t="s">
        <v>8389</v>
      </c>
      <c r="H109" s="18" t="s">
        <v>5978</v>
      </c>
      <c r="I109" s="17" t="s">
        <v>8442</v>
      </c>
      <c r="J109" s="7"/>
      <c r="K109" s="7" t="s">
        <v>5617</v>
      </c>
      <c r="L109" s="8" t="s">
        <v>8443</v>
      </c>
      <c r="M109" s="7" t="n">
        <f aca="false">COUNTIF('Mapa de Marcas'!$B:$B,$A109)</f>
        <v>7</v>
      </c>
      <c r="N109" s="7" t="n">
        <f aca="false">COUNTIFS('Mapa de Marcas'!$B:$B,$A109,'Mapa de Marcas'!$R:$R,"Lacuna")</f>
        <v>0</v>
      </c>
      <c r="O109" s="7" t="s">
        <v>1480</v>
      </c>
      <c r="P109" s="8"/>
      <c r="Q109" s="12"/>
      <c r="R109" s="12"/>
    </row>
    <row r="110" customFormat="false" ht="35.05" hidden="false" customHeight="false" outlineLevel="0" collapsed="false">
      <c r="A110" s="14" t="s">
        <v>6004</v>
      </c>
      <c r="B110" s="17" t="s">
        <v>471</v>
      </c>
      <c r="C110" s="18" t="s">
        <v>91</v>
      </c>
      <c r="D110" s="18" t="s">
        <v>8444</v>
      </c>
      <c r="E110" s="17" t="s">
        <v>8445</v>
      </c>
      <c r="F110" s="18" t="s">
        <v>8388</v>
      </c>
      <c r="G110" s="17" t="s">
        <v>8389</v>
      </c>
      <c r="H110" s="18" t="s">
        <v>6006</v>
      </c>
      <c r="I110" s="17" t="s">
        <v>8446</v>
      </c>
      <c r="J110" s="7"/>
      <c r="K110" s="7" t="s">
        <v>5617</v>
      </c>
      <c r="L110" s="8" t="s">
        <v>8447</v>
      </c>
      <c r="M110" s="7" t="n">
        <f aca="false">COUNTIF('Mapa de Marcas'!$B:$B,$A110)</f>
        <v>7</v>
      </c>
      <c r="N110" s="7" t="n">
        <f aca="false">COUNTIFS('Mapa de Marcas'!$B:$B,$A110,'Mapa de Marcas'!$R:$R,"Lacuna")</f>
        <v>0</v>
      </c>
      <c r="O110" s="7" t="s">
        <v>1480</v>
      </c>
      <c r="P110" s="8"/>
      <c r="Q110" s="12"/>
      <c r="R110" s="12"/>
    </row>
    <row r="111" customFormat="false" ht="35.05" hidden="false" customHeight="false" outlineLevel="0" collapsed="false">
      <c r="A111" s="14" t="s">
        <v>6032</v>
      </c>
      <c r="B111" s="17" t="s">
        <v>471</v>
      </c>
      <c r="C111" s="18" t="s">
        <v>91</v>
      </c>
      <c r="D111" s="18" t="s">
        <v>8448</v>
      </c>
      <c r="E111" s="17" t="s">
        <v>8449</v>
      </c>
      <c r="F111" s="18" t="s">
        <v>8388</v>
      </c>
      <c r="G111" s="17" t="s">
        <v>8389</v>
      </c>
      <c r="H111" s="18" t="s">
        <v>6034</v>
      </c>
      <c r="I111" s="17" t="s">
        <v>8450</v>
      </c>
      <c r="J111" s="7"/>
      <c r="K111" s="7" t="s">
        <v>5617</v>
      </c>
      <c r="L111" s="8" t="s">
        <v>8451</v>
      </c>
      <c r="M111" s="7" t="n">
        <f aca="false">COUNTIF('Mapa de Marcas'!$B:$B,$A111)</f>
        <v>7</v>
      </c>
      <c r="N111" s="7" t="n">
        <f aca="false">COUNTIFS('Mapa de Marcas'!$B:$B,$A111,'Mapa de Marcas'!$R:$R,"Lacuna")</f>
        <v>0</v>
      </c>
      <c r="O111" s="7" t="s">
        <v>1480</v>
      </c>
      <c r="P111" s="8"/>
      <c r="Q111" s="12"/>
      <c r="R111" s="12"/>
    </row>
    <row r="112" customFormat="false" ht="35.05" hidden="false" customHeight="false" outlineLevel="0" collapsed="false">
      <c r="A112" s="14" t="s">
        <v>6060</v>
      </c>
      <c r="B112" s="17" t="s">
        <v>471</v>
      </c>
      <c r="C112" s="18" t="s">
        <v>91</v>
      </c>
      <c r="D112" s="18" t="s">
        <v>8452</v>
      </c>
      <c r="E112" s="17" t="s">
        <v>8453</v>
      </c>
      <c r="F112" s="18" t="s">
        <v>8388</v>
      </c>
      <c r="G112" s="17" t="s">
        <v>8389</v>
      </c>
      <c r="H112" s="18" t="s">
        <v>6062</v>
      </c>
      <c r="I112" s="17" t="s">
        <v>8454</v>
      </c>
      <c r="J112" s="7"/>
      <c r="K112" s="7" t="s">
        <v>5617</v>
      </c>
      <c r="L112" s="8" t="s">
        <v>8455</v>
      </c>
      <c r="M112" s="7" t="n">
        <f aca="false">COUNTIF('Mapa de Marcas'!$B:$B,$A112)</f>
        <v>6</v>
      </c>
      <c r="N112" s="7" t="n">
        <f aca="false">COUNTIFS('Mapa de Marcas'!$B:$B,$A112,'Mapa de Marcas'!$R:$R,"Lacuna")</f>
        <v>0</v>
      </c>
      <c r="O112" s="7" t="s">
        <v>1183</v>
      </c>
      <c r="P112" s="8"/>
      <c r="Q112" s="12"/>
      <c r="R112" s="12"/>
    </row>
    <row r="113" customFormat="false" ht="35.05" hidden="false" customHeight="false" outlineLevel="0" collapsed="false">
      <c r="A113" s="14" t="s">
        <v>6084</v>
      </c>
      <c r="B113" s="17" t="s">
        <v>471</v>
      </c>
      <c r="C113" s="18" t="s">
        <v>91</v>
      </c>
      <c r="D113" s="18" t="s">
        <v>8456</v>
      </c>
      <c r="E113" s="17" t="s">
        <v>8457</v>
      </c>
      <c r="F113" s="18" t="s">
        <v>8388</v>
      </c>
      <c r="G113" s="17" t="s">
        <v>8389</v>
      </c>
      <c r="H113" s="18" t="s">
        <v>6086</v>
      </c>
      <c r="I113" s="17" t="s">
        <v>8458</v>
      </c>
      <c r="J113" s="7"/>
      <c r="K113" s="7" t="s">
        <v>5617</v>
      </c>
      <c r="L113" s="8" t="s">
        <v>8459</v>
      </c>
      <c r="M113" s="7" t="n">
        <f aca="false">COUNTIF('Mapa de Marcas'!$B:$B,$A113)</f>
        <v>6</v>
      </c>
      <c r="N113" s="7" t="n">
        <f aca="false">COUNTIFS('Mapa de Marcas'!$B:$B,$A113,'Mapa de Marcas'!$R:$R,"Lacuna")</f>
        <v>0</v>
      </c>
      <c r="O113" s="7" t="s">
        <v>1480</v>
      </c>
      <c r="P113" s="8"/>
      <c r="Q113" s="12"/>
      <c r="R113" s="12"/>
    </row>
    <row r="114" customFormat="false" ht="35.05" hidden="false" customHeight="false" outlineLevel="0" collapsed="false">
      <c r="A114" s="14" t="s">
        <v>6108</v>
      </c>
      <c r="B114" s="17" t="s">
        <v>471</v>
      </c>
      <c r="C114" s="18" t="s">
        <v>91</v>
      </c>
      <c r="D114" s="18" t="s">
        <v>8460</v>
      </c>
      <c r="E114" s="17" t="s">
        <v>8461</v>
      </c>
      <c r="F114" s="18" t="s">
        <v>8388</v>
      </c>
      <c r="G114" s="17" t="s">
        <v>8389</v>
      </c>
      <c r="H114" s="18" t="s">
        <v>6110</v>
      </c>
      <c r="I114" s="17" t="s">
        <v>8462</v>
      </c>
      <c r="J114" s="7"/>
      <c r="K114" s="7" t="s">
        <v>5617</v>
      </c>
      <c r="L114" s="8" t="s">
        <v>8463</v>
      </c>
      <c r="M114" s="7" t="n">
        <f aca="false">COUNTIF('Mapa de Marcas'!$B:$B,$A114)</f>
        <v>6</v>
      </c>
      <c r="N114" s="7" t="n">
        <f aca="false">COUNTIFS('Mapa de Marcas'!$B:$B,$A114,'Mapa de Marcas'!$R:$R,"Lacuna")</f>
        <v>0</v>
      </c>
      <c r="O114" s="7" t="s">
        <v>1480</v>
      </c>
      <c r="P114" s="8"/>
      <c r="Q114" s="12"/>
      <c r="R114" s="12"/>
    </row>
    <row r="115" customFormat="false" ht="35.05" hidden="false" customHeight="false" outlineLevel="0" collapsed="false">
      <c r="A115" s="14" t="s">
        <v>6132</v>
      </c>
      <c r="B115" s="17" t="s">
        <v>471</v>
      </c>
      <c r="C115" s="18" t="s">
        <v>91</v>
      </c>
      <c r="D115" s="18" t="s">
        <v>8464</v>
      </c>
      <c r="E115" s="17" t="s">
        <v>8465</v>
      </c>
      <c r="F115" s="18" t="s">
        <v>8388</v>
      </c>
      <c r="G115" s="17" t="s">
        <v>8389</v>
      </c>
      <c r="H115" s="18" t="s">
        <v>6134</v>
      </c>
      <c r="I115" s="17" t="s">
        <v>8466</v>
      </c>
      <c r="J115" s="7"/>
      <c r="K115" s="7" t="s">
        <v>5617</v>
      </c>
      <c r="L115" s="8" t="s">
        <v>8467</v>
      </c>
      <c r="M115" s="7" t="n">
        <f aca="false">COUNTIF('Mapa de Marcas'!$B:$B,$A115)</f>
        <v>6</v>
      </c>
      <c r="N115" s="7" t="n">
        <f aca="false">COUNTIFS('Mapa de Marcas'!$B:$B,$A115,'Mapa de Marcas'!$R:$R,"Lacuna")</f>
        <v>0</v>
      </c>
      <c r="O115" s="7" t="s">
        <v>1480</v>
      </c>
      <c r="P115" s="8"/>
      <c r="Q115" s="12"/>
      <c r="R115" s="12"/>
    </row>
    <row r="116" customFormat="false" ht="23.85" hidden="false" customHeight="false" outlineLevel="0" collapsed="false">
      <c r="A116" s="14" t="s">
        <v>6156</v>
      </c>
      <c r="B116" s="17" t="s">
        <v>231</v>
      </c>
      <c r="C116" s="18" t="s">
        <v>6157</v>
      </c>
      <c r="D116" s="18" t="s">
        <v>8468</v>
      </c>
      <c r="E116" s="17" t="s">
        <v>8469</v>
      </c>
      <c r="F116" s="18" t="s">
        <v>8470</v>
      </c>
      <c r="G116" s="17" t="s">
        <v>8471</v>
      </c>
      <c r="H116" s="18" t="s">
        <v>6160</v>
      </c>
      <c r="I116" s="17" t="s">
        <v>8472</v>
      </c>
      <c r="J116" s="7"/>
      <c r="K116" s="7" t="s">
        <v>3915</v>
      </c>
      <c r="L116" s="8"/>
      <c r="M116" s="7" t="n">
        <f aca="false">COUNTIF('Mapa de Marcas'!$B:$B,$A116)</f>
        <v>1</v>
      </c>
      <c r="N116" s="7" t="n">
        <f aca="false">COUNTIFS('Mapa de Marcas'!$B:$B,$A116,'Mapa de Marcas'!$R:$R,"Lacuna")</f>
        <v>1</v>
      </c>
      <c r="O116" s="7" t="s">
        <v>1183</v>
      </c>
      <c r="P116" s="8" t="s">
        <v>3984</v>
      </c>
      <c r="Q116" s="12"/>
      <c r="R116" s="12"/>
    </row>
    <row r="117" customFormat="false" ht="23.85" hidden="false" customHeight="false" outlineLevel="0" collapsed="false">
      <c r="A117" s="14" t="s">
        <v>6162</v>
      </c>
      <c r="B117" s="17" t="s">
        <v>231</v>
      </c>
      <c r="C117" s="18" t="s">
        <v>6157</v>
      </c>
      <c r="D117" s="18" t="s">
        <v>8473</v>
      </c>
      <c r="E117" s="17" t="s">
        <v>8474</v>
      </c>
      <c r="F117" s="18" t="s">
        <v>8470</v>
      </c>
      <c r="G117" s="17" t="s">
        <v>8471</v>
      </c>
      <c r="H117" s="18" t="s">
        <v>6165</v>
      </c>
      <c r="I117" s="17" t="s">
        <v>8475</v>
      </c>
      <c r="J117" s="7"/>
      <c r="K117" s="7" t="s">
        <v>3915</v>
      </c>
      <c r="L117" s="8"/>
      <c r="M117" s="7" t="n">
        <f aca="false">COUNTIF('Mapa de Marcas'!$B:$B,$A117)</f>
        <v>1</v>
      </c>
      <c r="N117" s="7" t="n">
        <f aca="false">COUNTIFS('Mapa de Marcas'!$B:$B,$A117,'Mapa de Marcas'!$R:$R,"Lacuna")</f>
        <v>1</v>
      </c>
      <c r="O117" s="7" t="s">
        <v>1183</v>
      </c>
      <c r="P117" s="8" t="s">
        <v>3984</v>
      </c>
      <c r="Q117" s="12"/>
      <c r="R117" s="12"/>
    </row>
    <row r="118" customFormat="false" ht="23.85" hidden="false" customHeight="false" outlineLevel="0" collapsed="false">
      <c r="A118" s="14" t="s">
        <v>6167</v>
      </c>
      <c r="B118" s="17" t="s">
        <v>231</v>
      </c>
      <c r="C118" s="18" t="s">
        <v>6157</v>
      </c>
      <c r="D118" s="18" t="s">
        <v>8476</v>
      </c>
      <c r="E118" s="17" t="s">
        <v>8477</v>
      </c>
      <c r="F118" s="18" t="s">
        <v>8470</v>
      </c>
      <c r="G118" s="17" t="s">
        <v>8471</v>
      </c>
      <c r="H118" s="18" t="s">
        <v>6170</v>
      </c>
      <c r="I118" s="17" t="s">
        <v>8478</v>
      </c>
      <c r="J118" s="7"/>
      <c r="K118" s="7" t="s">
        <v>3915</v>
      </c>
      <c r="L118" s="8"/>
      <c r="M118" s="7" t="n">
        <f aca="false">COUNTIF('Mapa de Marcas'!$B:$B,$A118)</f>
        <v>1</v>
      </c>
      <c r="N118" s="7" t="n">
        <f aca="false">COUNTIFS('Mapa de Marcas'!$B:$B,$A118,'Mapa de Marcas'!$R:$R,"Lacuna")</f>
        <v>1</v>
      </c>
      <c r="O118" s="7" t="s">
        <v>1183</v>
      </c>
      <c r="P118" s="8" t="s">
        <v>3984</v>
      </c>
      <c r="Q118" s="12"/>
      <c r="R118" s="12"/>
    </row>
    <row r="119" customFormat="false" ht="23.85" hidden="false" customHeight="false" outlineLevel="0" collapsed="false">
      <c r="A119" s="14" t="s">
        <v>6172</v>
      </c>
      <c r="B119" s="17" t="s">
        <v>231</v>
      </c>
      <c r="C119" s="18" t="s">
        <v>6157</v>
      </c>
      <c r="D119" s="18" t="s">
        <v>8479</v>
      </c>
      <c r="E119" s="17" t="s">
        <v>8480</v>
      </c>
      <c r="F119" s="18" t="s">
        <v>8470</v>
      </c>
      <c r="G119" s="17" t="s">
        <v>8471</v>
      </c>
      <c r="H119" s="18" t="s">
        <v>6175</v>
      </c>
      <c r="I119" s="17" t="s">
        <v>8481</v>
      </c>
      <c r="J119" s="7"/>
      <c r="K119" s="7" t="s">
        <v>3915</v>
      </c>
      <c r="L119" s="8"/>
      <c r="M119" s="7" t="n">
        <f aca="false">COUNTIF('Mapa de Marcas'!$B:$B,$A119)</f>
        <v>1</v>
      </c>
      <c r="N119" s="7" t="n">
        <f aca="false">COUNTIFS('Mapa de Marcas'!$B:$B,$A119,'Mapa de Marcas'!$R:$R,"Lacuna")</f>
        <v>1</v>
      </c>
      <c r="O119" s="7" t="s">
        <v>1183</v>
      </c>
      <c r="P119" s="8" t="s">
        <v>3984</v>
      </c>
      <c r="Q119" s="12"/>
      <c r="R119" s="12"/>
    </row>
    <row r="120" customFormat="false" ht="23.85" hidden="false" customHeight="false" outlineLevel="0" collapsed="false">
      <c r="A120" s="14" t="s">
        <v>6177</v>
      </c>
      <c r="B120" s="17" t="s">
        <v>231</v>
      </c>
      <c r="C120" s="18" t="s">
        <v>6157</v>
      </c>
      <c r="D120" s="18" t="s">
        <v>8482</v>
      </c>
      <c r="E120" s="17" t="s">
        <v>8483</v>
      </c>
      <c r="F120" s="18" t="s">
        <v>8470</v>
      </c>
      <c r="G120" s="17" t="s">
        <v>8471</v>
      </c>
      <c r="H120" s="18" t="s">
        <v>6180</v>
      </c>
      <c r="I120" s="17" t="s">
        <v>8484</v>
      </c>
      <c r="J120" s="7"/>
      <c r="K120" s="7" t="s">
        <v>3915</v>
      </c>
      <c r="L120" s="8"/>
      <c r="M120" s="7" t="n">
        <f aca="false">COUNTIF('Mapa de Marcas'!$B:$B,$A120)</f>
        <v>1</v>
      </c>
      <c r="N120" s="7" t="n">
        <f aca="false">COUNTIFS('Mapa de Marcas'!$B:$B,$A120,'Mapa de Marcas'!$R:$R,"Lacuna")</f>
        <v>1</v>
      </c>
      <c r="O120" s="7" t="s">
        <v>1183</v>
      </c>
      <c r="P120" s="8" t="s">
        <v>3984</v>
      </c>
      <c r="Q120" s="12"/>
      <c r="R120" s="12"/>
    </row>
    <row r="121" customFormat="false" ht="23.85" hidden="false" customHeight="false" outlineLevel="0" collapsed="false">
      <c r="A121" s="14" t="s">
        <v>6182</v>
      </c>
      <c r="B121" s="17" t="s">
        <v>231</v>
      </c>
      <c r="C121" s="18" t="s">
        <v>6157</v>
      </c>
      <c r="D121" s="18" t="s">
        <v>8485</v>
      </c>
      <c r="E121" s="17" t="s">
        <v>8486</v>
      </c>
      <c r="F121" s="18" t="s">
        <v>8470</v>
      </c>
      <c r="G121" s="17" t="s">
        <v>8471</v>
      </c>
      <c r="H121" s="18" t="s">
        <v>6185</v>
      </c>
      <c r="I121" s="17" t="s">
        <v>8487</v>
      </c>
      <c r="J121" s="7"/>
      <c r="K121" s="7" t="s">
        <v>3915</v>
      </c>
      <c r="L121" s="8"/>
      <c r="M121" s="7" t="n">
        <f aca="false">COUNTIF('Mapa de Marcas'!$B:$B,$A121)</f>
        <v>1</v>
      </c>
      <c r="N121" s="7" t="n">
        <f aca="false">COUNTIFS('Mapa de Marcas'!$B:$B,$A121,'Mapa de Marcas'!$R:$R,"Lacuna")</f>
        <v>1</v>
      </c>
      <c r="O121" s="7" t="s">
        <v>1480</v>
      </c>
      <c r="P121" s="8" t="s">
        <v>3984</v>
      </c>
      <c r="Q121" s="12"/>
      <c r="R121" s="12"/>
    </row>
    <row r="122" customFormat="false" ht="23.85" hidden="false" customHeight="false" outlineLevel="0" collapsed="false">
      <c r="A122" s="14" t="s">
        <v>6187</v>
      </c>
      <c r="B122" s="17" t="s">
        <v>231</v>
      </c>
      <c r="C122" s="18" t="s">
        <v>6157</v>
      </c>
      <c r="D122" s="18" t="s">
        <v>8488</v>
      </c>
      <c r="E122" s="17" t="s">
        <v>8489</v>
      </c>
      <c r="F122" s="18" t="s">
        <v>8470</v>
      </c>
      <c r="G122" s="17" t="s">
        <v>8471</v>
      </c>
      <c r="H122" s="18" t="s">
        <v>6190</v>
      </c>
      <c r="I122" s="17" t="s">
        <v>8490</v>
      </c>
      <c r="J122" s="7"/>
      <c r="K122" s="7" t="s">
        <v>3915</v>
      </c>
      <c r="L122" s="8"/>
      <c r="M122" s="7" t="n">
        <f aca="false">COUNTIF('Mapa de Marcas'!$B:$B,$A122)</f>
        <v>1</v>
      </c>
      <c r="N122" s="7" t="n">
        <f aca="false">COUNTIFS('Mapa de Marcas'!$B:$B,$A122,'Mapa de Marcas'!$R:$R,"Lacuna")</f>
        <v>1</v>
      </c>
      <c r="O122" s="7" t="s">
        <v>1183</v>
      </c>
      <c r="P122" s="8" t="s">
        <v>3984</v>
      </c>
      <c r="Q122" s="12"/>
      <c r="R122" s="12"/>
    </row>
    <row r="123" customFormat="false" ht="23.85" hidden="false" customHeight="false" outlineLevel="0" collapsed="false">
      <c r="A123" s="14" t="s">
        <v>6192</v>
      </c>
      <c r="B123" s="17" t="s">
        <v>231</v>
      </c>
      <c r="C123" s="18" t="s">
        <v>6157</v>
      </c>
      <c r="D123" s="18" t="s">
        <v>8491</v>
      </c>
      <c r="E123" s="17" t="s">
        <v>8492</v>
      </c>
      <c r="F123" s="18" t="s">
        <v>8470</v>
      </c>
      <c r="G123" s="17" t="s">
        <v>8471</v>
      </c>
      <c r="H123" s="18" t="s">
        <v>6195</v>
      </c>
      <c r="I123" s="17" t="s">
        <v>8493</v>
      </c>
      <c r="J123" s="7"/>
      <c r="K123" s="7" t="s">
        <v>3915</v>
      </c>
      <c r="L123" s="8"/>
      <c r="M123" s="7" t="n">
        <f aca="false">COUNTIF('Mapa de Marcas'!$B:$B,$A123)</f>
        <v>1</v>
      </c>
      <c r="N123" s="7" t="n">
        <f aca="false">COUNTIFS('Mapa de Marcas'!$B:$B,$A123,'Mapa de Marcas'!$R:$R,"Lacuna")</f>
        <v>1</v>
      </c>
      <c r="O123" s="7" t="s">
        <v>1480</v>
      </c>
      <c r="P123" s="8" t="s">
        <v>3984</v>
      </c>
      <c r="Q123" s="12"/>
      <c r="R123" s="12"/>
    </row>
    <row r="124" customFormat="false" ht="23.85" hidden="false" customHeight="false" outlineLevel="0" collapsed="false">
      <c r="A124" s="14" t="s">
        <v>6197</v>
      </c>
      <c r="B124" s="17" t="s">
        <v>231</v>
      </c>
      <c r="C124" s="18" t="s">
        <v>6157</v>
      </c>
      <c r="D124" s="18" t="s">
        <v>8494</v>
      </c>
      <c r="E124" s="17" t="s">
        <v>8495</v>
      </c>
      <c r="F124" s="18" t="s">
        <v>8470</v>
      </c>
      <c r="G124" s="17" t="s">
        <v>8471</v>
      </c>
      <c r="H124" s="18" t="s">
        <v>6200</v>
      </c>
      <c r="I124" s="17" t="s">
        <v>8496</v>
      </c>
      <c r="J124" s="7"/>
      <c r="K124" s="7" t="s">
        <v>3915</v>
      </c>
      <c r="L124" s="8"/>
      <c r="M124" s="7" t="n">
        <f aca="false">COUNTIF('Mapa de Marcas'!$B:$B,$A124)</f>
        <v>1</v>
      </c>
      <c r="N124" s="7" t="n">
        <f aca="false">COUNTIFS('Mapa de Marcas'!$B:$B,$A124,'Mapa de Marcas'!$R:$R,"Lacuna")</f>
        <v>1</v>
      </c>
      <c r="O124" s="7" t="s">
        <v>1183</v>
      </c>
      <c r="P124" s="8" t="s">
        <v>3984</v>
      </c>
      <c r="Q124" s="12"/>
      <c r="R124" s="12"/>
    </row>
    <row r="125" customFormat="false" ht="23.85" hidden="false" customHeight="false" outlineLevel="0" collapsed="false">
      <c r="A125" s="14" t="s">
        <v>6202</v>
      </c>
      <c r="B125" s="17" t="s">
        <v>231</v>
      </c>
      <c r="C125" s="18" t="s">
        <v>6157</v>
      </c>
      <c r="D125" s="18" t="s">
        <v>8497</v>
      </c>
      <c r="E125" s="17" t="s">
        <v>8498</v>
      </c>
      <c r="F125" s="18" t="s">
        <v>8470</v>
      </c>
      <c r="G125" s="17" t="s">
        <v>8471</v>
      </c>
      <c r="H125" s="18" t="s">
        <v>6205</v>
      </c>
      <c r="I125" s="17" t="s">
        <v>8499</v>
      </c>
      <c r="J125" s="7"/>
      <c r="K125" s="7" t="s">
        <v>3915</v>
      </c>
      <c r="L125" s="8"/>
      <c r="M125" s="7" t="n">
        <f aca="false">COUNTIF('Mapa de Marcas'!$B:$B,$A125)</f>
        <v>1</v>
      </c>
      <c r="N125" s="7" t="n">
        <f aca="false">COUNTIFS('Mapa de Marcas'!$B:$B,$A125,'Mapa de Marcas'!$R:$R,"Lacuna")</f>
        <v>1</v>
      </c>
      <c r="O125" s="7" t="s">
        <v>1183</v>
      </c>
      <c r="P125" s="8" t="s">
        <v>3984</v>
      </c>
      <c r="Q125" s="12"/>
      <c r="R125" s="12"/>
    </row>
    <row r="126" customFormat="false" ht="23.85" hidden="false" customHeight="false" outlineLevel="0" collapsed="false">
      <c r="A126" s="14" t="s">
        <v>6207</v>
      </c>
      <c r="B126" s="17" t="s">
        <v>231</v>
      </c>
      <c r="C126" s="18" t="s">
        <v>6157</v>
      </c>
      <c r="D126" s="18" t="s">
        <v>8500</v>
      </c>
      <c r="E126" s="17" t="s">
        <v>8501</v>
      </c>
      <c r="F126" s="18" t="s">
        <v>8470</v>
      </c>
      <c r="G126" s="17" t="s">
        <v>8471</v>
      </c>
      <c r="H126" s="18" t="s">
        <v>6210</v>
      </c>
      <c r="I126" s="17" t="s">
        <v>8502</v>
      </c>
      <c r="J126" s="7"/>
      <c r="K126" s="7" t="s">
        <v>3915</v>
      </c>
      <c r="L126" s="8"/>
      <c r="M126" s="7" t="n">
        <f aca="false">COUNTIF('Mapa de Marcas'!$B:$B,$A126)</f>
        <v>1</v>
      </c>
      <c r="N126" s="7" t="n">
        <f aca="false">COUNTIFS('Mapa de Marcas'!$B:$B,$A126,'Mapa de Marcas'!$R:$R,"Lacuna")</f>
        <v>1</v>
      </c>
      <c r="O126" s="7" t="s">
        <v>1183</v>
      </c>
      <c r="P126" s="8" t="s">
        <v>3984</v>
      </c>
      <c r="Q126" s="12"/>
      <c r="R126" s="12"/>
    </row>
    <row r="127" customFormat="false" ht="23.85" hidden="false" customHeight="false" outlineLevel="0" collapsed="false">
      <c r="A127" s="14" t="s">
        <v>6212</v>
      </c>
      <c r="B127" s="17" t="s">
        <v>231</v>
      </c>
      <c r="C127" s="18" t="s">
        <v>6157</v>
      </c>
      <c r="D127" s="18" t="s">
        <v>8503</v>
      </c>
      <c r="E127" s="17" t="s">
        <v>8504</v>
      </c>
      <c r="F127" s="18" t="s">
        <v>8470</v>
      </c>
      <c r="G127" s="17" t="s">
        <v>8471</v>
      </c>
      <c r="H127" s="18" t="s">
        <v>6215</v>
      </c>
      <c r="I127" s="17" t="s">
        <v>8505</v>
      </c>
      <c r="J127" s="7"/>
      <c r="K127" s="7" t="s">
        <v>3915</v>
      </c>
      <c r="L127" s="8"/>
      <c r="M127" s="7" t="n">
        <f aca="false">COUNTIF('Mapa de Marcas'!$B:$B,$A127)</f>
        <v>1</v>
      </c>
      <c r="N127" s="7" t="n">
        <f aca="false">COUNTIFS('Mapa de Marcas'!$B:$B,$A127,'Mapa de Marcas'!$R:$R,"Lacuna")</f>
        <v>1</v>
      </c>
      <c r="O127" s="7" t="s">
        <v>1480</v>
      </c>
      <c r="P127" s="8" t="s">
        <v>3984</v>
      </c>
      <c r="Q127" s="12"/>
      <c r="R127" s="12"/>
    </row>
    <row r="128" customFormat="false" ht="23.85" hidden="false" customHeight="false" outlineLevel="0" collapsed="false">
      <c r="A128" s="14" t="s">
        <v>6217</v>
      </c>
      <c r="B128" s="17" t="s">
        <v>231</v>
      </c>
      <c r="C128" s="18" t="s">
        <v>6157</v>
      </c>
      <c r="D128" s="18" t="s">
        <v>8506</v>
      </c>
      <c r="E128" s="17" t="s">
        <v>8507</v>
      </c>
      <c r="F128" s="18" t="s">
        <v>8470</v>
      </c>
      <c r="G128" s="17" t="s">
        <v>8471</v>
      </c>
      <c r="H128" s="18" t="s">
        <v>6220</v>
      </c>
      <c r="I128" s="17" t="s">
        <v>8508</v>
      </c>
      <c r="J128" s="7"/>
      <c r="K128" s="7" t="s">
        <v>3915</v>
      </c>
      <c r="L128" s="8"/>
      <c r="M128" s="7" t="n">
        <f aca="false">COUNTIF('Mapa de Marcas'!$B:$B,$A128)</f>
        <v>1</v>
      </c>
      <c r="N128" s="7" t="n">
        <f aca="false">COUNTIFS('Mapa de Marcas'!$B:$B,$A128,'Mapa de Marcas'!$R:$R,"Lacuna")</f>
        <v>1</v>
      </c>
      <c r="O128" s="7" t="s">
        <v>1480</v>
      </c>
      <c r="P128" s="8" t="s">
        <v>3984</v>
      </c>
      <c r="Q128" s="12"/>
      <c r="R128" s="12"/>
    </row>
    <row r="129" customFormat="false" ht="23.85" hidden="false" customHeight="false" outlineLevel="0" collapsed="false">
      <c r="A129" s="14" t="s">
        <v>6222</v>
      </c>
      <c r="B129" s="17" t="s">
        <v>231</v>
      </c>
      <c r="C129" s="18" t="s">
        <v>6157</v>
      </c>
      <c r="D129" s="18" t="s">
        <v>8509</v>
      </c>
      <c r="E129" s="17" t="s">
        <v>8510</v>
      </c>
      <c r="F129" s="18" t="s">
        <v>8470</v>
      </c>
      <c r="G129" s="17" t="s">
        <v>8471</v>
      </c>
      <c r="H129" s="18" t="s">
        <v>6225</v>
      </c>
      <c r="I129" s="17" t="s">
        <v>8511</v>
      </c>
      <c r="J129" s="7"/>
      <c r="K129" s="7" t="s">
        <v>3915</v>
      </c>
      <c r="L129" s="8"/>
      <c r="M129" s="7" t="n">
        <f aca="false">COUNTIF('Mapa de Marcas'!$B:$B,$A129)</f>
        <v>1</v>
      </c>
      <c r="N129" s="7" t="n">
        <f aca="false">COUNTIFS('Mapa de Marcas'!$B:$B,$A129,'Mapa de Marcas'!$R:$R,"Lacuna")</f>
        <v>1</v>
      </c>
      <c r="O129" s="7" t="s">
        <v>1183</v>
      </c>
      <c r="P129" s="8" t="s">
        <v>3984</v>
      </c>
      <c r="Q129" s="12"/>
      <c r="R129" s="12"/>
    </row>
    <row r="130" customFormat="false" ht="23.85" hidden="false" customHeight="false" outlineLevel="0" collapsed="false">
      <c r="A130" s="14" t="s">
        <v>6227</v>
      </c>
      <c r="B130" s="17" t="s">
        <v>231</v>
      </c>
      <c r="C130" s="18" t="s">
        <v>6157</v>
      </c>
      <c r="D130" s="18" t="s">
        <v>8512</v>
      </c>
      <c r="E130" s="17" t="s">
        <v>8513</v>
      </c>
      <c r="F130" s="18" t="s">
        <v>8470</v>
      </c>
      <c r="G130" s="17" t="s">
        <v>8471</v>
      </c>
      <c r="H130" s="18" t="s">
        <v>6230</v>
      </c>
      <c r="I130" s="17" t="s">
        <v>8514</v>
      </c>
      <c r="J130" s="7"/>
      <c r="K130" s="7" t="s">
        <v>3915</v>
      </c>
      <c r="L130" s="8"/>
      <c r="M130" s="7" t="n">
        <f aca="false">COUNTIF('Mapa de Marcas'!$B:$B,$A130)</f>
        <v>1</v>
      </c>
      <c r="N130" s="7" t="n">
        <f aca="false">COUNTIFS('Mapa de Marcas'!$B:$B,$A130,'Mapa de Marcas'!$R:$R,"Lacuna")</f>
        <v>1</v>
      </c>
      <c r="O130" s="7" t="s">
        <v>1480</v>
      </c>
      <c r="P130" s="8" t="s">
        <v>3984</v>
      </c>
      <c r="Q130" s="12"/>
      <c r="R130" s="12"/>
    </row>
    <row r="131" customFormat="false" ht="23.85" hidden="false" customHeight="false" outlineLevel="0" collapsed="false">
      <c r="A131" s="14" t="s">
        <v>6232</v>
      </c>
      <c r="B131" s="17" t="s">
        <v>231</v>
      </c>
      <c r="C131" s="18" t="s">
        <v>6157</v>
      </c>
      <c r="D131" s="18" t="s">
        <v>8515</v>
      </c>
      <c r="E131" s="17" t="s">
        <v>8516</v>
      </c>
      <c r="F131" s="18" t="s">
        <v>8470</v>
      </c>
      <c r="G131" s="17" t="s">
        <v>8471</v>
      </c>
      <c r="H131" s="18" t="s">
        <v>6235</v>
      </c>
      <c r="I131" s="17" t="s">
        <v>8517</v>
      </c>
      <c r="J131" s="7"/>
      <c r="K131" s="7" t="s">
        <v>3915</v>
      </c>
      <c r="L131" s="8"/>
      <c r="M131" s="7" t="n">
        <f aca="false">COUNTIF('Mapa de Marcas'!$B:$B,$A131)</f>
        <v>1</v>
      </c>
      <c r="N131" s="7" t="n">
        <f aca="false">COUNTIFS('Mapa de Marcas'!$B:$B,$A131,'Mapa de Marcas'!$R:$R,"Lacuna")</f>
        <v>1</v>
      </c>
      <c r="O131" s="7" t="s">
        <v>1480</v>
      </c>
      <c r="P131" s="8" t="s">
        <v>3984</v>
      </c>
      <c r="Q131" s="12"/>
      <c r="R131" s="12"/>
    </row>
    <row r="132" customFormat="false" ht="23.85" hidden="false" customHeight="false" outlineLevel="0" collapsed="false">
      <c r="A132" s="14" t="s">
        <v>6237</v>
      </c>
      <c r="B132" s="17" t="s">
        <v>231</v>
      </c>
      <c r="C132" s="18" t="s">
        <v>6157</v>
      </c>
      <c r="D132" s="18" t="s">
        <v>8518</v>
      </c>
      <c r="E132" s="17" t="s">
        <v>8519</v>
      </c>
      <c r="F132" s="18" t="s">
        <v>8470</v>
      </c>
      <c r="G132" s="17" t="s">
        <v>8471</v>
      </c>
      <c r="H132" s="18" t="s">
        <v>6240</v>
      </c>
      <c r="I132" s="17" t="s">
        <v>8520</v>
      </c>
      <c r="J132" s="7"/>
      <c r="K132" s="7" t="s">
        <v>3915</v>
      </c>
      <c r="L132" s="8"/>
      <c r="M132" s="7" t="n">
        <f aca="false">COUNTIF('Mapa de Marcas'!$B:$B,$A132)</f>
        <v>1</v>
      </c>
      <c r="N132" s="7" t="n">
        <f aca="false">COUNTIFS('Mapa de Marcas'!$B:$B,$A132,'Mapa de Marcas'!$R:$R,"Lacuna")</f>
        <v>1</v>
      </c>
      <c r="O132" s="7" t="s">
        <v>1480</v>
      </c>
      <c r="P132" s="8" t="s">
        <v>3984</v>
      </c>
      <c r="Q132" s="12"/>
      <c r="R132" s="12"/>
    </row>
    <row r="133" customFormat="false" ht="23.85" hidden="false" customHeight="false" outlineLevel="0" collapsed="false">
      <c r="A133" s="14" t="s">
        <v>6242</v>
      </c>
      <c r="B133" s="17" t="s">
        <v>231</v>
      </c>
      <c r="C133" s="18" t="s">
        <v>6157</v>
      </c>
      <c r="D133" s="18" t="s">
        <v>8521</v>
      </c>
      <c r="E133" s="17" t="s">
        <v>8522</v>
      </c>
      <c r="F133" s="18" t="s">
        <v>8470</v>
      </c>
      <c r="G133" s="17" t="s">
        <v>8471</v>
      </c>
      <c r="H133" s="18" t="s">
        <v>6245</v>
      </c>
      <c r="I133" s="17" t="s">
        <v>8523</v>
      </c>
      <c r="J133" s="7"/>
      <c r="K133" s="7" t="s">
        <v>3915</v>
      </c>
      <c r="L133" s="8"/>
      <c r="M133" s="7" t="n">
        <f aca="false">COUNTIF('Mapa de Marcas'!$B:$B,$A133)</f>
        <v>1</v>
      </c>
      <c r="N133" s="7" t="n">
        <f aca="false">COUNTIFS('Mapa de Marcas'!$B:$B,$A133,'Mapa de Marcas'!$R:$R,"Lacuna")</f>
        <v>1</v>
      </c>
      <c r="O133" s="7" t="s">
        <v>1480</v>
      </c>
      <c r="P133" s="8" t="s">
        <v>3984</v>
      </c>
      <c r="Q133" s="12"/>
      <c r="R133" s="12"/>
    </row>
    <row r="134" customFormat="false" ht="23.85" hidden="false" customHeight="false" outlineLevel="0" collapsed="false">
      <c r="A134" s="14" t="s">
        <v>6247</v>
      </c>
      <c r="B134" s="17" t="s">
        <v>231</v>
      </c>
      <c r="C134" s="18" t="s">
        <v>6157</v>
      </c>
      <c r="D134" s="18" t="s">
        <v>8524</v>
      </c>
      <c r="E134" s="17" t="s">
        <v>8525</v>
      </c>
      <c r="F134" s="18" t="s">
        <v>8470</v>
      </c>
      <c r="G134" s="17" t="s">
        <v>8471</v>
      </c>
      <c r="H134" s="18" t="s">
        <v>6250</v>
      </c>
      <c r="I134" s="17" t="s">
        <v>8526</v>
      </c>
      <c r="J134" s="7"/>
      <c r="K134" s="7" t="s">
        <v>3915</v>
      </c>
      <c r="L134" s="8"/>
      <c r="M134" s="7" t="n">
        <f aca="false">COUNTIF('Mapa de Marcas'!$B:$B,$A134)</f>
        <v>1</v>
      </c>
      <c r="N134" s="7" t="n">
        <f aca="false">COUNTIFS('Mapa de Marcas'!$B:$B,$A134,'Mapa de Marcas'!$R:$R,"Lacuna")</f>
        <v>1</v>
      </c>
      <c r="O134" s="7" t="s">
        <v>1480</v>
      </c>
      <c r="P134" s="8" t="s">
        <v>3984</v>
      </c>
      <c r="Q134" s="12"/>
      <c r="R134" s="12"/>
    </row>
    <row r="135" customFormat="false" ht="23.85" hidden="false" customHeight="false" outlineLevel="0" collapsed="false">
      <c r="A135" s="14" t="s">
        <v>6252</v>
      </c>
      <c r="B135" s="17" t="s">
        <v>231</v>
      </c>
      <c r="C135" s="18" t="s">
        <v>6157</v>
      </c>
      <c r="D135" s="18" t="s">
        <v>8527</v>
      </c>
      <c r="E135" s="17" t="s">
        <v>8528</v>
      </c>
      <c r="F135" s="18" t="s">
        <v>8470</v>
      </c>
      <c r="G135" s="17" t="s">
        <v>8471</v>
      </c>
      <c r="H135" s="18" t="s">
        <v>6255</v>
      </c>
      <c r="I135" s="17" t="s">
        <v>8529</v>
      </c>
      <c r="J135" s="7"/>
      <c r="K135" s="7" t="s">
        <v>3915</v>
      </c>
      <c r="L135" s="8"/>
      <c r="M135" s="7" t="n">
        <f aca="false">COUNTIF('Mapa de Marcas'!$B:$B,$A135)</f>
        <v>1</v>
      </c>
      <c r="N135" s="7" t="n">
        <f aca="false">COUNTIFS('Mapa de Marcas'!$B:$B,$A135,'Mapa de Marcas'!$R:$R,"Lacuna")</f>
        <v>1</v>
      </c>
      <c r="O135" s="7" t="s">
        <v>1480</v>
      </c>
      <c r="P135" s="8" t="s">
        <v>3984</v>
      </c>
      <c r="Q135" s="12"/>
      <c r="R135" s="12"/>
    </row>
    <row r="136" customFormat="false" ht="23.85" hidden="false" customHeight="false" outlineLevel="0" collapsed="false">
      <c r="A136" s="14" t="s">
        <v>6257</v>
      </c>
      <c r="B136" s="17" t="s">
        <v>231</v>
      </c>
      <c r="C136" s="18" t="s">
        <v>6157</v>
      </c>
      <c r="D136" s="18" t="s">
        <v>8530</v>
      </c>
      <c r="E136" s="17" t="s">
        <v>8531</v>
      </c>
      <c r="F136" s="18" t="s">
        <v>8470</v>
      </c>
      <c r="G136" s="17" t="s">
        <v>8471</v>
      </c>
      <c r="H136" s="18" t="s">
        <v>6260</v>
      </c>
      <c r="I136" s="17" t="s">
        <v>8532</v>
      </c>
      <c r="J136" s="7"/>
      <c r="K136" s="7" t="s">
        <v>3915</v>
      </c>
      <c r="L136" s="8"/>
      <c r="M136" s="7" t="n">
        <f aca="false">COUNTIF('Mapa de Marcas'!$B:$B,$A136)</f>
        <v>1</v>
      </c>
      <c r="N136" s="7" t="n">
        <f aca="false">COUNTIFS('Mapa de Marcas'!$B:$B,$A136,'Mapa de Marcas'!$R:$R,"Lacuna")</f>
        <v>1</v>
      </c>
      <c r="O136" s="7" t="s">
        <v>1480</v>
      </c>
      <c r="P136" s="8" t="s">
        <v>3984</v>
      </c>
      <c r="Q136" s="12"/>
      <c r="R136" s="12"/>
    </row>
    <row r="137" customFormat="false" ht="23.85" hidden="false" customHeight="false" outlineLevel="0" collapsed="false">
      <c r="A137" s="14" t="s">
        <v>6262</v>
      </c>
      <c r="B137" s="17" t="s">
        <v>231</v>
      </c>
      <c r="C137" s="18" t="s">
        <v>6157</v>
      </c>
      <c r="D137" s="18" t="s">
        <v>8533</v>
      </c>
      <c r="E137" s="17" t="s">
        <v>8534</v>
      </c>
      <c r="F137" s="18" t="s">
        <v>8470</v>
      </c>
      <c r="G137" s="17" t="s">
        <v>8471</v>
      </c>
      <c r="H137" s="18" t="s">
        <v>6265</v>
      </c>
      <c r="I137" s="17" t="s">
        <v>8535</v>
      </c>
      <c r="J137" s="7"/>
      <c r="K137" s="7" t="s">
        <v>3915</v>
      </c>
      <c r="L137" s="8"/>
      <c r="M137" s="7" t="n">
        <f aca="false">COUNTIF('Mapa de Marcas'!$B:$B,$A137)</f>
        <v>1</v>
      </c>
      <c r="N137" s="7" t="n">
        <f aca="false">COUNTIFS('Mapa de Marcas'!$B:$B,$A137,'Mapa de Marcas'!$R:$R,"Lacuna")</f>
        <v>1</v>
      </c>
      <c r="O137" s="7" t="s">
        <v>1480</v>
      </c>
      <c r="P137" s="8" t="s">
        <v>3984</v>
      </c>
      <c r="Q137" s="12"/>
      <c r="R137" s="12"/>
    </row>
    <row r="138" customFormat="false" ht="23.85" hidden="false" customHeight="false" outlineLevel="0" collapsed="false">
      <c r="A138" s="14" t="s">
        <v>6267</v>
      </c>
      <c r="B138" s="17" t="s">
        <v>231</v>
      </c>
      <c r="C138" s="18" t="s">
        <v>6157</v>
      </c>
      <c r="D138" s="18" t="s">
        <v>8536</v>
      </c>
      <c r="E138" s="17" t="s">
        <v>8537</v>
      </c>
      <c r="F138" s="18" t="s">
        <v>8470</v>
      </c>
      <c r="G138" s="17" t="s">
        <v>8471</v>
      </c>
      <c r="H138" s="18" t="s">
        <v>6270</v>
      </c>
      <c r="I138" s="17" t="s">
        <v>8538</v>
      </c>
      <c r="J138" s="7"/>
      <c r="K138" s="7" t="s">
        <v>3915</v>
      </c>
      <c r="L138" s="8"/>
      <c r="M138" s="7" t="n">
        <f aca="false">COUNTIF('Mapa de Marcas'!$B:$B,$A138)</f>
        <v>1</v>
      </c>
      <c r="N138" s="7" t="n">
        <f aca="false">COUNTIFS('Mapa de Marcas'!$B:$B,$A138,'Mapa de Marcas'!$R:$R,"Lacuna")</f>
        <v>1</v>
      </c>
      <c r="O138" s="7" t="s">
        <v>1480</v>
      </c>
      <c r="P138" s="8" t="s">
        <v>3984</v>
      </c>
      <c r="Q138" s="12"/>
      <c r="R138" s="12"/>
    </row>
    <row r="139" customFormat="false" ht="23.85" hidden="false" customHeight="false" outlineLevel="0" collapsed="false">
      <c r="A139" s="14" t="s">
        <v>6272</v>
      </c>
      <c r="B139" s="17" t="s">
        <v>231</v>
      </c>
      <c r="C139" s="18" t="s">
        <v>6157</v>
      </c>
      <c r="D139" s="18" t="s">
        <v>8539</v>
      </c>
      <c r="E139" s="17" t="s">
        <v>8540</v>
      </c>
      <c r="F139" s="18" t="s">
        <v>8470</v>
      </c>
      <c r="G139" s="17" t="s">
        <v>1021</v>
      </c>
      <c r="H139" s="18" t="s">
        <v>6276</v>
      </c>
      <c r="I139" s="17" t="s">
        <v>8541</v>
      </c>
      <c r="J139" s="7"/>
      <c r="K139" s="7" t="s">
        <v>3915</v>
      </c>
      <c r="L139" s="8" t="s">
        <v>6273</v>
      </c>
      <c r="M139" s="7" t="n">
        <f aca="false">COUNTIF('Mapa de Marcas'!$B:$B,$A139)</f>
        <v>1</v>
      </c>
      <c r="N139" s="7" t="n">
        <f aca="false">COUNTIFS('Mapa de Marcas'!$B:$B,$A139,'Mapa de Marcas'!$R:$R,"Lacuna")</f>
        <v>1</v>
      </c>
      <c r="O139" s="7" t="s">
        <v>1480</v>
      </c>
      <c r="P139" s="8" t="s">
        <v>3984</v>
      </c>
      <c r="Q139" s="12"/>
      <c r="R139" s="12"/>
    </row>
    <row r="140" customFormat="false" ht="23.85" hidden="false" customHeight="false" outlineLevel="0" collapsed="false">
      <c r="A140" s="14" t="s">
        <v>6278</v>
      </c>
      <c r="B140" s="17" t="s">
        <v>231</v>
      </c>
      <c r="C140" s="18" t="s">
        <v>6157</v>
      </c>
      <c r="D140" s="18" t="s">
        <v>8542</v>
      </c>
      <c r="E140" s="17" t="s">
        <v>8543</v>
      </c>
      <c r="F140" s="18" t="s">
        <v>8470</v>
      </c>
      <c r="G140" s="17" t="s">
        <v>1021</v>
      </c>
      <c r="H140" s="18" t="s">
        <v>6281</v>
      </c>
      <c r="I140" s="17" t="s">
        <v>8541</v>
      </c>
      <c r="J140" s="7"/>
      <c r="K140" s="7" t="s">
        <v>3915</v>
      </c>
      <c r="L140" s="8" t="s">
        <v>6279</v>
      </c>
      <c r="M140" s="7" t="n">
        <f aca="false">COUNTIF('Mapa de Marcas'!$B:$B,$A140)</f>
        <v>1</v>
      </c>
      <c r="N140" s="7" t="n">
        <f aca="false">COUNTIFS('Mapa de Marcas'!$B:$B,$A140,'Mapa de Marcas'!$R:$R,"Lacuna")</f>
        <v>1</v>
      </c>
      <c r="O140" s="7" t="s">
        <v>1480</v>
      </c>
      <c r="P140" s="8" t="s">
        <v>3984</v>
      </c>
      <c r="Q140" s="12"/>
      <c r="R140" s="12"/>
    </row>
    <row r="141" customFormat="false" ht="23.85" hidden="false" customHeight="false" outlineLevel="0" collapsed="false">
      <c r="A141" s="14" t="s">
        <v>6283</v>
      </c>
      <c r="B141" s="17" t="s">
        <v>231</v>
      </c>
      <c r="C141" s="18" t="s">
        <v>6284</v>
      </c>
      <c r="D141" s="18" t="s">
        <v>8544</v>
      </c>
      <c r="E141" s="17" t="s">
        <v>8545</v>
      </c>
      <c r="F141" s="18" t="s">
        <v>8470</v>
      </c>
      <c r="G141" s="17" t="s">
        <v>720</v>
      </c>
      <c r="H141" s="18" t="s">
        <v>6290</v>
      </c>
      <c r="I141" s="17" t="s">
        <v>8546</v>
      </c>
      <c r="J141" s="7"/>
      <c r="K141" s="7" t="s">
        <v>6287</v>
      </c>
      <c r="L141" s="8" t="s">
        <v>6286</v>
      </c>
      <c r="M141" s="7" t="n">
        <f aca="false">COUNTIF('Mapa de Marcas'!$B:$B,$A141)</f>
        <v>1</v>
      </c>
      <c r="N141" s="7" t="n">
        <f aca="false">COUNTIFS('Mapa de Marcas'!$B:$B,$A141,'Mapa de Marcas'!$R:$R,"Lacuna")</f>
        <v>0</v>
      </c>
      <c r="O141" s="7" t="s">
        <v>1480</v>
      </c>
      <c r="P141" s="8" t="s">
        <v>3984</v>
      </c>
      <c r="Q141" s="12"/>
      <c r="R141" s="12"/>
    </row>
    <row r="142" customFormat="false" ht="23.85" hidden="false" customHeight="false" outlineLevel="0" collapsed="false">
      <c r="A142" s="14" t="s">
        <v>6292</v>
      </c>
      <c r="B142" s="17" t="s">
        <v>231</v>
      </c>
      <c r="C142" s="18" t="s">
        <v>6284</v>
      </c>
      <c r="D142" s="18" t="s">
        <v>8547</v>
      </c>
      <c r="E142" s="17" t="s">
        <v>8548</v>
      </c>
      <c r="F142" s="18" t="s">
        <v>8470</v>
      </c>
      <c r="G142" s="17" t="s">
        <v>720</v>
      </c>
      <c r="H142" s="18" t="s">
        <v>6295</v>
      </c>
      <c r="I142" s="17" t="s">
        <v>8549</v>
      </c>
      <c r="J142" s="7"/>
      <c r="K142" s="7" t="s">
        <v>6287</v>
      </c>
      <c r="L142" s="8" t="s">
        <v>6293</v>
      </c>
      <c r="M142" s="7" t="n">
        <f aca="false">COUNTIF('Mapa de Marcas'!$B:$B,$A142)</f>
        <v>1</v>
      </c>
      <c r="N142" s="7" t="n">
        <f aca="false">COUNTIFS('Mapa de Marcas'!$B:$B,$A142,'Mapa de Marcas'!$R:$R,"Lacuna")</f>
        <v>0</v>
      </c>
      <c r="O142" s="7" t="s">
        <v>1480</v>
      </c>
      <c r="P142" s="8" t="s">
        <v>3984</v>
      </c>
      <c r="Q142" s="12"/>
      <c r="R142" s="12"/>
    </row>
    <row r="143" customFormat="false" ht="23.85" hidden="false" customHeight="false" outlineLevel="0" collapsed="false">
      <c r="A143" s="14" t="s">
        <v>6297</v>
      </c>
      <c r="B143" s="17" t="s">
        <v>231</v>
      </c>
      <c r="C143" s="18" t="s">
        <v>6284</v>
      </c>
      <c r="D143" s="18" t="s">
        <v>8550</v>
      </c>
      <c r="E143" s="17" t="s">
        <v>8551</v>
      </c>
      <c r="F143" s="18" t="s">
        <v>8470</v>
      </c>
      <c r="G143" s="17" t="s">
        <v>720</v>
      </c>
      <c r="H143" s="18" t="s">
        <v>6300</v>
      </c>
      <c r="I143" s="17" t="s">
        <v>8552</v>
      </c>
      <c r="J143" s="7"/>
      <c r="K143" s="7" t="s">
        <v>6287</v>
      </c>
      <c r="L143" s="8" t="s">
        <v>6298</v>
      </c>
      <c r="M143" s="7" t="n">
        <f aca="false">COUNTIF('Mapa de Marcas'!$B:$B,$A143)</f>
        <v>1</v>
      </c>
      <c r="N143" s="7" t="n">
        <f aca="false">COUNTIFS('Mapa de Marcas'!$B:$B,$A143,'Mapa de Marcas'!$R:$R,"Lacuna")</f>
        <v>0</v>
      </c>
      <c r="O143" s="7" t="s">
        <v>1480</v>
      </c>
      <c r="P143" s="8" t="s">
        <v>3984</v>
      </c>
      <c r="Q143" s="12"/>
      <c r="R143" s="12"/>
    </row>
    <row r="144" customFormat="false" ht="23.85" hidden="false" customHeight="false" outlineLevel="0" collapsed="false">
      <c r="A144" s="14" t="s">
        <v>6302</v>
      </c>
      <c r="B144" s="17" t="s">
        <v>231</v>
      </c>
      <c r="C144" s="18" t="s">
        <v>6303</v>
      </c>
      <c r="D144" s="18" t="s">
        <v>8553</v>
      </c>
      <c r="E144" s="17" t="s">
        <v>8554</v>
      </c>
      <c r="F144" s="18" t="s">
        <v>8555</v>
      </c>
      <c r="G144" s="17" t="s">
        <v>720</v>
      </c>
      <c r="H144" s="18" t="s">
        <v>6308</v>
      </c>
      <c r="I144" s="17" t="s">
        <v>8556</v>
      </c>
      <c r="J144" s="7"/>
      <c r="K144" s="7" t="s">
        <v>6306</v>
      </c>
      <c r="L144" s="8" t="s">
        <v>6305</v>
      </c>
      <c r="M144" s="7" t="n">
        <f aca="false">COUNTIF('Mapa de Marcas'!$B:$B,$A144)</f>
        <v>1</v>
      </c>
      <c r="N144" s="7" t="n">
        <f aca="false">COUNTIFS('Mapa de Marcas'!$B:$B,$A144,'Mapa de Marcas'!$R:$R,"Lacuna")</f>
        <v>0</v>
      </c>
      <c r="O144" s="7" t="s">
        <v>1480</v>
      </c>
      <c r="P144" s="8" t="s">
        <v>3984</v>
      </c>
      <c r="Q144" s="12"/>
      <c r="R144" s="12"/>
    </row>
    <row r="145" customFormat="false" ht="23.85" hidden="false" customHeight="false" outlineLevel="0" collapsed="false">
      <c r="A145" s="14" t="s">
        <v>6310</v>
      </c>
      <c r="B145" s="17" t="s">
        <v>231</v>
      </c>
      <c r="C145" s="18" t="s">
        <v>6303</v>
      </c>
      <c r="D145" s="18" t="s">
        <v>8557</v>
      </c>
      <c r="E145" s="17" t="s">
        <v>8558</v>
      </c>
      <c r="F145" s="18" t="s">
        <v>8555</v>
      </c>
      <c r="G145" s="17" t="s">
        <v>720</v>
      </c>
      <c r="H145" s="18" t="s">
        <v>6313</v>
      </c>
      <c r="I145" s="17" t="s">
        <v>8559</v>
      </c>
      <c r="J145" s="7"/>
      <c r="K145" s="7" t="s">
        <v>6306</v>
      </c>
      <c r="L145" s="8" t="s">
        <v>6311</v>
      </c>
      <c r="M145" s="7" t="n">
        <f aca="false">COUNTIF('Mapa de Marcas'!$B:$B,$A145)</f>
        <v>1</v>
      </c>
      <c r="N145" s="7" t="n">
        <f aca="false">COUNTIFS('Mapa de Marcas'!$B:$B,$A145,'Mapa de Marcas'!$R:$R,"Lacuna")</f>
        <v>0</v>
      </c>
      <c r="O145" s="7" t="s">
        <v>1480</v>
      </c>
      <c r="P145" s="8" t="s">
        <v>3984</v>
      </c>
      <c r="Q145" s="12"/>
      <c r="R145" s="12"/>
    </row>
    <row r="146" customFormat="false" ht="23.85" hidden="false" customHeight="false" outlineLevel="0" collapsed="false">
      <c r="A146" s="14" t="s">
        <v>6315</v>
      </c>
      <c r="B146" s="17" t="s">
        <v>8560</v>
      </c>
      <c r="C146" s="18" t="s">
        <v>6316</v>
      </c>
      <c r="D146" s="18" t="s">
        <v>8561</v>
      </c>
      <c r="E146" s="17" t="s">
        <v>8562</v>
      </c>
      <c r="F146" s="18" t="s">
        <v>8470</v>
      </c>
      <c r="G146" s="17" t="s">
        <v>8563</v>
      </c>
      <c r="H146" s="18" t="s">
        <v>6320</v>
      </c>
      <c r="I146" s="17" t="s">
        <v>8564</v>
      </c>
      <c r="J146" s="7"/>
      <c r="K146" s="7" t="s">
        <v>3937</v>
      </c>
      <c r="L146" s="8" t="s">
        <v>6372</v>
      </c>
      <c r="M146" s="7" t="n">
        <f aca="false">COUNTIF('Mapa de Marcas'!$B:$B,$A146)</f>
        <v>2</v>
      </c>
      <c r="N146" s="7" t="n">
        <f aca="false">COUNTIFS('Mapa de Marcas'!$B:$B,$A146,'Mapa de Marcas'!$R:$R,"Lacuna")</f>
        <v>0</v>
      </c>
      <c r="O146" s="7" t="s">
        <v>1183</v>
      </c>
      <c r="P146" s="8" t="s">
        <v>3984</v>
      </c>
      <c r="Q146" s="12"/>
      <c r="R146" s="12"/>
    </row>
    <row r="147" customFormat="false" ht="23.85" hidden="false" customHeight="false" outlineLevel="0" collapsed="false">
      <c r="A147" s="14" t="s">
        <v>6322</v>
      </c>
      <c r="B147" s="17" t="s">
        <v>8560</v>
      </c>
      <c r="C147" s="18" t="s">
        <v>6316</v>
      </c>
      <c r="D147" s="18" t="s">
        <v>8565</v>
      </c>
      <c r="E147" s="17" t="s">
        <v>8566</v>
      </c>
      <c r="F147" s="18" t="s">
        <v>8470</v>
      </c>
      <c r="G147" s="17" t="s">
        <v>8563</v>
      </c>
      <c r="H147" s="18" t="s">
        <v>6325</v>
      </c>
      <c r="I147" s="17" t="s">
        <v>8567</v>
      </c>
      <c r="J147" s="7"/>
      <c r="K147" s="7" t="s">
        <v>3937</v>
      </c>
      <c r="L147" s="8" t="s">
        <v>6377</v>
      </c>
      <c r="M147" s="7" t="n">
        <f aca="false">COUNTIF('Mapa de Marcas'!$B:$B,$A147)</f>
        <v>2</v>
      </c>
      <c r="N147" s="7" t="n">
        <f aca="false">COUNTIFS('Mapa de Marcas'!$B:$B,$A147,'Mapa de Marcas'!$R:$R,"Lacuna")</f>
        <v>0</v>
      </c>
      <c r="O147" s="7" t="s">
        <v>1480</v>
      </c>
      <c r="P147" s="8" t="s">
        <v>3984</v>
      </c>
      <c r="Q147" s="12"/>
      <c r="R147" s="12"/>
    </row>
    <row r="148" customFormat="false" ht="23.85" hidden="false" customHeight="false" outlineLevel="0" collapsed="false">
      <c r="A148" s="14" t="s">
        <v>6327</v>
      </c>
      <c r="B148" s="17" t="s">
        <v>291</v>
      </c>
      <c r="C148" s="18" t="s">
        <v>6316</v>
      </c>
      <c r="D148" s="18" t="s">
        <v>8568</v>
      </c>
      <c r="E148" s="17" t="s">
        <v>8569</v>
      </c>
      <c r="F148" s="18" t="s">
        <v>8470</v>
      </c>
      <c r="G148" s="17" t="s">
        <v>8563</v>
      </c>
      <c r="H148" s="18" t="s">
        <v>6330</v>
      </c>
      <c r="I148" s="17" t="s">
        <v>8570</v>
      </c>
      <c r="J148" s="7"/>
      <c r="K148" s="7" t="s">
        <v>3937</v>
      </c>
      <c r="L148" s="8"/>
      <c r="M148" s="7" t="n">
        <f aca="false">COUNTIF('Mapa de Marcas'!$B:$B,$A148)</f>
        <v>1</v>
      </c>
      <c r="N148" s="7" t="n">
        <f aca="false">COUNTIFS('Mapa de Marcas'!$B:$B,$A148,'Mapa de Marcas'!$R:$R,"Lacuna")</f>
        <v>0</v>
      </c>
      <c r="O148" s="7" t="s">
        <v>1183</v>
      </c>
      <c r="P148" s="8" t="s">
        <v>3984</v>
      </c>
      <c r="Q148" s="12"/>
      <c r="R148" s="12"/>
    </row>
    <row r="149" customFormat="false" ht="23.85" hidden="false" customHeight="false" outlineLevel="0" collapsed="false">
      <c r="A149" s="14" t="s">
        <v>6332</v>
      </c>
      <c r="B149" s="17" t="s">
        <v>291</v>
      </c>
      <c r="C149" s="18" t="s">
        <v>6316</v>
      </c>
      <c r="D149" s="18" t="s">
        <v>8571</v>
      </c>
      <c r="E149" s="17" t="s">
        <v>8572</v>
      </c>
      <c r="F149" s="18" t="s">
        <v>8470</v>
      </c>
      <c r="G149" s="17" t="s">
        <v>8563</v>
      </c>
      <c r="H149" s="18" t="s">
        <v>6335</v>
      </c>
      <c r="I149" s="17" t="s">
        <v>8573</v>
      </c>
      <c r="J149" s="7"/>
      <c r="K149" s="7" t="s">
        <v>3937</v>
      </c>
      <c r="L149" s="8"/>
      <c r="M149" s="7" t="n">
        <f aca="false">COUNTIF('Mapa de Marcas'!$B:$B,$A149)</f>
        <v>1</v>
      </c>
      <c r="N149" s="7" t="n">
        <f aca="false">COUNTIFS('Mapa de Marcas'!$B:$B,$A149,'Mapa de Marcas'!$R:$R,"Lacuna")</f>
        <v>0</v>
      </c>
      <c r="O149" s="7" t="s">
        <v>1183</v>
      </c>
      <c r="P149" s="8" t="s">
        <v>3984</v>
      </c>
      <c r="Q149" s="12"/>
      <c r="R149" s="12"/>
    </row>
    <row r="150" customFormat="false" ht="23.85" hidden="false" customHeight="false" outlineLevel="0" collapsed="false">
      <c r="A150" s="14" t="s">
        <v>6337</v>
      </c>
      <c r="B150" s="17" t="s">
        <v>291</v>
      </c>
      <c r="C150" s="18" t="s">
        <v>6316</v>
      </c>
      <c r="D150" s="18" t="s">
        <v>8574</v>
      </c>
      <c r="E150" s="17" t="s">
        <v>8575</v>
      </c>
      <c r="F150" s="18" t="s">
        <v>8470</v>
      </c>
      <c r="G150" s="17" t="s">
        <v>8563</v>
      </c>
      <c r="H150" s="18" t="s">
        <v>6340</v>
      </c>
      <c r="I150" s="17" t="s">
        <v>8576</v>
      </c>
      <c r="J150" s="7"/>
      <c r="K150" s="7" t="s">
        <v>3937</v>
      </c>
      <c r="L150" s="8"/>
      <c r="M150" s="7" t="n">
        <f aca="false">COUNTIF('Mapa de Marcas'!$B:$B,$A150)</f>
        <v>1</v>
      </c>
      <c r="N150" s="7" t="n">
        <f aca="false">COUNTIFS('Mapa de Marcas'!$B:$B,$A150,'Mapa de Marcas'!$R:$R,"Lacuna")</f>
        <v>0</v>
      </c>
      <c r="O150" s="7" t="s">
        <v>1183</v>
      </c>
      <c r="P150" s="8" t="s">
        <v>3984</v>
      </c>
      <c r="Q150" s="12"/>
      <c r="R150" s="12"/>
    </row>
    <row r="151" customFormat="false" ht="23.85" hidden="false" customHeight="false" outlineLevel="0" collapsed="false">
      <c r="A151" s="14" t="s">
        <v>6342</v>
      </c>
      <c r="B151" s="17" t="s">
        <v>8560</v>
      </c>
      <c r="C151" s="18" t="s">
        <v>6316</v>
      </c>
      <c r="D151" s="18" t="s">
        <v>8577</v>
      </c>
      <c r="E151" s="17" t="s">
        <v>8578</v>
      </c>
      <c r="F151" s="18" t="s">
        <v>8470</v>
      </c>
      <c r="G151" s="17" t="s">
        <v>8563</v>
      </c>
      <c r="H151" s="18" t="s">
        <v>6345</v>
      </c>
      <c r="I151" s="17" t="s">
        <v>8579</v>
      </c>
      <c r="J151" s="7"/>
      <c r="K151" s="7" t="s">
        <v>3937</v>
      </c>
      <c r="L151" s="8" t="s">
        <v>6381</v>
      </c>
      <c r="M151" s="7" t="n">
        <f aca="false">COUNTIF('Mapa de Marcas'!$B:$B,$A151)</f>
        <v>2</v>
      </c>
      <c r="N151" s="7" t="n">
        <f aca="false">COUNTIFS('Mapa de Marcas'!$B:$B,$A151,'Mapa de Marcas'!$R:$R,"Lacuna")</f>
        <v>0</v>
      </c>
      <c r="O151" s="7" t="s">
        <v>1183</v>
      </c>
      <c r="P151" s="8" t="s">
        <v>3984</v>
      </c>
      <c r="Q151" s="12"/>
      <c r="R151" s="12"/>
    </row>
    <row r="152" customFormat="false" ht="23.85" hidden="false" customHeight="false" outlineLevel="0" collapsed="false">
      <c r="A152" s="14" t="s">
        <v>6347</v>
      </c>
      <c r="B152" s="17" t="s">
        <v>8560</v>
      </c>
      <c r="C152" s="18" t="s">
        <v>6316</v>
      </c>
      <c r="D152" s="18" t="s">
        <v>8580</v>
      </c>
      <c r="E152" s="17" t="s">
        <v>8581</v>
      </c>
      <c r="F152" s="18" t="s">
        <v>8470</v>
      </c>
      <c r="G152" s="17" t="s">
        <v>8563</v>
      </c>
      <c r="H152" s="18" t="s">
        <v>6350</v>
      </c>
      <c r="I152" s="17" t="s">
        <v>8582</v>
      </c>
      <c r="J152" s="7"/>
      <c r="K152" s="7" t="s">
        <v>3937</v>
      </c>
      <c r="L152" s="8" t="s">
        <v>6385</v>
      </c>
      <c r="M152" s="7" t="n">
        <f aca="false">COUNTIF('Mapa de Marcas'!$B:$B,$A152)</f>
        <v>2</v>
      </c>
      <c r="N152" s="7" t="n">
        <f aca="false">COUNTIFS('Mapa de Marcas'!$B:$B,$A152,'Mapa de Marcas'!$R:$R,"Lacuna")</f>
        <v>0</v>
      </c>
      <c r="O152" s="7" t="s">
        <v>1480</v>
      </c>
      <c r="P152" s="8" t="s">
        <v>3984</v>
      </c>
      <c r="Q152" s="12"/>
      <c r="R152" s="12"/>
    </row>
    <row r="153" customFormat="false" ht="23.85" hidden="false" customHeight="false" outlineLevel="0" collapsed="false">
      <c r="A153" s="14" t="s">
        <v>6352</v>
      </c>
      <c r="B153" s="17" t="s">
        <v>291</v>
      </c>
      <c r="C153" s="18" t="s">
        <v>6316</v>
      </c>
      <c r="D153" s="18" t="s">
        <v>8583</v>
      </c>
      <c r="E153" s="17" t="s">
        <v>8584</v>
      </c>
      <c r="F153" s="18" t="s">
        <v>8470</v>
      </c>
      <c r="G153" s="17" t="s">
        <v>8563</v>
      </c>
      <c r="H153" s="18" t="s">
        <v>6355</v>
      </c>
      <c r="I153" s="17" t="s">
        <v>8585</v>
      </c>
      <c r="J153" s="7"/>
      <c r="K153" s="7" t="s">
        <v>3937</v>
      </c>
      <c r="L153" s="8"/>
      <c r="M153" s="7" t="n">
        <f aca="false">COUNTIF('Mapa de Marcas'!$B:$B,$A153)</f>
        <v>1</v>
      </c>
      <c r="N153" s="7" t="n">
        <f aca="false">COUNTIFS('Mapa de Marcas'!$B:$B,$A153,'Mapa de Marcas'!$R:$R,"Lacuna")</f>
        <v>0</v>
      </c>
      <c r="O153" s="7" t="s">
        <v>1480</v>
      </c>
      <c r="P153" s="8" t="s">
        <v>3984</v>
      </c>
      <c r="Q153" s="12"/>
      <c r="R153" s="12"/>
    </row>
    <row r="154" customFormat="false" ht="23.85" hidden="false" customHeight="false" outlineLevel="0" collapsed="false">
      <c r="A154" s="14" t="s">
        <v>6357</v>
      </c>
      <c r="B154" s="17" t="s">
        <v>291</v>
      </c>
      <c r="C154" s="18" t="s">
        <v>6316</v>
      </c>
      <c r="D154" s="18" t="s">
        <v>8586</v>
      </c>
      <c r="E154" s="17" t="s">
        <v>8587</v>
      </c>
      <c r="F154" s="18" t="s">
        <v>8470</v>
      </c>
      <c r="G154" s="17" t="s">
        <v>8563</v>
      </c>
      <c r="H154" s="18" t="s">
        <v>6360</v>
      </c>
      <c r="I154" s="17" t="s">
        <v>8588</v>
      </c>
      <c r="J154" s="7"/>
      <c r="K154" s="7" t="s">
        <v>3937</v>
      </c>
      <c r="L154" s="8"/>
      <c r="M154" s="7" t="n">
        <f aca="false">COUNTIF('Mapa de Marcas'!$B:$B,$A154)</f>
        <v>1</v>
      </c>
      <c r="N154" s="7" t="n">
        <f aca="false">COUNTIFS('Mapa de Marcas'!$B:$B,$A154,'Mapa de Marcas'!$R:$R,"Lacuna")</f>
        <v>0</v>
      </c>
      <c r="O154" s="7" t="s">
        <v>1480</v>
      </c>
      <c r="P154" s="8" t="s">
        <v>3984</v>
      </c>
      <c r="Q154" s="12"/>
      <c r="R154" s="12"/>
    </row>
    <row r="155" customFormat="false" ht="23.85" hidden="false" customHeight="false" outlineLevel="0" collapsed="false">
      <c r="A155" s="14" t="s">
        <v>6362</v>
      </c>
      <c r="B155" s="17" t="s">
        <v>291</v>
      </c>
      <c r="C155" s="18" t="s">
        <v>6316</v>
      </c>
      <c r="D155" s="18" t="s">
        <v>8589</v>
      </c>
      <c r="E155" s="17" t="s">
        <v>8590</v>
      </c>
      <c r="F155" s="18" t="s">
        <v>8470</v>
      </c>
      <c r="G155" s="17" t="s">
        <v>8563</v>
      </c>
      <c r="H155" s="18" t="s">
        <v>6365</v>
      </c>
      <c r="I155" s="17" t="s">
        <v>8591</v>
      </c>
      <c r="J155" s="7"/>
      <c r="K155" s="7" t="s">
        <v>3937</v>
      </c>
      <c r="L155" s="8"/>
      <c r="M155" s="7" t="n">
        <f aca="false">COUNTIF('Mapa de Marcas'!$B:$B,$A155)</f>
        <v>1</v>
      </c>
      <c r="N155" s="7" t="n">
        <f aca="false">COUNTIFS('Mapa de Marcas'!$B:$B,$A155,'Mapa de Marcas'!$R:$R,"Lacuna")</f>
        <v>0</v>
      </c>
      <c r="O155" s="7" t="s">
        <v>1480</v>
      </c>
      <c r="P155" s="8" t="s">
        <v>3984</v>
      </c>
      <c r="Q155" s="12"/>
      <c r="R155" s="12"/>
    </row>
    <row r="156" customFormat="false" ht="23.85" hidden="false" customHeight="false" outlineLevel="0" collapsed="false">
      <c r="A156" s="14" t="s">
        <v>6367</v>
      </c>
      <c r="B156" s="17" t="s">
        <v>291</v>
      </c>
      <c r="C156" s="18" t="s">
        <v>6316</v>
      </c>
      <c r="D156" s="18" t="s">
        <v>8592</v>
      </c>
      <c r="E156" s="17" t="s">
        <v>8593</v>
      </c>
      <c r="F156" s="18" t="s">
        <v>8470</v>
      </c>
      <c r="G156" s="17" t="s">
        <v>8563</v>
      </c>
      <c r="H156" s="18" t="s">
        <v>6370</v>
      </c>
      <c r="I156" s="17" t="s">
        <v>8594</v>
      </c>
      <c r="J156" s="7"/>
      <c r="K156" s="7" t="s">
        <v>3937</v>
      </c>
      <c r="L156" s="8"/>
      <c r="M156" s="7" t="n">
        <f aca="false">COUNTIF('Mapa de Marcas'!$B:$B,$A156)</f>
        <v>1</v>
      </c>
      <c r="N156" s="7" t="n">
        <f aca="false">COUNTIFS('Mapa de Marcas'!$B:$B,$A156,'Mapa de Marcas'!$R:$R,"Lacuna")</f>
        <v>0</v>
      </c>
      <c r="O156" s="7" t="s">
        <v>1480</v>
      </c>
      <c r="P156" s="8" t="s">
        <v>3984</v>
      </c>
      <c r="Q156" s="12"/>
      <c r="R156" s="12"/>
    </row>
    <row r="157" customFormat="false" ht="23.85" hidden="false" customHeight="false" outlineLevel="0" collapsed="false">
      <c r="A157" s="14" t="s">
        <v>6389</v>
      </c>
      <c r="B157" s="17" t="s">
        <v>309</v>
      </c>
      <c r="C157" s="18" t="s">
        <v>6316</v>
      </c>
      <c r="D157" s="18" t="s">
        <v>8595</v>
      </c>
      <c r="E157" s="17" t="s">
        <v>8596</v>
      </c>
      <c r="F157" s="18" t="s">
        <v>8470</v>
      </c>
      <c r="G157" s="17" t="s">
        <v>1021</v>
      </c>
      <c r="H157" s="18" t="s">
        <v>6392</v>
      </c>
      <c r="I157" s="17" t="s">
        <v>8597</v>
      </c>
      <c r="J157" s="7"/>
      <c r="K157" s="7" t="s">
        <v>3937</v>
      </c>
      <c r="L157" s="8" t="s">
        <v>6390</v>
      </c>
      <c r="M157" s="7" t="n">
        <f aca="false">COUNTIF('Mapa de Marcas'!$B:$B,$A157)</f>
        <v>1</v>
      </c>
      <c r="N157" s="7" t="n">
        <f aca="false">COUNTIFS('Mapa de Marcas'!$B:$B,$A157,'Mapa de Marcas'!$R:$R,"Lacuna")</f>
        <v>0</v>
      </c>
      <c r="O157" s="7" t="s">
        <v>1480</v>
      </c>
      <c r="P157" s="8" t="s">
        <v>3984</v>
      </c>
      <c r="Q157" s="12"/>
      <c r="R157" s="12"/>
    </row>
    <row r="158" customFormat="false" ht="23.85" hidden="false" customHeight="false" outlineLevel="0" collapsed="false">
      <c r="A158" s="14" t="s">
        <v>6394</v>
      </c>
      <c r="B158" s="17" t="s">
        <v>309</v>
      </c>
      <c r="C158" s="18" t="s">
        <v>6316</v>
      </c>
      <c r="D158" s="18" t="s">
        <v>8598</v>
      </c>
      <c r="E158" s="17" t="s">
        <v>8599</v>
      </c>
      <c r="F158" s="18" t="s">
        <v>8470</v>
      </c>
      <c r="G158" s="17" t="s">
        <v>1021</v>
      </c>
      <c r="H158" s="18" t="s">
        <v>6397</v>
      </c>
      <c r="I158" s="17" t="s">
        <v>8597</v>
      </c>
      <c r="J158" s="7"/>
      <c r="K158" s="7" t="s">
        <v>3937</v>
      </c>
      <c r="L158" s="8" t="s">
        <v>6395</v>
      </c>
      <c r="M158" s="7" t="n">
        <f aca="false">COUNTIF('Mapa de Marcas'!$B:$B,$A158)</f>
        <v>1</v>
      </c>
      <c r="N158" s="7" t="n">
        <f aca="false">COUNTIFS('Mapa de Marcas'!$B:$B,$A158,'Mapa de Marcas'!$R:$R,"Lacuna")</f>
        <v>0</v>
      </c>
      <c r="O158" s="7" t="s">
        <v>1480</v>
      </c>
      <c r="P158" s="8" t="s">
        <v>3984</v>
      </c>
      <c r="Q158" s="12"/>
      <c r="R158" s="12"/>
    </row>
    <row r="159" customFormat="false" ht="23.85" hidden="false" customHeight="false" outlineLevel="0" collapsed="false">
      <c r="A159" s="14" t="s">
        <v>6399</v>
      </c>
      <c r="B159" s="17" t="s">
        <v>8600</v>
      </c>
      <c r="C159" s="18" t="s">
        <v>6400</v>
      </c>
      <c r="D159" s="18" t="s">
        <v>8601</v>
      </c>
      <c r="E159" s="17" t="s">
        <v>8602</v>
      </c>
      <c r="F159" s="18" t="s">
        <v>7999</v>
      </c>
      <c r="G159" s="17" t="s">
        <v>8603</v>
      </c>
      <c r="H159" s="18" t="s">
        <v>6406</v>
      </c>
      <c r="I159" s="17" t="s">
        <v>8604</v>
      </c>
      <c r="J159" s="7"/>
      <c r="K159" s="7" t="s">
        <v>6403</v>
      </c>
      <c r="L159" s="8" t="s">
        <v>6513</v>
      </c>
      <c r="M159" s="7" t="n">
        <f aca="false">COUNTIF('Mapa de Marcas'!$B:$B,$A159)</f>
        <v>2</v>
      </c>
      <c r="N159" s="7" t="n">
        <f aca="false">COUNTIFS('Mapa de Marcas'!$B:$B,$A159,'Mapa de Marcas'!$R:$R,"Lacuna")</f>
        <v>0</v>
      </c>
      <c r="O159" s="7" t="s">
        <v>1183</v>
      </c>
      <c r="P159" s="8" t="s">
        <v>3984</v>
      </c>
      <c r="Q159" s="12"/>
      <c r="R159" s="12"/>
    </row>
    <row r="160" customFormat="false" ht="23.85" hidden="false" customHeight="false" outlineLevel="0" collapsed="false">
      <c r="A160" s="14" t="s">
        <v>6408</v>
      </c>
      <c r="B160" s="17" t="s">
        <v>265</v>
      </c>
      <c r="C160" s="18" t="s">
        <v>6400</v>
      </c>
      <c r="D160" s="18" t="s">
        <v>8605</v>
      </c>
      <c r="E160" s="17" t="s">
        <v>8606</v>
      </c>
      <c r="F160" s="18" t="s">
        <v>8470</v>
      </c>
      <c r="G160" s="17" t="s">
        <v>8603</v>
      </c>
      <c r="H160" s="18" t="s">
        <v>6411</v>
      </c>
      <c r="I160" s="17" t="s">
        <v>8607</v>
      </c>
      <c r="J160" s="7"/>
      <c r="K160" s="7" t="s">
        <v>6403</v>
      </c>
      <c r="L160" s="8"/>
      <c r="M160" s="7" t="n">
        <f aca="false">COUNTIF('Mapa de Marcas'!$B:$B,$A160)</f>
        <v>1</v>
      </c>
      <c r="N160" s="7" t="n">
        <f aca="false">COUNTIFS('Mapa de Marcas'!$B:$B,$A160,'Mapa de Marcas'!$R:$R,"Lacuna")</f>
        <v>0</v>
      </c>
      <c r="O160" s="7" t="s">
        <v>1183</v>
      </c>
      <c r="P160" s="8" t="s">
        <v>3984</v>
      </c>
      <c r="Q160" s="12"/>
      <c r="R160" s="12"/>
    </row>
    <row r="161" customFormat="false" ht="23.85" hidden="false" customHeight="false" outlineLevel="0" collapsed="false">
      <c r="A161" s="14" t="s">
        <v>6413</v>
      </c>
      <c r="B161" s="17" t="s">
        <v>8600</v>
      </c>
      <c r="C161" s="18" t="s">
        <v>6400</v>
      </c>
      <c r="D161" s="18" t="s">
        <v>8608</v>
      </c>
      <c r="E161" s="17" t="s">
        <v>8609</v>
      </c>
      <c r="F161" s="18" t="s">
        <v>7999</v>
      </c>
      <c r="G161" s="17" t="s">
        <v>8603</v>
      </c>
      <c r="H161" s="18" t="s">
        <v>6416</v>
      </c>
      <c r="I161" s="17" t="s">
        <v>8610</v>
      </c>
      <c r="J161" s="7"/>
      <c r="K161" s="7" t="s">
        <v>6403</v>
      </c>
      <c r="L161" s="8" t="s">
        <v>6518</v>
      </c>
      <c r="M161" s="7" t="n">
        <f aca="false">COUNTIF('Mapa de Marcas'!$B:$B,$A161)</f>
        <v>2</v>
      </c>
      <c r="N161" s="7" t="n">
        <f aca="false">COUNTIFS('Mapa de Marcas'!$B:$B,$A161,'Mapa de Marcas'!$R:$R,"Lacuna")</f>
        <v>0</v>
      </c>
      <c r="O161" s="7" t="s">
        <v>1183</v>
      </c>
      <c r="P161" s="8" t="s">
        <v>3984</v>
      </c>
      <c r="Q161" s="12"/>
      <c r="R161" s="12"/>
    </row>
    <row r="162" customFormat="false" ht="23.85" hidden="false" customHeight="false" outlineLevel="0" collapsed="false">
      <c r="A162" s="14" t="s">
        <v>6418</v>
      </c>
      <c r="B162" s="17" t="s">
        <v>8600</v>
      </c>
      <c r="C162" s="18" t="s">
        <v>6400</v>
      </c>
      <c r="D162" s="18" t="s">
        <v>8611</v>
      </c>
      <c r="E162" s="17" t="s">
        <v>8612</v>
      </c>
      <c r="F162" s="18" t="s">
        <v>7999</v>
      </c>
      <c r="G162" s="17" t="s">
        <v>8603</v>
      </c>
      <c r="H162" s="18" t="s">
        <v>6421</v>
      </c>
      <c r="I162" s="17" t="s">
        <v>8613</v>
      </c>
      <c r="J162" s="7"/>
      <c r="K162" s="7" t="s">
        <v>6403</v>
      </c>
      <c r="L162" s="8" t="s">
        <v>6522</v>
      </c>
      <c r="M162" s="7" t="n">
        <f aca="false">COUNTIF('Mapa de Marcas'!$B:$B,$A162)</f>
        <v>2</v>
      </c>
      <c r="N162" s="7" t="n">
        <f aca="false">COUNTIFS('Mapa de Marcas'!$B:$B,$A162,'Mapa de Marcas'!$R:$R,"Lacuna")</f>
        <v>0</v>
      </c>
      <c r="O162" s="7" t="s">
        <v>1183</v>
      </c>
      <c r="P162" s="8" t="s">
        <v>3984</v>
      </c>
      <c r="Q162" s="12"/>
      <c r="R162" s="12"/>
    </row>
    <row r="163" customFormat="false" ht="23.85" hidden="false" customHeight="false" outlineLevel="0" collapsed="false">
      <c r="A163" s="14" t="s">
        <v>6423</v>
      </c>
      <c r="B163" s="17" t="s">
        <v>265</v>
      </c>
      <c r="C163" s="18" t="s">
        <v>6400</v>
      </c>
      <c r="D163" s="18" t="s">
        <v>8614</v>
      </c>
      <c r="E163" s="17" t="s">
        <v>8615</v>
      </c>
      <c r="F163" s="18" t="s">
        <v>8470</v>
      </c>
      <c r="G163" s="17" t="s">
        <v>8603</v>
      </c>
      <c r="H163" s="18" t="s">
        <v>6426</v>
      </c>
      <c r="I163" s="17" t="s">
        <v>8616</v>
      </c>
      <c r="J163" s="7"/>
      <c r="K163" s="7" t="s">
        <v>6403</v>
      </c>
      <c r="L163" s="8"/>
      <c r="M163" s="7" t="n">
        <f aca="false">COUNTIF('Mapa de Marcas'!$B:$B,$A163)</f>
        <v>1</v>
      </c>
      <c r="N163" s="7" t="n">
        <f aca="false">COUNTIFS('Mapa de Marcas'!$B:$B,$A163,'Mapa de Marcas'!$R:$R,"Lacuna")</f>
        <v>0</v>
      </c>
      <c r="O163" s="7" t="s">
        <v>1480</v>
      </c>
      <c r="P163" s="8" t="s">
        <v>3984</v>
      </c>
      <c r="Q163" s="12"/>
      <c r="R163" s="12"/>
    </row>
    <row r="164" customFormat="false" ht="23.85" hidden="false" customHeight="false" outlineLevel="0" collapsed="false">
      <c r="A164" s="14" t="s">
        <v>6428</v>
      </c>
      <c r="B164" s="17" t="s">
        <v>8600</v>
      </c>
      <c r="C164" s="18" t="s">
        <v>6400</v>
      </c>
      <c r="D164" s="18" t="s">
        <v>8617</v>
      </c>
      <c r="E164" s="17" t="s">
        <v>8618</v>
      </c>
      <c r="F164" s="18" t="s">
        <v>7999</v>
      </c>
      <c r="G164" s="17" t="s">
        <v>8603</v>
      </c>
      <c r="H164" s="18" t="s">
        <v>6431</v>
      </c>
      <c r="I164" s="17" t="s">
        <v>8619</v>
      </c>
      <c r="J164" s="7"/>
      <c r="K164" s="7" t="s">
        <v>6403</v>
      </c>
      <c r="L164" s="8" t="s">
        <v>6526</v>
      </c>
      <c r="M164" s="7" t="n">
        <f aca="false">COUNTIF('Mapa de Marcas'!$B:$B,$A164)</f>
        <v>2</v>
      </c>
      <c r="N164" s="7" t="n">
        <f aca="false">COUNTIFS('Mapa de Marcas'!$B:$B,$A164,'Mapa de Marcas'!$R:$R,"Lacuna")</f>
        <v>0</v>
      </c>
      <c r="O164" s="7" t="s">
        <v>1183</v>
      </c>
      <c r="P164" s="8" t="s">
        <v>3984</v>
      </c>
      <c r="Q164" s="12"/>
      <c r="R164" s="12"/>
    </row>
    <row r="165" customFormat="false" ht="23.85" hidden="false" customHeight="false" outlineLevel="0" collapsed="false">
      <c r="A165" s="14" t="s">
        <v>6433</v>
      </c>
      <c r="B165" s="17" t="s">
        <v>8600</v>
      </c>
      <c r="C165" s="18" t="s">
        <v>6400</v>
      </c>
      <c r="D165" s="18" t="s">
        <v>8620</v>
      </c>
      <c r="E165" s="17" t="s">
        <v>8621</v>
      </c>
      <c r="F165" s="18" t="s">
        <v>7999</v>
      </c>
      <c r="G165" s="17" t="s">
        <v>8603</v>
      </c>
      <c r="H165" s="18" t="s">
        <v>6436</v>
      </c>
      <c r="I165" s="17" t="s">
        <v>8622</v>
      </c>
      <c r="J165" s="7"/>
      <c r="K165" s="7" t="s">
        <v>6403</v>
      </c>
      <c r="L165" s="8" t="s">
        <v>6530</v>
      </c>
      <c r="M165" s="7" t="n">
        <f aca="false">COUNTIF('Mapa de Marcas'!$B:$B,$A165)</f>
        <v>2</v>
      </c>
      <c r="N165" s="7" t="n">
        <f aca="false">COUNTIFS('Mapa de Marcas'!$B:$B,$A165,'Mapa de Marcas'!$R:$R,"Lacuna")</f>
        <v>0</v>
      </c>
      <c r="O165" s="7" t="s">
        <v>1183</v>
      </c>
      <c r="P165" s="8" t="s">
        <v>3984</v>
      </c>
      <c r="Q165" s="12"/>
      <c r="R165" s="12"/>
    </row>
    <row r="166" customFormat="false" ht="23.85" hidden="false" customHeight="false" outlineLevel="0" collapsed="false">
      <c r="A166" s="14" t="s">
        <v>6438</v>
      </c>
      <c r="B166" s="17" t="s">
        <v>8600</v>
      </c>
      <c r="C166" s="18" t="s">
        <v>6400</v>
      </c>
      <c r="D166" s="18" t="s">
        <v>8623</v>
      </c>
      <c r="E166" s="17" t="s">
        <v>8624</v>
      </c>
      <c r="F166" s="18" t="s">
        <v>7999</v>
      </c>
      <c r="G166" s="17" t="s">
        <v>8603</v>
      </c>
      <c r="H166" s="18" t="s">
        <v>6441</v>
      </c>
      <c r="I166" s="17" t="s">
        <v>8625</v>
      </c>
      <c r="J166" s="7"/>
      <c r="K166" s="7" t="s">
        <v>6403</v>
      </c>
      <c r="L166" s="8" t="s">
        <v>6534</v>
      </c>
      <c r="M166" s="7" t="n">
        <f aca="false">COUNTIF('Mapa de Marcas'!$B:$B,$A166)</f>
        <v>2</v>
      </c>
      <c r="N166" s="7" t="n">
        <f aca="false">COUNTIFS('Mapa de Marcas'!$B:$B,$A166,'Mapa de Marcas'!$R:$R,"Lacuna")</f>
        <v>0</v>
      </c>
      <c r="O166" s="7" t="s">
        <v>1183</v>
      </c>
      <c r="P166" s="8" t="s">
        <v>3984</v>
      </c>
      <c r="Q166" s="12"/>
      <c r="R166" s="12"/>
    </row>
    <row r="167" customFormat="false" ht="23.85" hidden="false" customHeight="false" outlineLevel="0" collapsed="false">
      <c r="A167" s="14" t="s">
        <v>6443</v>
      </c>
      <c r="B167" s="17" t="s">
        <v>265</v>
      </c>
      <c r="C167" s="18" t="s">
        <v>6400</v>
      </c>
      <c r="D167" s="18" t="s">
        <v>8626</v>
      </c>
      <c r="E167" s="17" t="s">
        <v>8627</v>
      </c>
      <c r="F167" s="18" t="s">
        <v>8470</v>
      </c>
      <c r="G167" s="17" t="s">
        <v>8603</v>
      </c>
      <c r="H167" s="18" t="s">
        <v>6446</v>
      </c>
      <c r="I167" s="17" t="s">
        <v>8628</v>
      </c>
      <c r="J167" s="7"/>
      <c r="K167" s="7" t="s">
        <v>6403</v>
      </c>
      <c r="L167" s="8"/>
      <c r="M167" s="7" t="n">
        <f aca="false">COUNTIF('Mapa de Marcas'!$B:$B,$A167)</f>
        <v>1</v>
      </c>
      <c r="N167" s="7" t="n">
        <f aca="false">COUNTIFS('Mapa de Marcas'!$B:$B,$A167,'Mapa de Marcas'!$R:$R,"Lacuna")</f>
        <v>0</v>
      </c>
      <c r="O167" s="7" t="s">
        <v>1480</v>
      </c>
      <c r="P167" s="8" t="s">
        <v>3984</v>
      </c>
      <c r="Q167" s="12"/>
      <c r="R167" s="12"/>
    </row>
    <row r="168" customFormat="false" ht="23.85" hidden="false" customHeight="false" outlineLevel="0" collapsed="false">
      <c r="A168" s="14" t="s">
        <v>6448</v>
      </c>
      <c r="B168" s="17" t="s">
        <v>265</v>
      </c>
      <c r="C168" s="18" t="s">
        <v>6400</v>
      </c>
      <c r="D168" s="18" t="s">
        <v>8629</v>
      </c>
      <c r="E168" s="17" t="s">
        <v>8630</v>
      </c>
      <c r="F168" s="18" t="s">
        <v>8470</v>
      </c>
      <c r="G168" s="17" t="s">
        <v>8603</v>
      </c>
      <c r="H168" s="18" t="s">
        <v>6451</v>
      </c>
      <c r="I168" s="17" t="s">
        <v>8631</v>
      </c>
      <c r="J168" s="7"/>
      <c r="K168" s="7" t="s">
        <v>6403</v>
      </c>
      <c r="L168" s="8"/>
      <c r="M168" s="7" t="n">
        <f aca="false">COUNTIF('Mapa de Marcas'!$B:$B,$A168)</f>
        <v>1</v>
      </c>
      <c r="N168" s="7" t="n">
        <f aca="false">COUNTIFS('Mapa de Marcas'!$B:$B,$A168,'Mapa de Marcas'!$R:$R,"Lacuna")</f>
        <v>0</v>
      </c>
      <c r="O168" s="7" t="s">
        <v>1480</v>
      </c>
      <c r="P168" s="8" t="s">
        <v>3984</v>
      </c>
      <c r="Q168" s="12"/>
      <c r="R168" s="12"/>
    </row>
    <row r="169" customFormat="false" ht="23.85" hidden="false" customHeight="false" outlineLevel="0" collapsed="false">
      <c r="A169" s="14" t="s">
        <v>6453</v>
      </c>
      <c r="B169" s="17" t="s">
        <v>265</v>
      </c>
      <c r="C169" s="18" t="s">
        <v>6400</v>
      </c>
      <c r="D169" s="18" t="s">
        <v>8632</v>
      </c>
      <c r="E169" s="17" t="s">
        <v>8633</v>
      </c>
      <c r="F169" s="18" t="s">
        <v>8470</v>
      </c>
      <c r="G169" s="17" t="s">
        <v>8603</v>
      </c>
      <c r="H169" s="18" t="s">
        <v>6456</v>
      </c>
      <c r="I169" s="17" t="s">
        <v>8634</v>
      </c>
      <c r="J169" s="7"/>
      <c r="K169" s="7" t="s">
        <v>6403</v>
      </c>
      <c r="L169" s="8"/>
      <c r="M169" s="7" t="n">
        <f aca="false">COUNTIF('Mapa de Marcas'!$B:$B,$A169)</f>
        <v>1</v>
      </c>
      <c r="N169" s="7" t="n">
        <f aca="false">COUNTIFS('Mapa de Marcas'!$B:$B,$A169,'Mapa de Marcas'!$R:$R,"Lacuna")</f>
        <v>0</v>
      </c>
      <c r="O169" s="7" t="s">
        <v>1480</v>
      </c>
      <c r="P169" s="8" t="s">
        <v>3984</v>
      </c>
      <c r="Q169" s="12"/>
      <c r="R169" s="12"/>
    </row>
    <row r="170" customFormat="false" ht="23.85" hidden="false" customHeight="false" outlineLevel="0" collapsed="false">
      <c r="A170" s="14" t="s">
        <v>6458</v>
      </c>
      <c r="B170" s="17" t="s">
        <v>265</v>
      </c>
      <c r="C170" s="18" t="s">
        <v>6400</v>
      </c>
      <c r="D170" s="18" t="s">
        <v>8635</v>
      </c>
      <c r="E170" s="17" t="s">
        <v>8636</v>
      </c>
      <c r="F170" s="18" t="s">
        <v>8470</v>
      </c>
      <c r="G170" s="17" t="s">
        <v>8603</v>
      </c>
      <c r="H170" s="18" t="s">
        <v>6461</v>
      </c>
      <c r="I170" s="17" t="s">
        <v>8637</v>
      </c>
      <c r="J170" s="7"/>
      <c r="K170" s="7" t="s">
        <v>6403</v>
      </c>
      <c r="L170" s="8"/>
      <c r="M170" s="7" t="n">
        <f aca="false">COUNTIF('Mapa de Marcas'!$B:$B,$A170)</f>
        <v>1</v>
      </c>
      <c r="N170" s="7" t="n">
        <f aca="false">COUNTIFS('Mapa de Marcas'!$B:$B,$A170,'Mapa de Marcas'!$R:$R,"Lacuna")</f>
        <v>0</v>
      </c>
      <c r="O170" s="7" t="s">
        <v>1480</v>
      </c>
      <c r="P170" s="8" t="s">
        <v>3984</v>
      </c>
      <c r="Q170" s="12"/>
      <c r="R170" s="12"/>
    </row>
    <row r="171" customFormat="false" ht="23.85" hidden="false" customHeight="false" outlineLevel="0" collapsed="false">
      <c r="A171" s="14" t="s">
        <v>6463</v>
      </c>
      <c r="B171" s="17" t="s">
        <v>265</v>
      </c>
      <c r="C171" s="18" t="s">
        <v>6400</v>
      </c>
      <c r="D171" s="18" t="s">
        <v>8638</v>
      </c>
      <c r="E171" s="17" t="s">
        <v>8639</v>
      </c>
      <c r="F171" s="18" t="s">
        <v>8470</v>
      </c>
      <c r="G171" s="17" t="s">
        <v>8603</v>
      </c>
      <c r="H171" s="18" t="s">
        <v>6466</v>
      </c>
      <c r="I171" s="17" t="s">
        <v>8640</v>
      </c>
      <c r="J171" s="7"/>
      <c r="K171" s="7" t="s">
        <v>6403</v>
      </c>
      <c r="L171" s="8"/>
      <c r="M171" s="7" t="n">
        <f aca="false">COUNTIF('Mapa de Marcas'!$B:$B,$A171)</f>
        <v>1</v>
      </c>
      <c r="N171" s="7" t="n">
        <f aca="false">COUNTIFS('Mapa de Marcas'!$B:$B,$A171,'Mapa de Marcas'!$R:$R,"Lacuna")</f>
        <v>0</v>
      </c>
      <c r="O171" s="7" t="s">
        <v>1480</v>
      </c>
      <c r="P171" s="8" t="s">
        <v>3984</v>
      </c>
      <c r="Q171" s="12"/>
      <c r="R171" s="12"/>
    </row>
    <row r="172" customFormat="false" ht="23.85" hidden="false" customHeight="false" outlineLevel="0" collapsed="false">
      <c r="A172" s="14" t="s">
        <v>6468</v>
      </c>
      <c r="B172" s="17" t="s">
        <v>265</v>
      </c>
      <c r="C172" s="18" t="s">
        <v>6400</v>
      </c>
      <c r="D172" s="18" t="s">
        <v>8641</v>
      </c>
      <c r="E172" s="17" t="s">
        <v>8642</v>
      </c>
      <c r="F172" s="18" t="s">
        <v>8470</v>
      </c>
      <c r="G172" s="17" t="s">
        <v>8603</v>
      </c>
      <c r="H172" s="18" t="s">
        <v>6471</v>
      </c>
      <c r="I172" s="17" t="s">
        <v>8643</v>
      </c>
      <c r="J172" s="7"/>
      <c r="K172" s="7" t="s">
        <v>6403</v>
      </c>
      <c r="L172" s="8"/>
      <c r="M172" s="7" t="n">
        <f aca="false">COUNTIF('Mapa de Marcas'!$B:$B,$A172)</f>
        <v>1</v>
      </c>
      <c r="N172" s="7" t="n">
        <f aca="false">COUNTIFS('Mapa de Marcas'!$B:$B,$A172,'Mapa de Marcas'!$R:$R,"Lacuna")</f>
        <v>0</v>
      </c>
      <c r="O172" s="7" t="s">
        <v>1480</v>
      </c>
      <c r="P172" s="8" t="s">
        <v>3984</v>
      </c>
      <c r="Q172" s="12"/>
      <c r="R172" s="12"/>
    </row>
    <row r="173" customFormat="false" ht="23.85" hidden="false" customHeight="false" outlineLevel="0" collapsed="false">
      <c r="A173" s="14" t="s">
        <v>6473</v>
      </c>
      <c r="B173" s="17" t="s">
        <v>265</v>
      </c>
      <c r="C173" s="18" t="s">
        <v>6400</v>
      </c>
      <c r="D173" s="18" t="s">
        <v>8644</v>
      </c>
      <c r="E173" s="17" t="s">
        <v>8645</v>
      </c>
      <c r="F173" s="18" t="s">
        <v>8470</v>
      </c>
      <c r="G173" s="17" t="s">
        <v>8603</v>
      </c>
      <c r="H173" s="18" t="s">
        <v>6476</v>
      </c>
      <c r="I173" s="17" t="s">
        <v>8646</v>
      </c>
      <c r="J173" s="7"/>
      <c r="K173" s="7" t="s">
        <v>6403</v>
      </c>
      <c r="L173" s="8"/>
      <c r="M173" s="7" t="n">
        <f aca="false">COUNTIF('Mapa de Marcas'!$B:$B,$A173)</f>
        <v>1</v>
      </c>
      <c r="N173" s="7" t="n">
        <f aca="false">COUNTIFS('Mapa de Marcas'!$B:$B,$A173,'Mapa de Marcas'!$R:$R,"Lacuna")</f>
        <v>0</v>
      </c>
      <c r="O173" s="7" t="s">
        <v>1480</v>
      </c>
      <c r="P173" s="8" t="s">
        <v>3984</v>
      </c>
      <c r="Q173" s="12"/>
      <c r="R173" s="12"/>
    </row>
    <row r="174" customFormat="false" ht="23.85" hidden="false" customHeight="false" outlineLevel="0" collapsed="false">
      <c r="A174" s="14" t="s">
        <v>6478</v>
      </c>
      <c r="B174" s="17" t="s">
        <v>265</v>
      </c>
      <c r="C174" s="18" t="s">
        <v>6400</v>
      </c>
      <c r="D174" s="18" t="s">
        <v>8647</v>
      </c>
      <c r="E174" s="17" t="s">
        <v>8648</v>
      </c>
      <c r="F174" s="18" t="s">
        <v>8470</v>
      </c>
      <c r="G174" s="17" t="s">
        <v>8603</v>
      </c>
      <c r="H174" s="18" t="s">
        <v>6481</v>
      </c>
      <c r="I174" s="17" t="s">
        <v>8649</v>
      </c>
      <c r="J174" s="7"/>
      <c r="K174" s="7" t="s">
        <v>6403</v>
      </c>
      <c r="L174" s="8"/>
      <c r="M174" s="7" t="n">
        <f aca="false">COUNTIF('Mapa de Marcas'!$B:$B,$A174)</f>
        <v>1</v>
      </c>
      <c r="N174" s="7" t="n">
        <f aca="false">COUNTIFS('Mapa de Marcas'!$B:$B,$A174,'Mapa de Marcas'!$R:$R,"Lacuna")</f>
        <v>0</v>
      </c>
      <c r="O174" s="7" t="s">
        <v>1480</v>
      </c>
      <c r="P174" s="8" t="s">
        <v>3984</v>
      </c>
      <c r="Q174" s="12"/>
      <c r="R174" s="12"/>
    </row>
    <row r="175" customFormat="false" ht="23.85" hidden="false" customHeight="false" outlineLevel="0" collapsed="false">
      <c r="A175" s="14" t="s">
        <v>6483</v>
      </c>
      <c r="B175" s="17" t="s">
        <v>265</v>
      </c>
      <c r="C175" s="18" t="s">
        <v>6400</v>
      </c>
      <c r="D175" s="18" t="s">
        <v>8650</v>
      </c>
      <c r="E175" s="17" t="s">
        <v>8651</v>
      </c>
      <c r="F175" s="18" t="s">
        <v>8470</v>
      </c>
      <c r="G175" s="17" t="s">
        <v>8603</v>
      </c>
      <c r="H175" s="18" t="s">
        <v>6486</v>
      </c>
      <c r="I175" s="17" t="s">
        <v>8652</v>
      </c>
      <c r="J175" s="7"/>
      <c r="K175" s="7" t="s">
        <v>6403</v>
      </c>
      <c r="L175" s="8"/>
      <c r="M175" s="7" t="n">
        <f aca="false">COUNTIF('Mapa de Marcas'!$B:$B,$A175)</f>
        <v>1</v>
      </c>
      <c r="N175" s="7" t="n">
        <f aca="false">COUNTIFS('Mapa de Marcas'!$B:$B,$A175,'Mapa de Marcas'!$R:$R,"Lacuna")</f>
        <v>0</v>
      </c>
      <c r="O175" s="7" t="s">
        <v>1480</v>
      </c>
      <c r="P175" s="8" t="s">
        <v>3984</v>
      </c>
      <c r="Q175" s="12"/>
      <c r="R175" s="12"/>
    </row>
    <row r="176" customFormat="false" ht="23.85" hidden="false" customHeight="false" outlineLevel="0" collapsed="false">
      <c r="A176" s="14" t="s">
        <v>6488</v>
      </c>
      <c r="B176" s="17" t="s">
        <v>265</v>
      </c>
      <c r="C176" s="18" t="s">
        <v>6400</v>
      </c>
      <c r="D176" s="18" t="s">
        <v>8653</v>
      </c>
      <c r="E176" s="17" t="s">
        <v>8654</v>
      </c>
      <c r="F176" s="18" t="s">
        <v>8470</v>
      </c>
      <c r="G176" s="17" t="s">
        <v>8603</v>
      </c>
      <c r="H176" s="18" t="s">
        <v>6491</v>
      </c>
      <c r="I176" s="17" t="s">
        <v>8655</v>
      </c>
      <c r="J176" s="7"/>
      <c r="K176" s="7" t="s">
        <v>6403</v>
      </c>
      <c r="L176" s="8"/>
      <c r="M176" s="7" t="n">
        <f aca="false">COUNTIF('Mapa de Marcas'!$B:$B,$A176)</f>
        <v>1</v>
      </c>
      <c r="N176" s="7" t="n">
        <f aca="false">COUNTIFS('Mapa de Marcas'!$B:$B,$A176,'Mapa de Marcas'!$R:$R,"Lacuna")</f>
        <v>0</v>
      </c>
      <c r="O176" s="7" t="s">
        <v>1183</v>
      </c>
      <c r="P176" s="8" t="s">
        <v>3984</v>
      </c>
      <c r="Q176" s="12"/>
      <c r="R176" s="12"/>
    </row>
    <row r="177" customFormat="false" ht="23.85" hidden="false" customHeight="false" outlineLevel="0" collapsed="false">
      <c r="A177" s="14" t="s">
        <v>6493</v>
      </c>
      <c r="B177" s="17" t="s">
        <v>265</v>
      </c>
      <c r="C177" s="18" t="s">
        <v>6400</v>
      </c>
      <c r="D177" s="18" t="s">
        <v>8656</v>
      </c>
      <c r="E177" s="17" t="s">
        <v>8657</v>
      </c>
      <c r="F177" s="18" t="s">
        <v>8470</v>
      </c>
      <c r="G177" s="17" t="s">
        <v>8603</v>
      </c>
      <c r="H177" s="18" t="s">
        <v>6496</v>
      </c>
      <c r="I177" s="17" t="s">
        <v>8658</v>
      </c>
      <c r="J177" s="7"/>
      <c r="K177" s="7" t="s">
        <v>6403</v>
      </c>
      <c r="L177" s="8"/>
      <c r="M177" s="7" t="n">
        <f aca="false">COUNTIF('Mapa de Marcas'!$B:$B,$A177)</f>
        <v>1</v>
      </c>
      <c r="N177" s="7" t="n">
        <f aca="false">COUNTIFS('Mapa de Marcas'!$B:$B,$A177,'Mapa de Marcas'!$R:$R,"Lacuna")</f>
        <v>0</v>
      </c>
      <c r="O177" s="7" t="s">
        <v>1480</v>
      </c>
      <c r="P177" s="8" t="s">
        <v>3984</v>
      </c>
      <c r="Q177" s="12"/>
      <c r="R177" s="12"/>
    </row>
    <row r="178" customFormat="false" ht="23.85" hidden="false" customHeight="false" outlineLevel="0" collapsed="false">
      <c r="A178" s="14" t="s">
        <v>6498</v>
      </c>
      <c r="B178" s="17" t="s">
        <v>265</v>
      </c>
      <c r="C178" s="18" t="s">
        <v>6400</v>
      </c>
      <c r="D178" s="18" t="s">
        <v>8659</v>
      </c>
      <c r="E178" s="17" t="s">
        <v>8660</v>
      </c>
      <c r="F178" s="18" t="s">
        <v>8470</v>
      </c>
      <c r="G178" s="17" t="s">
        <v>8603</v>
      </c>
      <c r="H178" s="18" t="s">
        <v>6501</v>
      </c>
      <c r="I178" s="17" t="s">
        <v>8661</v>
      </c>
      <c r="J178" s="7"/>
      <c r="K178" s="7" t="s">
        <v>6403</v>
      </c>
      <c r="L178" s="8"/>
      <c r="M178" s="7" t="n">
        <f aca="false">COUNTIF('Mapa de Marcas'!$B:$B,$A178)</f>
        <v>1</v>
      </c>
      <c r="N178" s="7" t="n">
        <f aca="false">COUNTIFS('Mapa de Marcas'!$B:$B,$A178,'Mapa de Marcas'!$R:$R,"Lacuna")</f>
        <v>0</v>
      </c>
      <c r="O178" s="7" t="s">
        <v>1480</v>
      </c>
      <c r="P178" s="8" t="s">
        <v>3984</v>
      </c>
      <c r="Q178" s="12"/>
      <c r="R178" s="12"/>
    </row>
    <row r="179" customFormat="false" ht="23.85" hidden="false" customHeight="false" outlineLevel="0" collapsed="false">
      <c r="A179" s="14" t="s">
        <v>6503</v>
      </c>
      <c r="B179" s="17" t="s">
        <v>265</v>
      </c>
      <c r="C179" s="18" t="s">
        <v>6400</v>
      </c>
      <c r="D179" s="18" t="s">
        <v>8662</v>
      </c>
      <c r="E179" s="17" t="s">
        <v>8663</v>
      </c>
      <c r="F179" s="18" t="s">
        <v>8470</v>
      </c>
      <c r="G179" s="17" t="s">
        <v>8603</v>
      </c>
      <c r="H179" s="18" t="s">
        <v>6506</v>
      </c>
      <c r="I179" s="17" t="s">
        <v>8664</v>
      </c>
      <c r="J179" s="7"/>
      <c r="K179" s="7" t="s">
        <v>6403</v>
      </c>
      <c r="L179" s="8"/>
      <c r="M179" s="7" t="n">
        <f aca="false">COUNTIF('Mapa de Marcas'!$B:$B,$A179)</f>
        <v>1</v>
      </c>
      <c r="N179" s="7" t="n">
        <f aca="false">COUNTIFS('Mapa de Marcas'!$B:$B,$A179,'Mapa de Marcas'!$R:$R,"Lacuna")</f>
        <v>0</v>
      </c>
      <c r="O179" s="7" t="s">
        <v>1480</v>
      </c>
      <c r="P179" s="8" t="s">
        <v>3984</v>
      </c>
      <c r="Q179" s="12"/>
      <c r="R179" s="12"/>
    </row>
    <row r="180" customFormat="false" ht="23.85" hidden="false" customHeight="false" outlineLevel="0" collapsed="false">
      <c r="A180" s="14" t="s">
        <v>6508</v>
      </c>
      <c r="B180" s="17" t="s">
        <v>265</v>
      </c>
      <c r="C180" s="18" t="s">
        <v>6400</v>
      </c>
      <c r="D180" s="18" t="s">
        <v>8665</v>
      </c>
      <c r="E180" s="17" t="s">
        <v>8666</v>
      </c>
      <c r="F180" s="18" t="s">
        <v>8470</v>
      </c>
      <c r="G180" s="17" t="s">
        <v>8603</v>
      </c>
      <c r="H180" s="18" t="s">
        <v>6511</v>
      </c>
      <c r="I180" s="17" t="s">
        <v>8667</v>
      </c>
      <c r="J180" s="7"/>
      <c r="K180" s="7" t="s">
        <v>6403</v>
      </c>
      <c r="L180" s="8"/>
      <c r="M180" s="7" t="n">
        <f aca="false">COUNTIF('Mapa de Marcas'!$B:$B,$A180)</f>
        <v>1</v>
      </c>
      <c r="N180" s="7" t="n">
        <f aca="false">COUNTIFS('Mapa de Marcas'!$B:$B,$A180,'Mapa de Marcas'!$R:$R,"Lacuna")</f>
        <v>0</v>
      </c>
      <c r="O180" s="7" t="s">
        <v>1480</v>
      </c>
      <c r="P180" s="8" t="s">
        <v>3984</v>
      </c>
      <c r="Q180" s="12"/>
      <c r="R180" s="12"/>
    </row>
    <row r="181" customFormat="false" ht="23.85" hidden="false" customHeight="false" outlineLevel="0" collapsed="false">
      <c r="A181" s="14" t="s">
        <v>6538</v>
      </c>
      <c r="B181" s="17" t="s">
        <v>142</v>
      </c>
      <c r="C181" s="18" t="s">
        <v>6539</v>
      </c>
      <c r="D181" s="18" t="s">
        <v>8668</v>
      </c>
      <c r="E181" s="17" t="s">
        <v>8669</v>
      </c>
      <c r="F181" s="18" t="s">
        <v>921</v>
      </c>
      <c r="G181" s="17" t="s">
        <v>8670</v>
      </c>
      <c r="H181" s="18" t="s">
        <v>1049</v>
      </c>
      <c r="I181" s="17" t="s">
        <v>8671</v>
      </c>
      <c r="J181" s="7"/>
      <c r="K181" s="7" t="s">
        <v>6542</v>
      </c>
      <c r="L181" s="8" t="s">
        <v>6541</v>
      </c>
      <c r="M181" s="7" t="n">
        <f aca="false">COUNTIF('Mapa de Marcas'!$B:$B,$A181)</f>
        <v>1</v>
      </c>
      <c r="N181" s="7" t="n">
        <f aca="false">COUNTIFS('Mapa de Marcas'!$B:$B,$A181,'Mapa de Marcas'!$R:$R,"Lacuna")</f>
        <v>0</v>
      </c>
      <c r="O181" s="7" t="s">
        <v>1480</v>
      </c>
      <c r="P181" s="8" t="s">
        <v>3984</v>
      </c>
      <c r="Q181" s="12"/>
      <c r="R181" s="12"/>
    </row>
    <row r="182" customFormat="false" ht="23.85" hidden="false" customHeight="false" outlineLevel="0" collapsed="false">
      <c r="A182" s="14" t="s">
        <v>6546</v>
      </c>
      <c r="B182" s="17" t="s">
        <v>142</v>
      </c>
      <c r="C182" s="18" t="s">
        <v>6539</v>
      </c>
      <c r="D182" s="18" t="s">
        <v>8672</v>
      </c>
      <c r="E182" s="17" t="s">
        <v>8673</v>
      </c>
      <c r="F182" s="18" t="s">
        <v>921</v>
      </c>
      <c r="G182" s="17" t="s">
        <v>8670</v>
      </c>
      <c r="H182" s="18" t="s">
        <v>1049</v>
      </c>
      <c r="I182" s="17" t="s">
        <v>8671</v>
      </c>
      <c r="J182" s="7"/>
      <c r="K182" s="7" t="s">
        <v>6542</v>
      </c>
      <c r="L182" s="8" t="s">
        <v>6547</v>
      </c>
      <c r="M182" s="7" t="n">
        <f aca="false">COUNTIF('Mapa de Marcas'!$B:$B,$A182)</f>
        <v>1</v>
      </c>
      <c r="N182" s="7" t="n">
        <f aca="false">COUNTIFS('Mapa de Marcas'!$B:$B,$A182,'Mapa de Marcas'!$R:$R,"Lacuna")</f>
        <v>0</v>
      </c>
      <c r="O182" s="7" t="s">
        <v>1480</v>
      </c>
      <c r="P182" s="8" t="s">
        <v>3984</v>
      </c>
      <c r="Q182" s="12"/>
      <c r="R182" s="12"/>
    </row>
    <row r="183" customFormat="false" ht="23.85" hidden="false" customHeight="false" outlineLevel="0" collapsed="false">
      <c r="A183" s="14" t="s">
        <v>6550</v>
      </c>
      <c r="B183" s="17" t="s">
        <v>142</v>
      </c>
      <c r="C183" s="18" t="s">
        <v>6539</v>
      </c>
      <c r="D183" s="18" t="s">
        <v>8674</v>
      </c>
      <c r="E183" s="17" t="s">
        <v>8675</v>
      </c>
      <c r="F183" s="18" t="s">
        <v>921</v>
      </c>
      <c r="G183" s="17" t="s">
        <v>8670</v>
      </c>
      <c r="H183" s="18" t="s">
        <v>1049</v>
      </c>
      <c r="I183" s="17" t="s">
        <v>8671</v>
      </c>
      <c r="J183" s="7"/>
      <c r="K183" s="7" t="s">
        <v>6542</v>
      </c>
      <c r="L183" s="8" t="s">
        <v>6551</v>
      </c>
      <c r="M183" s="7" t="n">
        <f aca="false">COUNTIF('Mapa de Marcas'!$B:$B,$A183)</f>
        <v>1</v>
      </c>
      <c r="N183" s="7" t="n">
        <f aca="false">COUNTIFS('Mapa de Marcas'!$B:$B,$A183,'Mapa de Marcas'!$R:$R,"Lacuna")</f>
        <v>0</v>
      </c>
      <c r="O183" s="7" t="s">
        <v>1480</v>
      </c>
      <c r="P183" s="8" t="s">
        <v>3984</v>
      </c>
      <c r="Q183" s="12"/>
      <c r="R183" s="12"/>
    </row>
    <row r="184" customFormat="false" ht="23.85" hidden="false" customHeight="false" outlineLevel="0" collapsed="false">
      <c r="A184" s="14" t="s">
        <v>6554</v>
      </c>
      <c r="B184" s="17" t="s">
        <v>142</v>
      </c>
      <c r="C184" s="18" t="s">
        <v>6539</v>
      </c>
      <c r="D184" s="18" t="s">
        <v>8676</v>
      </c>
      <c r="E184" s="17" t="s">
        <v>8677</v>
      </c>
      <c r="F184" s="18" t="s">
        <v>921</v>
      </c>
      <c r="G184" s="17" t="s">
        <v>8670</v>
      </c>
      <c r="H184" s="18" t="s">
        <v>1049</v>
      </c>
      <c r="I184" s="17" t="s">
        <v>8671</v>
      </c>
      <c r="J184" s="7"/>
      <c r="K184" s="7" t="s">
        <v>6542</v>
      </c>
      <c r="L184" s="8" t="s">
        <v>6555</v>
      </c>
      <c r="M184" s="7" t="n">
        <f aca="false">COUNTIF('Mapa de Marcas'!$B:$B,$A184)</f>
        <v>1</v>
      </c>
      <c r="N184" s="7" t="n">
        <f aca="false">COUNTIFS('Mapa de Marcas'!$B:$B,$A184,'Mapa de Marcas'!$R:$R,"Lacuna")</f>
        <v>0</v>
      </c>
      <c r="O184" s="7" t="s">
        <v>1480</v>
      </c>
      <c r="P184" s="8" t="s">
        <v>3984</v>
      </c>
      <c r="Q184" s="12"/>
      <c r="R184" s="12"/>
    </row>
    <row r="185" customFormat="false" ht="23.85" hidden="false" customHeight="false" outlineLevel="0" collapsed="false">
      <c r="A185" s="14" t="s">
        <v>6558</v>
      </c>
      <c r="B185" s="17" t="s">
        <v>142</v>
      </c>
      <c r="C185" s="18" t="s">
        <v>6539</v>
      </c>
      <c r="D185" s="18" t="s">
        <v>8678</v>
      </c>
      <c r="E185" s="17" t="s">
        <v>8679</v>
      </c>
      <c r="F185" s="18" t="s">
        <v>921</v>
      </c>
      <c r="G185" s="17" t="s">
        <v>8670</v>
      </c>
      <c r="H185" s="18" t="s">
        <v>1049</v>
      </c>
      <c r="I185" s="17" t="s">
        <v>8671</v>
      </c>
      <c r="J185" s="7"/>
      <c r="K185" s="7" t="s">
        <v>6542</v>
      </c>
      <c r="L185" s="8" t="s">
        <v>6559</v>
      </c>
      <c r="M185" s="7" t="n">
        <f aca="false">COUNTIF('Mapa de Marcas'!$B:$B,$A185)</f>
        <v>1</v>
      </c>
      <c r="N185" s="7" t="n">
        <f aca="false">COUNTIFS('Mapa de Marcas'!$B:$B,$A185,'Mapa de Marcas'!$R:$R,"Lacuna")</f>
        <v>0</v>
      </c>
      <c r="O185" s="7" t="s">
        <v>1480</v>
      </c>
      <c r="P185" s="8" t="s">
        <v>3984</v>
      </c>
      <c r="Q185" s="12"/>
      <c r="R185" s="12"/>
    </row>
    <row r="186" customFormat="false" ht="23.85" hidden="false" customHeight="false" outlineLevel="0" collapsed="false">
      <c r="A186" s="14" t="s">
        <v>6562</v>
      </c>
      <c r="B186" s="17" t="s">
        <v>8680</v>
      </c>
      <c r="C186" s="18" t="s">
        <v>6563</v>
      </c>
      <c r="D186" s="18" t="s">
        <v>8681</v>
      </c>
      <c r="E186" s="17" t="s">
        <v>8682</v>
      </c>
      <c r="F186" s="18" t="s">
        <v>8470</v>
      </c>
      <c r="G186" s="17" t="s">
        <v>8683</v>
      </c>
      <c r="H186" s="18" t="s">
        <v>6568</v>
      </c>
      <c r="I186" s="17" t="s">
        <v>8684</v>
      </c>
      <c r="J186" s="7"/>
      <c r="K186" s="7" t="s">
        <v>6566</v>
      </c>
      <c r="L186" s="8"/>
      <c r="M186" s="7" t="n">
        <f aca="false">COUNTIF('Mapa de Marcas'!$B:$B,$A186)</f>
        <v>2</v>
      </c>
      <c r="N186" s="7" t="n">
        <f aca="false">COUNTIFS('Mapa de Marcas'!$B:$B,$A186,'Mapa de Marcas'!$R:$R,"Lacuna")</f>
        <v>0</v>
      </c>
      <c r="O186" s="7" t="s">
        <v>1151</v>
      </c>
      <c r="P186" s="8" t="s">
        <v>3984</v>
      </c>
      <c r="Q186" s="12"/>
      <c r="R186" s="12"/>
    </row>
    <row r="187" customFormat="false" ht="23.85" hidden="false" customHeight="false" outlineLevel="0" collapsed="false">
      <c r="A187" s="14" t="s">
        <v>6574</v>
      </c>
      <c r="B187" s="17" t="s">
        <v>182</v>
      </c>
      <c r="C187" s="18" t="s">
        <v>6563</v>
      </c>
      <c r="D187" s="18" t="s">
        <v>8685</v>
      </c>
      <c r="E187" s="17" t="s">
        <v>8686</v>
      </c>
      <c r="F187" s="18" t="s">
        <v>8470</v>
      </c>
      <c r="G187" s="17" t="s">
        <v>8683</v>
      </c>
      <c r="H187" s="18" t="s">
        <v>6578</v>
      </c>
      <c r="I187" s="17" t="s">
        <v>8687</v>
      </c>
      <c r="J187" s="7"/>
      <c r="K187" s="7" t="s">
        <v>6566</v>
      </c>
      <c r="L187" s="8"/>
      <c r="M187" s="7" t="n">
        <f aca="false">COUNTIF('Mapa de Marcas'!$B:$B,$A187)</f>
        <v>1</v>
      </c>
      <c r="N187" s="7" t="n">
        <f aca="false">COUNTIFS('Mapa de Marcas'!$B:$B,$A187,'Mapa de Marcas'!$R:$R,"Lacuna")</f>
        <v>0</v>
      </c>
      <c r="O187" s="7" t="s">
        <v>1151</v>
      </c>
      <c r="P187" s="8" t="s">
        <v>3984</v>
      </c>
      <c r="Q187" s="12"/>
      <c r="R187" s="12"/>
    </row>
    <row r="188" customFormat="false" ht="23.85" hidden="false" customHeight="false" outlineLevel="0" collapsed="false">
      <c r="A188" s="14" t="s">
        <v>6580</v>
      </c>
      <c r="B188" s="17" t="s">
        <v>182</v>
      </c>
      <c r="C188" s="18" t="s">
        <v>6563</v>
      </c>
      <c r="D188" s="18" t="s">
        <v>8688</v>
      </c>
      <c r="E188" s="17" t="s">
        <v>8689</v>
      </c>
      <c r="F188" s="18" t="s">
        <v>8470</v>
      </c>
      <c r="G188" s="17" t="s">
        <v>8683</v>
      </c>
      <c r="H188" s="18" t="s">
        <v>6583</v>
      </c>
      <c r="I188" s="17" t="s">
        <v>8690</v>
      </c>
      <c r="J188" s="7"/>
      <c r="K188" s="7" t="s">
        <v>6566</v>
      </c>
      <c r="L188" s="8"/>
      <c r="M188" s="7" t="n">
        <f aca="false">COUNTIF('Mapa de Marcas'!$B:$B,$A188)</f>
        <v>1</v>
      </c>
      <c r="N188" s="7" t="n">
        <f aca="false">COUNTIFS('Mapa de Marcas'!$B:$B,$A188,'Mapa de Marcas'!$R:$R,"Lacuna")</f>
        <v>0</v>
      </c>
      <c r="O188" s="7" t="s">
        <v>1183</v>
      </c>
      <c r="P188" s="8" t="s">
        <v>3984</v>
      </c>
      <c r="Q188" s="12"/>
      <c r="R188" s="12"/>
    </row>
    <row r="189" customFormat="false" ht="23.85" hidden="false" customHeight="false" outlineLevel="0" collapsed="false">
      <c r="A189" s="14" t="s">
        <v>6585</v>
      </c>
      <c r="B189" s="17" t="s">
        <v>182</v>
      </c>
      <c r="C189" s="18" t="s">
        <v>6563</v>
      </c>
      <c r="D189" s="18" t="s">
        <v>8691</v>
      </c>
      <c r="E189" s="17" t="s">
        <v>8692</v>
      </c>
      <c r="F189" s="18" t="s">
        <v>8470</v>
      </c>
      <c r="G189" s="17" t="s">
        <v>8683</v>
      </c>
      <c r="H189" s="18" t="s">
        <v>6588</v>
      </c>
      <c r="I189" s="17" t="s">
        <v>8693</v>
      </c>
      <c r="J189" s="7"/>
      <c r="K189" s="7" t="s">
        <v>6566</v>
      </c>
      <c r="L189" s="8"/>
      <c r="M189" s="7" t="n">
        <f aca="false">COUNTIF('Mapa de Marcas'!$B:$B,$A189)</f>
        <v>1</v>
      </c>
      <c r="N189" s="7" t="n">
        <f aca="false">COUNTIFS('Mapa de Marcas'!$B:$B,$A189,'Mapa de Marcas'!$R:$R,"Lacuna")</f>
        <v>0</v>
      </c>
      <c r="O189" s="7" t="s">
        <v>1183</v>
      </c>
      <c r="P189" s="8" t="s">
        <v>3984</v>
      </c>
      <c r="Q189" s="12"/>
      <c r="R189" s="12"/>
    </row>
    <row r="190" customFormat="false" ht="23.85" hidden="false" customHeight="false" outlineLevel="0" collapsed="false">
      <c r="A190" s="14" t="s">
        <v>6590</v>
      </c>
      <c r="B190" s="17" t="s">
        <v>182</v>
      </c>
      <c r="C190" s="18" t="s">
        <v>6563</v>
      </c>
      <c r="D190" s="18" t="s">
        <v>8694</v>
      </c>
      <c r="E190" s="17" t="s">
        <v>8695</v>
      </c>
      <c r="F190" s="18" t="s">
        <v>8470</v>
      </c>
      <c r="G190" s="17" t="s">
        <v>8683</v>
      </c>
      <c r="H190" s="18" t="s">
        <v>6593</v>
      </c>
      <c r="I190" s="17" t="s">
        <v>8696</v>
      </c>
      <c r="J190" s="7"/>
      <c r="K190" s="7" t="s">
        <v>6566</v>
      </c>
      <c r="L190" s="8"/>
      <c r="M190" s="7" t="n">
        <f aca="false">COUNTIF('Mapa de Marcas'!$B:$B,$A190)</f>
        <v>1</v>
      </c>
      <c r="N190" s="7" t="n">
        <f aca="false">COUNTIFS('Mapa de Marcas'!$B:$B,$A190,'Mapa de Marcas'!$R:$R,"Lacuna")</f>
        <v>0</v>
      </c>
      <c r="O190" s="7" t="s">
        <v>1183</v>
      </c>
      <c r="P190" s="8" t="s">
        <v>3984</v>
      </c>
      <c r="Q190" s="12"/>
      <c r="R190" s="12"/>
    </row>
    <row r="191" customFormat="false" ht="23.85" hidden="false" customHeight="false" outlineLevel="0" collapsed="false">
      <c r="A191" s="14" t="s">
        <v>6595</v>
      </c>
      <c r="B191" s="17" t="s">
        <v>400</v>
      </c>
      <c r="C191" s="18" t="s">
        <v>6596</v>
      </c>
      <c r="D191" s="18" t="s">
        <v>8697</v>
      </c>
      <c r="E191" s="17" t="s">
        <v>8698</v>
      </c>
      <c r="F191" s="18" t="s">
        <v>8470</v>
      </c>
      <c r="G191" s="17" t="s">
        <v>8699</v>
      </c>
      <c r="H191" s="18" t="s">
        <v>6602</v>
      </c>
      <c r="I191" s="17" t="s">
        <v>8700</v>
      </c>
      <c r="J191" s="7"/>
      <c r="K191" s="7" t="s">
        <v>6599</v>
      </c>
      <c r="L191" s="8" t="s">
        <v>8701</v>
      </c>
      <c r="M191" s="7" t="n">
        <f aca="false">COUNTIF('Mapa de Marcas'!$B:$B,$A191)</f>
        <v>2</v>
      </c>
      <c r="N191" s="7" t="n">
        <f aca="false">COUNTIFS('Mapa de Marcas'!$B:$B,$A191,'Mapa de Marcas'!$R:$R,"Lacuna")</f>
        <v>0</v>
      </c>
      <c r="O191" s="7" t="s">
        <v>1151</v>
      </c>
      <c r="P191" s="8"/>
      <c r="Q191" s="12"/>
      <c r="R191" s="12"/>
    </row>
    <row r="192" customFormat="false" ht="23.85" hidden="false" customHeight="false" outlineLevel="0" collapsed="false">
      <c r="A192" s="14" t="s">
        <v>6604</v>
      </c>
      <c r="B192" s="17" t="s">
        <v>400</v>
      </c>
      <c r="C192" s="18" t="s">
        <v>6596</v>
      </c>
      <c r="D192" s="18" t="s">
        <v>8702</v>
      </c>
      <c r="E192" s="17" t="s">
        <v>8703</v>
      </c>
      <c r="F192" s="18" t="s">
        <v>8470</v>
      </c>
      <c r="G192" s="17" t="s">
        <v>8699</v>
      </c>
      <c r="H192" s="18" t="s">
        <v>6607</v>
      </c>
      <c r="I192" s="17" t="s">
        <v>8704</v>
      </c>
      <c r="J192" s="7"/>
      <c r="K192" s="7" t="s">
        <v>6599</v>
      </c>
      <c r="L192" s="8" t="s">
        <v>8705</v>
      </c>
      <c r="M192" s="7" t="n">
        <f aca="false">COUNTIF('Mapa de Marcas'!$B:$B,$A192)</f>
        <v>2</v>
      </c>
      <c r="N192" s="7" t="n">
        <f aca="false">COUNTIFS('Mapa de Marcas'!$B:$B,$A192,'Mapa de Marcas'!$R:$R,"Lacuna")</f>
        <v>0</v>
      </c>
      <c r="O192" s="7" t="s">
        <v>1151</v>
      </c>
      <c r="P192" s="8"/>
      <c r="Q192" s="12"/>
      <c r="R192" s="12"/>
    </row>
    <row r="193" customFormat="false" ht="23.85" hidden="false" customHeight="false" outlineLevel="0" collapsed="false">
      <c r="A193" s="14" t="s">
        <v>6609</v>
      </c>
      <c r="B193" s="17" t="s">
        <v>400</v>
      </c>
      <c r="C193" s="18" t="s">
        <v>6596</v>
      </c>
      <c r="D193" s="18" t="s">
        <v>8706</v>
      </c>
      <c r="E193" s="17" t="s">
        <v>8707</v>
      </c>
      <c r="F193" s="18" t="s">
        <v>8470</v>
      </c>
      <c r="G193" s="17" t="s">
        <v>8699</v>
      </c>
      <c r="H193" s="18" t="s">
        <v>6612</v>
      </c>
      <c r="I193" s="17" t="s">
        <v>8708</v>
      </c>
      <c r="J193" s="7"/>
      <c r="K193" s="7" t="s">
        <v>6599</v>
      </c>
      <c r="L193" s="8" t="s">
        <v>8709</v>
      </c>
      <c r="M193" s="7" t="n">
        <f aca="false">COUNTIF('Mapa de Marcas'!$B:$B,$A193)</f>
        <v>2</v>
      </c>
      <c r="N193" s="7" t="n">
        <f aca="false">COUNTIFS('Mapa de Marcas'!$B:$B,$A193,'Mapa de Marcas'!$R:$R,"Lacuna")</f>
        <v>0</v>
      </c>
      <c r="O193" s="7" t="s">
        <v>1151</v>
      </c>
      <c r="P193" s="8"/>
      <c r="Q193" s="12"/>
      <c r="R193" s="12"/>
    </row>
    <row r="194" customFormat="false" ht="23.85" hidden="false" customHeight="false" outlineLevel="0" collapsed="false">
      <c r="A194" s="14" t="s">
        <v>6614</v>
      </c>
      <c r="B194" s="17" t="s">
        <v>400</v>
      </c>
      <c r="C194" s="18" t="s">
        <v>6596</v>
      </c>
      <c r="D194" s="18" t="s">
        <v>8710</v>
      </c>
      <c r="E194" s="17" t="s">
        <v>8711</v>
      </c>
      <c r="F194" s="18" t="s">
        <v>8470</v>
      </c>
      <c r="G194" s="17" t="s">
        <v>8699</v>
      </c>
      <c r="H194" s="18" t="s">
        <v>6617</v>
      </c>
      <c r="I194" s="17" t="s">
        <v>8712</v>
      </c>
      <c r="J194" s="7"/>
      <c r="K194" s="7" t="s">
        <v>6599</v>
      </c>
      <c r="L194" s="8" t="s">
        <v>6615</v>
      </c>
      <c r="M194" s="7" t="n">
        <f aca="false">COUNTIF('Mapa de Marcas'!$B:$B,$A194)</f>
        <v>1</v>
      </c>
      <c r="N194" s="7" t="n">
        <f aca="false">COUNTIFS('Mapa de Marcas'!$B:$B,$A194,'Mapa de Marcas'!$R:$R,"Lacuna")</f>
        <v>0</v>
      </c>
      <c r="O194" s="7" t="s">
        <v>1183</v>
      </c>
      <c r="P194" s="8"/>
      <c r="Q194" s="12"/>
      <c r="R194" s="12"/>
    </row>
    <row r="195" customFormat="false" ht="35.05" hidden="false" customHeight="false" outlineLevel="0" collapsed="false">
      <c r="A195" s="14" t="s">
        <v>6619</v>
      </c>
      <c r="B195" s="17" t="s">
        <v>400</v>
      </c>
      <c r="C195" s="18" t="s">
        <v>6596</v>
      </c>
      <c r="D195" s="18" t="s">
        <v>8713</v>
      </c>
      <c r="E195" s="17" t="s">
        <v>8714</v>
      </c>
      <c r="F195" s="18" t="s">
        <v>8470</v>
      </c>
      <c r="G195" s="17" t="s">
        <v>8699</v>
      </c>
      <c r="H195" s="18" t="s">
        <v>6622</v>
      </c>
      <c r="I195" s="17" t="s">
        <v>8715</v>
      </c>
      <c r="J195" s="7"/>
      <c r="K195" s="7" t="s">
        <v>6599</v>
      </c>
      <c r="L195" s="8" t="s">
        <v>6620</v>
      </c>
      <c r="M195" s="7" t="n">
        <f aca="false">COUNTIF('Mapa de Marcas'!$B:$B,$A195)</f>
        <v>1</v>
      </c>
      <c r="N195" s="7" t="n">
        <f aca="false">COUNTIFS('Mapa de Marcas'!$B:$B,$A195,'Mapa de Marcas'!$R:$R,"Lacuna")</f>
        <v>0</v>
      </c>
      <c r="O195" s="7" t="s">
        <v>1183</v>
      </c>
      <c r="P195" s="8"/>
      <c r="Q195" s="12"/>
      <c r="R195" s="12"/>
    </row>
    <row r="196" customFormat="false" ht="23.85" hidden="false" customHeight="false" outlineLevel="0" collapsed="false">
      <c r="A196" s="14" t="s">
        <v>6624</v>
      </c>
      <c r="B196" s="17" t="s">
        <v>400</v>
      </c>
      <c r="C196" s="18" t="s">
        <v>6596</v>
      </c>
      <c r="D196" s="18" t="s">
        <v>8716</v>
      </c>
      <c r="E196" s="17" t="s">
        <v>8717</v>
      </c>
      <c r="F196" s="18" t="s">
        <v>8470</v>
      </c>
      <c r="G196" s="17" t="s">
        <v>8699</v>
      </c>
      <c r="H196" s="18" t="s">
        <v>6627</v>
      </c>
      <c r="I196" s="17" t="s">
        <v>8718</v>
      </c>
      <c r="J196" s="7"/>
      <c r="K196" s="7" t="s">
        <v>6599</v>
      </c>
      <c r="L196" s="8" t="s">
        <v>6625</v>
      </c>
      <c r="M196" s="7" t="n">
        <f aca="false">COUNTIF('Mapa de Marcas'!$B:$B,$A196)</f>
        <v>1</v>
      </c>
      <c r="N196" s="7" t="n">
        <f aca="false">COUNTIFS('Mapa de Marcas'!$B:$B,$A196,'Mapa de Marcas'!$R:$R,"Lacuna")</f>
        <v>0</v>
      </c>
      <c r="O196" s="7" t="s">
        <v>1183</v>
      </c>
      <c r="P196" s="8"/>
      <c r="Q196" s="12"/>
      <c r="R196" s="12"/>
    </row>
    <row r="197" customFormat="false" ht="23.85" hidden="false" customHeight="false" outlineLevel="0" collapsed="false">
      <c r="A197" s="14" t="s">
        <v>6629</v>
      </c>
      <c r="B197" s="17" t="s">
        <v>400</v>
      </c>
      <c r="C197" s="18" t="s">
        <v>6596</v>
      </c>
      <c r="D197" s="18" t="s">
        <v>8719</v>
      </c>
      <c r="E197" s="17" t="s">
        <v>8720</v>
      </c>
      <c r="F197" s="18" t="s">
        <v>8470</v>
      </c>
      <c r="G197" s="17" t="s">
        <v>8699</v>
      </c>
      <c r="H197" s="18" t="s">
        <v>6632</v>
      </c>
      <c r="I197" s="17" t="s">
        <v>8721</v>
      </c>
      <c r="J197" s="7"/>
      <c r="K197" s="7" t="s">
        <v>6599</v>
      </c>
      <c r="L197" s="8" t="s">
        <v>6630</v>
      </c>
      <c r="M197" s="7" t="n">
        <f aca="false">COUNTIF('Mapa de Marcas'!$B:$B,$A197)</f>
        <v>1</v>
      </c>
      <c r="N197" s="7" t="n">
        <f aca="false">COUNTIFS('Mapa de Marcas'!$B:$B,$A197,'Mapa de Marcas'!$R:$R,"Lacuna")</f>
        <v>0</v>
      </c>
      <c r="O197" s="7" t="s">
        <v>1183</v>
      </c>
      <c r="P197" s="8"/>
      <c r="Q197" s="12"/>
      <c r="R197" s="12"/>
    </row>
    <row r="198" customFormat="false" ht="35.05" hidden="false" customHeight="false" outlineLevel="0" collapsed="false">
      <c r="A198" s="14" t="s">
        <v>6634</v>
      </c>
      <c r="B198" s="17" t="s">
        <v>400</v>
      </c>
      <c r="C198" s="18" t="s">
        <v>6596</v>
      </c>
      <c r="D198" s="18" t="s">
        <v>8722</v>
      </c>
      <c r="E198" s="17" t="s">
        <v>8723</v>
      </c>
      <c r="F198" s="18" t="s">
        <v>8470</v>
      </c>
      <c r="G198" s="17" t="s">
        <v>8699</v>
      </c>
      <c r="H198" s="18" t="s">
        <v>6637</v>
      </c>
      <c r="I198" s="17" t="s">
        <v>8724</v>
      </c>
      <c r="J198" s="7"/>
      <c r="K198" s="7" t="s">
        <v>6599</v>
      </c>
      <c r="L198" s="8" t="s">
        <v>6635</v>
      </c>
      <c r="M198" s="7" t="n">
        <f aca="false">COUNTIF('Mapa de Marcas'!$B:$B,$A198)</f>
        <v>1</v>
      </c>
      <c r="N198" s="7" t="n">
        <f aca="false">COUNTIFS('Mapa de Marcas'!$B:$B,$A198,'Mapa de Marcas'!$R:$R,"Lacuna")</f>
        <v>0</v>
      </c>
      <c r="O198" s="7" t="s">
        <v>1183</v>
      </c>
      <c r="P198" s="8"/>
      <c r="Q198" s="12"/>
      <c r="R198" s="12"/>
    </row>
    <row r="199" customFormat="false" ht="35.05" hidden="false" customHeight="false" outlineLevel="0" collapsed="false">
      <c r="A199" s="14" t="s">
        <v>6651</v>
      </c>
      <c r="B199" s="17" t="s">
        <v>400</v>
      </c>
      <c r="C199" s="18" t="s">
        <v>6596</v>
      </c>
      <c r="D199" s="18" t="s">
        <v>8725</v>
      </c>
      <c r="E199" s="17" t="s">
        <v>8726</v>
      </c>
      <c r="F199" s="18" t="s">
        <v>8470</v>
      </c>
      <c r="G199" s="17" t="s">
        <v>8699</v>
      </c>
      <c r="H199" s="18" t="s">
        <v>6654</v>
      </c>
      <c r="I199" s="17" t="s">
        <v>8727</v>
      </c>
      <c r="J199" s="7"/>
      <c r="K199" s="7" t="s">
        <v>6599</v>
      </c>
      <c r="L199" s="8"/>
      <c r="M199" s="7" t="n">
        <f aca="false">COUNTIF('Mapa de Marcas'!$B:$B,$A199)</f>
        <v>1</v>
      </c>
      <c r="N199" s="7" t="n">
        <f aca="false">COUNTIFS('Mapa de Marcas'!$B:$B,$A199,'Mapa de Marcas'!$R:$R,"Lacuna")</f>
        <v>0</v>
      </c>
      <c r="O199" s="7" t="s">
        <v>1151</v>
      </c>
      <c r="P199" s="8"/>
      <c r="Q199" s="12"/>
      <c r="R199" s="12"/>
    </row>
    <row r="200" customFormat="false" ht="23.85" hidden="false" customHeight="false" outlineLevel="0" collapsed="false">
      <c r="A200" s="14" t="s">
        <v>6656</v>
      </c>
      <c r="B200" s="17" t="s">
        <v>400</v>
      </c>
      <c r="C200" s="18" t="s">
        <v>6596</v>
      </c>
      <c r="D200" s="18" t="s">
        <v>8728</v>
      </c>
      <c r="E200" s="17" t="s">
        <v>8729</v>
      </c>
      <c r="F200" s="18" t="s">
        <v>8470</v>
      </c>
      <c r="G200" s="17" t="s">
        <v>1021</v>
      </c>
      <c r="H200" s="18" t="s">
        <v>6660</v>
      </c>
      <c r="I200" s="17" t="s">
        <v>8730</v>
      </c>
      <c r="J200" s="7"/>
      <c r="K200" s="7" t="s">
        <v>6599</v>
      </c>
      <c r="L200" s="8" t="s">
        <v>6657</v>
      </c>
      <c r="M200" s="7" t="n">
        <f aca="false">COUNTIF('Mapa de Marcas'!$B:$B,$A200)</f>
        <v>1</v>
      </c>
      <c r="N200" s="7" t="n">
        <f aca="false">COUNTIFS('Mapa de Marcas'!$B:$B,$A200,'Mapa de Marcas'!$R:$R,"Lacuna")</f>
        <v>0</v>
      </c>
      <c r="O200" s="7" t="s">
        <v>1480</v>
      </c>
      <c r="P200" s="8"/>
      <c r="Q200" s="12"/>
      <c r="R200" s="12"/>
    </row>
    <row r="201" customFormat="false" ht="23.85" hidden="false" customHeight="false" outlineLevel="0" collapsed="false">
      <c r="A201" s="14" t="s">
        <v>6662</v>
      </c>
      <c r="B201" s="17" t="s">
        <v>400</v>
      </c>
      <c r="C201" s="18" t="s">
        <v>6596</v>
      </c>
      <c r="D201" s="18" t="s">
        <v>8731</v>
      </c>
      <c r="E201" s="17" t="s">
        <v>8732</v>
      </c>
      <c r="F201" s="18" t="s">
        <v>8470</v>
      </c>
      <c r="G201" s="17" t="s">
        <v>1021</v>
      </c>
      <c r="H201" s="18" t="s">
        <v>6665</v>
      </c>
      <c r="I201" s="17" t="s">
        <v>8730</v>
      </c>
      <c r="J201" s="7"/>
      <c r="K201" s="7" t="s">
        <v>6599</v>
      </c>
      <c r="L201" s="8" t="s">
        <v>6663</v>
      </c>
      <c r="M201" s="7" t="n">
        <f aca="false">COUNTIF('Mapa de Marcas'!$B:$B,$A201)</f>
        <v>1</v>
      </c>
      <c r="N201" s="7" t="n">
        <f aca="false">COUNTIFS('Mapa de Marcas'!$B:$B,$A201,'Mapa de Marcas'!$R:$R,"Lacuna")</f>
        <v>0</v>
      </c>
      <c r="O201" s="7" t="s">
        <v>1480</v>
      </c>
      <c r="P201" s="8"/>
      <c r="Q201" s="12"/>
      <c r="R201" s="12"/>
    </row>
    <row r="202" customFormat="false" ht="23.85" hidden="false" customHeight="false" outlineLevel="0" collapsed="false">
      <c r="A202" s="14" t="s">
        <v>6667</v>
      </c>
      <c r="B202" s="17" t="s">
        <v>400</v>
      </c>
      <c r="C202" s="18" t="s">
        <v>6596</v>
      </c>
      <c r="D202" s="18" t="s">
        <v>8733</v>
      </c>
      <c r="E202" s="17" t="s">
        <v>8734</v>
      </c>
      <c r="F202" s="18" t="s">
        <v>8555</v>
      </c>
      <c r="G202" s="17" t="s">
        <v>8699</v>
      </c>
      <c r="H202" s="18" t="s">
        <v>6671</v>
      </c>
      <c r="I202" s="17" t="s">
        <v>8735</v>
      </c>
      <c r="J202" s="7"/>
      <c r="K202" s="7" t="s">
        <v>6599</v>
      </c>
      <c r="L202" s="8" t="s">
        <v>6668</v>
      </c>
      <c r="M202" s="7" t="n">
        <f aca="false">COUNTIF('Mapa de Marcas'!$B:$B,$A202)</f>
        <v>1</v>
      </c>
      <c r="N202" s="7" t="n">
        <f aca="false">COUNTIFS('Mapa de Marcas'!$B:$B,$A202,'Mapa de Marcas'!$R:$R,"Lacuna")</f>
        <v>0</v>
      </c>
      <c r="O202" s="7" t="s">
        <v>1183</v>
      </c>
      <c r="P202" s="8"/>
      <c r="Q202" s="12"/>
      <c r="R202" s="12"/>
    </row>
    <row r="203" customFormat="false" ht="23.85" hidden="false" customHeight="false" outlineLevel="0" collapsed="false">
      <c r="A203" s="14" t="s">
        <v>6673</v>
      </c>
      <c r="B203" s="17" t="s">
        <v>371</v>
      </c>
      <c r="C203" s="18" t="s">
        <v>6596</v>
      </c>
      <c r="D203" s="18" t="s">
        <v>8736</v>
      </c>
      <c r="E203" s="17" t="s">
        <v>8737</v>
      </c>
      <c r="F203" s="18" t="s">
        <v>8555</v>
      </c>
      <c r="G203" s="17" t="s">
        <v>8699</v>
      </c>
      <c r="H203" s="18" t="s">
        <v>6677</v>
      </c>
      <c r="I203" s="17" t="s">
        <v>8738</v>
      </c>
      <c r="J203" s="7"/>
      <c r="K203" s="7" t="s">
        <v>6599</v>
      </c>
      <c r="L203" s="8" t="s">
        <v>6674</v>
      </c>
      <c r="M203" s="7" t="n">
        <f aca="false">COUNTIF('Mapa de Marcas'!$B:$B,$A203)</f>
        <v>1</v>
      </c>
      <c r="N203" s="7" t="n">
        <f aca="false">COUNTIFS('Mapa de Marcas'!$B:$B,$A203,'Mapa de Marcas'!$R:$R,"Lacuna")</f>
        <v>0</v>
      </c>
      <c r="O203" s="7" t="s">
        <v>1183</v>
      </c>
      <c r="P203" s="8"/>
      <c r="Q203" s="12"/>
      <c r="R203" s="12"/>
    </row>
    <row r="204" customFormat="false" ht="23.85" hidden="false" customHeight="false" outlineLevel="0" collapsed="false">
      <c r="A204" s="14" t="s">
        <v>6679</v>
      </c>
      <c r="B204" s="17" t="s">
        <v>400</v>
      </c>
      <c r="C204" s="18" t="s">
        <v>6596</v>
      </c>
      <c r="D204" s="18" t="s">
        <v>8739</v>
      </c>
      <c r="E204" s="17" t="s">
        <v>8740</v>
      </c>
      <c r="F204" s="18" t="s">
        <v>8555</v>
      </c>
      <c r="G204" s="17" t="s">
        <v>8699</v>
      </c>
      <c r="H204" s="18" t="s">
        <v>6682</v>
      </c>
      <c r="I204" s="17" t="s">
        <v>8741</v>
      </c>
      <c r="J204" s="7"/>
      <c r="K204" s="7" t="s">
        <v>6599</v>
      </c>
      <c r="L204" s="8" t="s">
        <v>6680</v>
      </c>
      <c r="M204" s="7" t="n">
        <f aca="false">COUNTIF('Mapa de Marcas'!$B:$B,$A204)</f>
        <v>1</v>
      </c>
      <c r="N204" s="7" t="n">
        <f aca="false">COUNTIFS('Mapa de Marcas'!$B:$B,$A204,'Mapa de Marcas'!$R:$R,"Lacuna")</f>
        <v>0</v>
      </c>
      <c r="O204" s="7" t="s">
        <v>1183</v>
      </c>
      <c r="P204" s="8"/>
      <c r="Q204" s="12"/>
      <c r="R204" s="12"/>
    </row>
    <row r="205" customFormat="false" ht="23.85" hidden="false" customHeight="false" outlineLevel="0" collapsed="false">
      <c r="A205" s="14" t="s">
        <v>6684</v>
      </c>
      <c r="B205" s="17" t="s">
        <v>400</v>
      </c>
      <c r="C205" s="18" t="s">
        <v>6596</v>
      </c>
      <c r="D205" s="18" t="s">
        <v>8742</v>
      </c>
      <c r="E205" s="17" t="s">
        <v>8743</v>
      </c>
      <c r="F205" s="18" t="s">
        <v>8555</v>
      </c>
      <c r="G205" s="17" t="s">
        <v>8699</v>
      </c>
      <c r="H205" s="18" t="s">
        <v>6687</v>
      </c>
      <c r="I205" s="17" t="s">
        <v>8744</v>
      </c>
      <c r="J205" s="7"/>
      <c r="K205" s="7" t="s">
        <v>6599</v>
      </c>
      <c r="L205" s="8" t="s">
        <v>6685</v>
      </c>
      <c r="M205" s="7" t="n">
        <f aca="false">COUNTIF('Mapa de Marcas'!$B:$B,$A205)</f>
        <v>1</v>
      </c>
      <c r="N205" s="7" t="n">
        <f aca="false">COUNTIFS('Mapa de Marcas'!$B:$B,$A205,'Mapa de Marcas'!$R:$R,"Lacuna")</f>
        <v>0</v>
      </c>
      <c r="O205" s="7" t="s">
        <v>1480</v>
      </c>
      <c r="P205" s="8"/>
      <c r="Q205" s="12"/>
      <c r="R205" s="12"/>
    </row>
    <row r="206" customFormat="false" ht="35.05" hidden="false" customHeight="false" outlineLevel="0" collapsed="false">
      <c r="A206" s="14" t="s">
        <v>6689</v>
      </c>
      <c r="B206" s="17" t="s">
        <v>400</v>
      </c>
      <c r="C206" s="18" t="s">
        <v>6596</v>
      </c>
      <c r="D206" s="18" t="s">
        <v>8745</v>
      </c>
      <c r="E206" s="17" t="s">
        <v>8746</v>
      </c>
      <c r="F206" s="18" t="s">
        <v>8470</v>
      </c>
      <c r="G206" s="17" t="s">
        <v>8699</v>
      </c>
      <c r="H206" s="18" t="s">
        <v>6692</v>
      </c>
      <c r="I206" s="17" t="s">
        <v>8747</v>
      </c>
      <c r="J206" s="7"/>
      <c r="K206" s="7" t="s">
        <v>6599</v>
      </c>
      <c r="L206" s="8"/>
      <c r="M206" s="7" t="n">
        <f aca="false">COUNTIF('Mapa de Marcas'!$B:$B,$A206)</f>
        <v>1</v>
      </c>
      <c r="N206" s="7" t="n">
        <f aca="false">COUNTIFS('Mapa de Marcas'!$B:$B,$A206,'Mapa de Marcas'!$R:$R,"Lacuna")</f>
        <v>0</v>
      </c>
      <c r="O206" s="7" t="s">
        <v>1183</v>
      </c>
      <c r="P206" s="8"/>
      <c r="Q206" s="12"/>
      <c r="R206" s="12"/>
    </row>
    <row r="207" customFormat="false" ht="23.85" hidden="false" customHeight="false" outlineLevel="0" collapsed="false">
      <c r="A207" s="14" t="s">
        <v>6694</v>
      </c>
      <c r="B207" s="17" t="s">
        <v>400</v>
      </c>
      <c r="C207" s="18" t="s">
        <v>6596</v>
      </c>
      <c r="D207" s="18" t="s">
        <v>8748</v>
      </c>
      <c r="E207" s="17" t="s">
        <v>8749</v>
      </c>
      <c r="F207" s="18" t="s">
        <v>8555</v>
      </c>
      <c r="G207" s="17" t="s">
        <v>8699</v>
      </c>
      <c r="H207" s="18" t="s">
        <v>6697</v>
      </c>
      <c r="I207" s="17" t="s">
        <v>8750</v>
      </c>
      <c r="J207" s="7"/>
      <c r="K207" s="7" t="s">
        <v>6599</v>
      </c>
      <c r="L207" s="8" t="s">
        <v>6695</v>
      </c>
      <c r="M207" s="7" t="n">
        <f aca="false">COUNTIF('Mapa de Marcas'!$B:$B,$A207)</f>
        <v>1</v>
      </c>
      <c r="N207" s="7" t="n">
        <f aca="false">COUNTIFS('Mapa de Marcas'!$B:$B,$A207,'Mapa de Marcas'!$R:$R,"Lacuna")</f>
        <v>0</v>
      </c>
      <c r="O207" s="7" t="s">
        <v>1183</v>
      </c>
      <c r="P207" s="8"/>
      <c r="Q207" s="12"/>
      <c r="R207" s="12"/>
    </row>
    <row r="208" customFormat="false" ht="23.85" hidden="false" customHeight="false" outlineLevel="0" collapsed="false">
      <c r="A208" s="14" t="s">
        <v>6699</v>
      </c>
      <c r="B208" s="17" t="s">
        <v>231</v>
      </c>
      <c r="C208" s="18" t="s">
        <v>6596</v>
      </c>
      <c r="D208" s="18" t="s">
        <v>8751</v>
      </c>
      <c r="E208" s="17" t="s">
        <v>8752</v>
      </c>
      <c r="F208" s="18" t="s">
        <v>8470</v>
      </c>
      <c r="G208" s="17" t="s">
        <v>1021</v>
      </c>
      <c r="H208" s="18" t="s">
        <v>6703</v>
      </c>
      <c r="I208" s="17" t="s">
        <v>8753</v>
      </c>
      <c r="J208" s="7"/>
      <c r="K208" s="7" t="s">
        <v>6599</v>
      </c>
      <c r="L208" s="8" t="s">
        <v>6700</v>
      </c>
      <c r="M208" s="7" t="n">
        <f aca="false">COUNTIF('Mapa de Marcas'!$B:$B,$A208)</f>
        <v>1</v>
      </c>
      <c r="N208" s="7" t="n">
        <f aca="false">COUNTIFS('Mapa de Marcas'!$B:$B,$A208,'Mapa de Marcas'!$R:$R,"Lacuna")</f>
        <v>0</v>
      </c>
      <c r="O208" s="7" t="s">
        <v>1480</v>
      </c>
      <c r="P208" s="8"/>
      <c r="Q208" s="12"/>
      <c r="R208" s="12"/>
    </row>
    <row r="209" customFormat="false" ht="23.85" hidden="false" customHeight="false" outlineLevel="0" collapsed="false">
      <c r="A209" s="14" t="s">
        <v>6705</v>
      </c>
      <c r="B209" s="17" t="s">
        <v>231</v>
      </c>
      <c r="C209" s="18" t="s">
        <v>6596</v>
      </c>
      <c r="D209" s="18" t="s">
        <v>8754</v>
      </c>
      <c r="E209" s="17" t="s">
        <v>8755</v>
      </c>
      <c r="F209" s="18" t="s">
        <v>8470</v>
      </c>
      <c r="G209" s="17" t="s">
        <v>1021</v>
      </c>
      <c r="H209" s="18" t="s">
        <v>6708</v>
      </c>
      <c r="I209" s="17" t="s">
        <v>8753</v>
      </c>
      <c r="J209" s="7"/>
      <c r="K209" s="7" t="s">
        <v>6599</v>
      </c>
      <c r="L209" s="8" t="s">
        <v>6706</v>
      </c>
      <c r="M209" s="7" t="n">
        <f aca="false">COUNTIF('Mapa de Marcas'!$B:$B,$A209)</f>
        <v>1</v>
      </c>
      <c r="N209" s="7" t="n">
        <f aca="false">COUNTIFS('Mapa de Marcas'!$B:$B,$A209,'Mapa de Marcas'!$R:$R,"Lacuna")</f>
        <v>0</v>
      </c>
      <c r="O209" s="7" t="s">
        <v>1480</v>
      </c>
      <c r="P209" s="8"/>
      <c r="Q209" s="12"/>
      <c r="R209" s="12"/>
    </row>
    <row r="210" customFormat="false" ht="23.85" hidden="false" customHeight="false" outlineLevel="0" collapsed="false">
      <c r="A210" s="14" t="s">
        <v>6710</v>
      </c>
      <c r="B210" s="17" t="s">
        <v>400</v>
      </c>
      <c r="C210" s="18" t="s">
        <v>6596</v>
      </c>
      <c r="D210" s="18" t="s">
        <v>8756</v>
      </c>
      <c r="E210" s="17" t="s">
        <v>8757</v>
      </c>
      <c r="F210" s="18" t="s">
        <v>8555</v>
      </c>
      <c r="G210" s="17" t="s">
        <v>8699</v>
      </c>
      <c r="H210" s="18" t="s">
        <v>6714</v>
      </c>
      <c r="I210" s="17" t="s">
        <v>8758</v>
      </c>
      <c r="J210" s="7"/>
      <c r="K210" s="7" t="s">
        <v>6599</v>
      </c>
      <c r="L210" s="8" t="s">
        <v>6711</v>
      </c>
      <c r="M210" s="7" t="n">
        <f aca="false">COUNTIF('Mapa de Marcas'!$B:$B,$A210)</f>
        <v>1</v>
      </c>
      <c r="N210" s="7" t="n">
        <f aca="false">COUNTIFS('Mapa de Marcas'!$B:$B,$A210,'Mapa de Marcas'!$R:$R,"Lacuna")</f>
        <v>0</v>
      </c>
      <c r="O210" s="7" t="s">
        <v>1183</v>
      </c>
      <c r="P210" s="8"/>
      <c r="Q210" s="12"/>
      <c r="R210" s="12"/>
    </row>
    <row r="211" customFormat="false" ht="23.85" hidden="false" customHeight="false" outlineLevel="0" collapsed="false">
      <c r="A211" s="14" t="s">
        <v>6716</v>
      </c>
      <c r="B211" s="17" t="s">
        <v>291</v>
      </c>
      <c r="C211" s="18" t="s">
        <v>6596</v>
      </c>
      <c r="D211" s="18" t="s">
        <v>8759</v>
      </c>
      <c r="E211" s="17" t="s">
        <v>8760</v>
      </c>
      <c r="F211" s="18" t="s">
        <v>8555</v>
      </c>
      <c r="G211" s="17" t="s">
        <v>8699</v>
      </c>
      <c r="H211" s="18" t="s">
        <v>6720</v>
      </c>
      <c r="I211" s="17" t="s">
        <v>8761</v>
      </c>
      <c r="J211" s="7"/>
      <c r="K211" s="7" t="s">
        <v>6599</v>
      </c>
      <c r="L211" s="8" t="s">
        <v>6717</v>
      </c>
      <c r="M211" s="7" t="n">
        <f aca="false">COUNTIF('Mapa de Marcas'!$B:$B,$A211)</f>
        <v>1</v>
      </c>
      <c r="N211" s="7" t="n">
        <f aca="false">COUNTIFS('Mapa de Marcas'!$B:$B,$A211,'Mapa de Marcas'!$R:$R,"Lacuna")</f>
        <v>0</v>
      </c>
      <c r="O211" s="7" t="s">
        <v>1480</v>
      </c>
      <c r="P211" s="8"/>
      <c r="Q211" s="12"/>
      <c r="R211" s="12"/>
    </row>
    <row r="212" customFormat="false" ht="23.85" hidden="false" customHeight="false" outlineLevel="0" collapsed="false">
      <c r="A212" s="14" t="s">
        <v>6722</v>
      </c>
      <c r="B212" s="17" t="s">
        <v>291</v>
      </c>
      <c r="C212" s="18" t="s">
        <v>6596</v>
      </c>
      <c r="D212" s="18" t="s">
        <v>8762</v>
      </c>
      <c r="E212" s="17" t="s">
        <v>8763</v>
      </c>
      <c r="F212" s="18" t="s">
        <v>8470</v>
      </c>
      <c r="G212" s="17" t="s">
        <v>1021</v>
      </c>
      <c r="H212" s="18" t="s">
        <v>6725</v>
      </c>
      <c r="I212" s="17" t="s">
        <v>8764</v>
      </c>
      <c r="J212" s="7"/>
      <c r="K212" s="7" t="s">
        <v>6599</v>
      </c>
      <c r="L212" s="8" t="s">
        <v>6723</v>
      </c>
      <c r="M212" s="7" t="n">
        <f aca="false">COUNTIF('Mapa de Marcas'!$B:$B,$A212)</f>
        <v>1</v>
      </c>
      <c r="N212" s="7" t="n">
        <f aca="false">COUNTIFS('Mapa de Marcas'!$B:$B,$A212,'Mapa de Marcas'!$R:$R,"Lacuna")</f>
        <v>0</v>
      </c>
      <c r="O212" s="7" t="s">
        <v>1183</v>
      </c>
      <c r="P212" s="8"/>
      <c r="Q212" s="12"/>
      <c r="R212" s="12"/>
    </row>
    <row r="213" customFormat="false" ht="23.85" hidden="false" customHeight="false" outlineLevel="0" collapsed="false">
      <c r="A213" s="14" t="s">
        <v>6727</v>
      </c>
      <c r="B213" s="17" t="s">
        <v>8765</v>
      </c>
      <c r="C213" s="18" t="s">
        <v>6728</v>
      </c>
      <c r="D213" s="18" t="s">
        <v>6727</v>
      </c>
      <c r="E213" s="17" t="s">
        <v>8766</v>
      </c>
      <c r="F213" s="18" t="s">
        <v>8555</v>
      </c>
      <c r="G213" s="17" t="s">
        <v>720</v>
      </c>
      <c r="H213" s="18" t="s">
        <v>6734</v>
      </c>
      <c r="I213" s="17" t="s">
        <v>8767</v>
      </c>
      <c r="J213" s="7"/>
      <c r="K213" s="7" t="s">
        <v>6731</v>
      </c>
      <c r="L213" s="8" t="s">
        <v>8768</v>
      </c>
      <c r="M213" s="7" t="n">
        <f aca="false">COUNTIF('Mapa de Marcas'!$B:$B,$A213)</f>
        <v>2</v>
      </c>
      <c r="N213" s="7" t="n">
        <f aca="false">COUNTIFS('Mapa de Marcas'!$B:$B,$A213,'Mapa de Marcas'!$R:$R,"Lacuna")</f>
        <v>0</v>
      </c>
      <c r="O213" s="7" t="s">
        <v>1151</v>
      </c>
      <c r="P213" s="8"/>
      <c r="Q213" s="12"/>
      <c r="R213" s="12"/>
    </row>
    <row r="214" customFormat="false" ht="15" hidden="false" customHeight="false" outlineLevel="0" collapsed="false">
      <c r="A214" s="14" t="s">
        <v>6736</v>
      </c>
      <c r="B214" s="17" t="s">
        <v>371</v>
      </c>
      <c r="C214" s="18" t="s">
        <v>6728</v>
      </c>
      <c r="D214" s="18" t="s">
        <v>6736</v>
      </c>
      <c r="E214" s="17" t="s">
        <v>8769</v>
      </c>
      <c r="F214" s="18" t="s">
        <v>921</v>
      </c>
      <c r="G214" s="17" t="s">
        <v>1034</v>
      </c>
      <c r="H214" s="18" t="s">
        <v>6740</v>
      </c>
      <c r="I214" s="17" t="s">
        <v>8770</v>
      </c>
      <c r="J214" s="7"/>
      <c r="K214" s="7" t="s">
        <v>6731</v>
      </c>
      <c r="L214" s="8" t="s">
        <v>6737</v>
      </c>
      <c r="M214" s="7" t="n">
        <f aca="false">COUNTIF('Mapa de Marcas'!$B:$B,$A214)</f>
        <v>1</v>
      </c>
      <c r="N214" s="7" t="n">
        <f aca="false">COUNTIFS('Mapa de Marcas'!$B:$B,$A214,'Mapa de Marcas'!$R:$R,"Lacuna")</f>
        <v>0</v>
      </c>
      <c r="O214" s="7" t="s">
        <v>1480</v>
      </c>
      <c r="P214" s="8"/>
      <c r="Q214" s="12"/>
      <c r="R214" s="12"/>
    </row>
    <row r="215" customFormat="false" ht="15" hidden="false" customHeight="false" outlineLevel="0" collapsed="false">
      <c r="A215" s="14" t="s">
        <v>6742</v>
      </c>
      <c r="B215" s="17" t="s">
        <v>371</v>
      </c>
      <c r="C215" s="18" t="s">
        <v>6728</v>
      </c>
      <c r="D215" s="18" t="s">
        <v>6742</v>
      </c>
      <c r="E215" s="17" t="s">
        <v>8771</v>
      </c>
      <c r="F215" s="18" t="s">
        <v>921</v>
      </c>
      <c r="G215" s="17" t="s">
        <v>1034</v>
      </c>
      <c r="H215" s="18" t="s">
        <v>6745</v>
      </c>
      <c r="I215" s="17" t="s">
        <v>8770</v>
      </c>
      <c r="J215" s="7"/>
      <c r="K215" s="7" t="s">
        <v>6731</v>
      </c>
      <c r="L215" s="8" t="s">
        <v>6743</v>
      </c>
      <c r="M215" s="7" t="n">
        <f aca="false">COUNTIF('Mapa de Marcas'!$B:$B,$A215)</f>
        <v>1</v>
      </c>
      <c r="N215" s="7" t="n">
        <f aca="false">COUNTIFS('Mapa de Marcas'!$B:$B,$A215,'Mapa de Marcas'!$R:$R,"Lacuna")</f>
        <v>0</v>
      </c>
      <c r="O215" s="7" t="s">
        <v>1480</v>
      </c>
      <c r="P215" s="8"/>
      <c r="Q215" s="12"/>
      <c r="R215" s="12"/>
    </row>
    <row r="216" customFormat="false" ht="23.85" hidden="false" customHeight="false" outlineLevel="0" collapsed="false">
      <c r="A216" s="14" t="s">
        <v>6747</v>
      </c>
      <c r="B216" s="17" t="s">
        <v>291</v>
      </c>
      <c r="C216" s="18" t="s">
        <v>6728</v>
      </c>
      <c r="D216" s="18" t="s">
        <v>6747</v>
      </c>
      <c r="E216" s="17" t="s">
        <v>8772</v>
      </c>
      <c r="F216" s="18" t="s">
        <v>921</v>
      </c>
      <c r="G216" s="17" t="s">
        <v>1026</v>
      </c>
      <c r="H216" s="18" t="s">
        <v>6750</v>
      </c>
      <c r="I216" s="17" t="s">
        <v>8773</v>
      </c>
      <c r="J216" s="7"/>
      <c r="K216" s="7" t="s">
        <v>6731</v>
      </c>
      <c r="L216" s="8" t="s">
        <v>6748</v>
      </c>
      <c r="M216" s="7" t="n">
        <f aca="false">COUNTIF('Mapa de Marcas'!$B:$B,$A216)</f>
        <v>1</v>
      </c>
      <c r="N216" s="7" t="n">
        <f aca="false">COUNTIFS('Mapa de Marcas'!$B:$B,$A216,'Mapa de Marcas'!$R:$R,"Lacuna")</f>
        <v>0</v>
      </c>
      <c r="O216" s="7" t="s">
        <v>1480</v>
      </c>
      <c r="P216" s="8"/>
      <c r="Q216" s="12"/>
      <c r="R216" s="12"/>
    </row>
    <row r="217" customFormat="false" ht="23.85" hidden="false" customHeight="false" outlineLevel="0" collapsed="false">
      <c r="A217" s="14" t="s">
        <v>6752</v>
      </c>
      <c r="B217" s="17" t="s">
        <v>291</v>
      </c>
      <c r="C217" s="18" t="s">
        <v>6728</v>
      </c>
      <c r="D217" s="18" t="s">
        <v>6752</v>
      </c>
      <c r="E217" s="17" t="s">
        <v>8774</v>
      </c>
      <c r="F217" s="18" t="s">
        <v>921</v>
      </c>
      <c r="G217" s="17" t="s">
        <v>1026</v>
      </c>
      <c r="H217" s="18" t="s">
        <v>6755</v>
      </c>
      <c r="I217" s="17" t="s">
        <v>8773</v>
      </c>
      <c r="J217" s="7"/>
      <c r="K217" s="7" t="s">
        <v>6731</v>
      </c>
      <c r="L217" s="8" t="s">
        <v>6753</v>
      </c>
      <c r="M217" s="7" t="n">
        <f aca="false">COUNTIF('Mapa de Marcas'!$B:$B,$A217)</f>
        <v>1</v>
      </c>
      <c r="N217" s="7" t="n">
        <f aca="false">COUNTIFS('Mapa de Marcas'!$B:$B,$A217,'Mapa de Marcas'!$R:$R,"Lacuna")</f>
        <v>0</v>
      </c>
      <c r="O217" s="7" t="s">
        <v>1480</v>
      </c>
      <c r="P217" s="8"/>
      <c r="Q217" s="12"/>
      <c r="R217" s="12"/>
    </row>
    <row r="218" customFormat="false" ht="15" hidden="false" customHeight="false" outlineLevel="0" collapsed="false">
      <c r="A218" s="14" t="s">
        <v>6757</v>
      </c>
      <c r="B218" s="17" t="s">
        <v>371</v>
      </c>
      <c r="C218" s="18" t="s">
        <v>6728</v>
      </c>
      <c r="D218" s="18" t="s">
        <v>6757</v>
      </c>
      <c r="E218" s="17" t="s">
        <v>8775</v>
      </c>
      <c r="F218" s="18" t="s">
        <v>921</v>
      </c>
      <c r="G218" s="17" t="s">
        <v>8670</v>
      </c>
      <c r="H218" s="18" t="s">
        <v>1049</v>
      </c>
      <c r="I218" s="17" t="s">
        <v>8671</v>
      </c>
      <c r="J218" s="7"/>
      <c r="K218" s="7" t="s">
        <v>6731</v>
      </c>
      <c r="L218" s="8" t="s">
        <v>6758</v>
      </c>
      <c r="M218" s="7" t="n">
        <f aca="false">COUNTIF('Mapa de Marcas'!$B:$B,$A218)</f>
        <v>1</v>
      </c>
      <c r="N218" s="7" t="n">
        <f aca="false">COUNTIFS('Mapa de Marcas'!$B:$B,$A218,'Mapa de Marcas'!$R:$R,"Lacuna")</f>
        <v>0</v>
      </c>
      <c r="O218" s="7" t="s">
        <v>1480</v>
      </c>
      <c r="P218" s="8"/>
      <c r="Q218" s="12"/>
      <c r="R218" s="12"/>
    </row>
    <row r="219" customFormat="false" ht="15" hidden="false" customHeight="false" outlineLevel="0" collapsed="false">
      <c r="A219" s="14" t="s">
        <v>6765</v>
      </c>
      <c r="B219" s="17" t="s">
        <v>79</v>
      </c>
      <c r="C219" s="18" t="s">
        <v>6728</v>
      </c>
      <c r="D219" s="18" t="s">
        <v>6765</v>
      </c>
      <c r="E219" s="17" t="s">
        <v>8776</v>
      </c>
      <c r="F219" s="18" t="s">
        <v>921</v>
      </c>
      <c r="G219" s="17" t="s">
        <v>1039</v>
      </c>
      <c r="H219" s="18" t="s">
        <v>6768</v>
      </c>
      <c r="I219" s="17" t="s">
        <v>8777</v>
      </c>
      <c r="J219" s="7"/>
      <c r="K219" s="7" t="s">
        <v>6731</v>
      </c>
      <c r="L219" s="8" t="s">
        <v>6766</v>
      </c>
      <c r="M219" s="7" t="n">
        <f aca="false">COUNTIF('Mapa de Marcas'!$B:$B,$A219)</f>
        <v>1</v>
      </c>
      <c r="N219" s="7" t="n">
        <f aca="false">COUNTIFS('Mapa de Marcas'!$B:$B,$A219,'Mapa de Marcas'!$R:$R,"Lacuna")</f>
        <v>0</v>
      </c>
      <c r="O219" s="7" t="s">
        <v>1480</v>
      </c>
      <c r="P219" s="8"/>
      <c r="Q219" s="12"/>
      <c r="R219" s="12"/>
    </row>
    <row r="220" customFormat="false" ht="15" hidden="false" customHeight="false" outlineLevel="0" collapsed="false">
      <c r="A220" s="14" t="s">
        <v>6770</v>
      </c>
      <c r="B220" s="17" t="s">
        <v>79</v>
      </c>
      <c r="C220" s="18" t="s">
        <v>6728</v>
      </c>
      <c r="D220" s="18" t="s">
        <v>6770</v>
      </c>
      <c r="E220" s="17" t="s">
        <v>8778</v>
      </c>
      <c r="F220" s="18" t="s">
        <v>921</v>
      </c>
      <c r="G220" s="17" t="s">
        <v>1039</v>
      </c>
      <c r="H220" s="18" t="s">
        <v>6773</v>
      </c>
      <c r="I220" s="17" t="s">
        <v>8777</v>
      </c>
      <c r="J220" s="7"/>
      <c r="K220" s="7" t="s">
        <v>6731</v>
      </c>
      <c r="L220" s="8" t="s">
        <v>6771</v>
      </c>
      <c r="M220" s="7" t="n">
        <f aca="false">COUNTIF('Mapa de Marcas'!$B:$B,$A220)</f>
        <v>1</v>
      </c>
      <c r="N220" s="7" t="n">
        <f aca="false">COUNTIFS('Mapa de Marcas'!$B:$B,$A220,'Mapa de Marcas'!$R:$R,"Lacuna")</f>
        <v>0</v>
      </c>
      <c r="O220" s="7" t="s">
        <v>1480</v>
      </c>
      <c r="P220" s="8"/>
      <c r="Q220" s="12"/>
      <c r="R220" s="12"/>
    </row>
    <row r="221" customFormat="false" ht="23.85" hidden="false" customHeight="false" outlineLevel="0" collapsed="false">
      <c r="A221" s="14" t="s">
        <v>6775</v>
      </c>
      <c r="B221" s="17" t="s">
        <v>142</v>
      </c>
      <c r="C221" s="18" t="s">
        <v>6776</v>
      </c>
      <c r="D221" s="18" t="s">
        <v>8779</v>
      </c>
      <c r="E221" s="17" t="s">
        <v>8780</v>
      </c>
      <c r="F221" s="18" t="s">
        <v>8206</v>
      </c>
      <c r="G221" s="17" t="s">
        <v>483</v>
      </c>
      <c r="H221" s="18" t="s">
        <v>6782</v>
      </c>
      <c r="I221" s="17" t="s">
        <v>8781</v>
      </c>
      <c r="J221" s="7"/>
      <c r="K221" s="7" t="s">
        <v>6779</v>
      </c>
      <c r="L221" s="8"/>
      <c r="M221" s="7" t="n">
        <f aca="false">COUNTIF('Mapa de Marcas'!$B:$B,$A221)</f>
        <v>1</v>
      </c>
      <c r="N221" s="7" t="n">
        <f aca="false">COUNTIFS('Mapa de Marcas'!$B:$B,$A221,'Mapa de Marcas'!$R:$R,"Lacuna")</f>
        <v>0</v>
      </c>
      <c r="O221" s="7" t="s">
        <v>1183</v>
      </c>
      <c r="P221" s="8" t="s">
        <v>3984</v>
      </c>
      <c r="Q221" s="12"/>
      <c r="R221" s="12"/>
    </row>
    <row r="222" customFormat="false" ht="23.85" hidden="false" customHeight="false" outlineLevel="0" collapsed="false">
      <c r="A222" s="14" t="s">
        <v>6784</v>
      </c>
      <c r="B222" s="17" t="s">
        <v>142</v>
      </c>
      <c r="C222" s="18" t="s">
        <v>6776</v>
      </c>
      <c r="D222" s="18" t="s">
        <v>8782</v>
      </c>
      <c r="E222" s="17" t="s">
        <v>8783</v>
      </c>
      <c r="F222" s="18" t="s">
        <v>8206</v>
      </c>
      <c r="G222" s="17" t="s">
        <v>483</v>
      </c>
      <c r="H222" s="18" t="s">
        <v>6787</v>
      </c>
      <c r="I222" s="17" t="s">
        <v>8784</v>
      </c>
      <c r="J222" s="7"/>
      <c r="K222" s="7" t="s">
        <v>6779</v>
      </c>
      <c r="L222" s="8"/>
      <c r="M222" s="7" t="n">
        <f aca="false">COUNTIF('Mapa de Marcas'!$B:$B,$A222)</f>
        <v>1</v>
      </c>
      <c r="N222" s="7" t="n">
        <f aca="false">COUNTIFS('Mapa de Marcas'!$B:$B,$A222,'Mapa de Marcas'!$R:$R,"Lacuna")</f>
        <v>0</v>
      </c>
      <c r="O222" s="7" t="s">
        <v>1183</v>
      </c>
      <c r="P222" s="8" t="s">
        <v>3984</v>
      </c>
      <c r="Q222" s="12"/>
      <c r="R222" s="12"/>
    </row>
    <row r="223" customFormat="false" ht="23.85" hidden="false" customHeight="false" outlineLevel="0" collapsed="false">
      <c r="A223" s="14" t="s">
        <v>6789</v>
      </c>
      <c r="B223" s="17" t="s">
        <v>265</v>
      </c>
      <c r="C223" s="18" t="s">
        <v>6776</v>
      </c>
      <c r="D223" s="18" t="s">
        <v>8785</v>
      </c>
      <c r="E223" s="17" t="s">
        <v>8786</v>
      </c>
      <c r="F223" s="18" t="s">
        <v>8470</v>
      </c>
      <c r="G223" s="17" t="s">
        <v>720</v>
      </c>
      <c r="H223" s="18" t="s">
        <v>6793</v>
      </c>
      <c r="I223" s="17" t="s">
        <v>8787</v>
      </c>
      <c r="J223" s="7"/>
      <c r="K223" s="7" t="s">
        <v>6779</v>
      </c>
      <c r="L223" s="8" t="s">
        <v>6790</v>
      </c>
      <c r="M223" s="7" t="n">
        <f aca="false">COUNTIF('Mapa de Marcas'!$B:$B,$A223)</f>
        <v>1</v>
      </c>
      <c r="N223" s="7" t="n">
        <f aca="false">COUNTIFS('Mapa de Marcas'!$B:$B,$A223,'Mapa de Marcas'!$R:$R,"Lacuna")</f>
        <v>0</v>
      </c>
      <c r="O223" s="7" t="s">
        <v>1480</v>
      </c>
      <c r="P223" s="8" t="s">
        <v>3984</v>
      </c>
      <c r="Q223" s="12"/>
      <c r="R223" s="12"/>
    </row>
    <row r="224" customFormat="false" ht="23.85" hidden="false" customHeight="false" outlineLevel="0" collapsed="false">
      <c r="A224" s="14" t="s">
        <v>6795</v>
      </c>
      <c r="B224" s="17" t="s">
        <v>265</v>
      </c>
      <c r="C224" s="18" t="s">
        <v>6776</v>
      </c>
      <c r="D224" s="18" t="s">
        <v>8788</v>
      </c>
      <c r="E224" s="17" t="s">
        <v>8789</v>
      </c>
      <c r="F224" s="18" t="s">
        <v>8470</v>
      </c>
      <c r="G224" s="17" t="s">
        <v>720</v>
      </c>
      <c r="H224" s="18" t="s">
        <v>6798</v>
      </c>
      <c r="I224" s="17" t="s">
        <v>8790</v>
      </c>
      <c r="J224" s="7"/>
      <c r="K224" s="7" t="s">
        <v>6779</v>
      </c>
      <c r="L224" s="8" t="s">
        <v>6796</v>
      </c>
      <c r="M224" s="7" t="n">
        <f aca="false">COUNTIF('Mapa de Marcas'!$B:$B,$A224)</f>
        <v>1</v>
      </c>
      <c r="N224" s="7" t="n">
        <f aca="false">COUNTIFS('Mapa de Marcas'!$B:$B,$A224,'Mapa de Marcas'!$R:$R,"Lacuna")</f>
        <v>0</v>
      </c>
      <c r="O224" s="7" t="s">
        <v>1480</v>
      </c>
      <c r="P224" s="8" t="s">
        <v>3984</v>
      </c>
      <c r="Q224" s="12"/>
      <c r="R224" s="12"/>
    </row>
    <row r="225" customFormat="false" ht="23.85" hidden="false" customHeight="false" outlineLevel="0" collapsed="false">
      <c r="A225" s="14" t="s">
        <v>6800</v>
      </c>
      <c r="B225" s="17" t="s">
        <v>265</v>
      </c>
      <c r="C225" s="18" t="s">
        <v>6776</v>
      </c>
      <c r="D225" s="18" t="s">
        <v>8791</v>
      </c>
      <c r="E225" s="17" t="s">
        <v>8792</v>
      </c>
      <c r="F225" s="18" t="s">
        <v>8470</v>
      </c>
      <c r="G225" s="17" t="s">
        <v>8670</v>
      </c>
      <c r="H225" s="18" t="s">
        <v>1049</v>
      </c>
      <c r="I225" s="17" t="s">
        <v>8671</v>
      </c>
      <c r="J225" s="7"/>
      <c r="K225" s="7" t="s">
        <v>6779</v>
      </c>
      <c r="L225" s="8" t="s">
        <v>6801</v>
      </c>
      <c r="M225" s="7" t="n">
        <f aca="false">COUNTIF('Mapa de Marcas'!$B:$B,$A225)</f>
        <v>1</v>
      </c>
      <c r="N225" s="7" t="n">
        <f aca="false">COUNTIFS('Mapa de Marcas'!$B:$B,$A225,'Mapa de Marcas'!$R:$R,"Lacuna")</f>
        <v>0</v>
      </c>
      <c r="O225" s="7" t="s">
        <v>1480</v>
      </c>
      <c r="P225" s="8" t="s">
        <v>3984</v>
      </c>
      <c r="Q225" s="12"/>
      <c r="R225" s="12"/>
    </row>
    <row r="226" customFormat="false" ht="23.85" hidden="false" customHeight="false" outlineLevel="0" collapsed="false">
      <c r="A226" s="14" t="s">
        <v>6805</v>
      </c>
      <c r="B226" s="17" t="s">
        <v>265</v>
      </c>
      <c r="C226" s="18" t="s">
        <v>6776</v>
      </c>
      <c r="D226" s="18" t="s">
        <v>8793</v>
      </c>
      <c r="E226" s="17" t="s">
        <v>8794</v>
      </c>
      <c r="F226" s="18" t="s">
        <v>8470</v>
      </c>
      <c r="G226" s="17" t="s">
        <v>8670</v>
      </c>
      <c r="H226" s="18" t="s">
        <v>1049</v>
      </c>
      <c r="I226" s="17" t="s">
        <v>8671</v>
      </c>
      <c r="J226" s="7"/>
      <c r="K226" s="7" t="s">
        <v>6779</v>
      </c>
      <c r="L226" s="8" t="s">
        <v>6806</v>
      </c>
      <c r="M226" s="7" t="n">
        <f aca="false">COUNTIF('Mapa de Marcas'!$B:$B,$A226)</f>
        <v>1</v>
      </c>
      <c r="N226" s="7" t="n">
        <f aca="false">COUNTIFS('Mapa de Marcas'!$B:$B,$A226,'Mapa de Marcas'!$R:$R,"Lacuna")</f>
        <v>0</v>
      </c>
      <c r="O226" s="7" t="s">
        <v>1480</v>
      </c>
      <c r="P226" s="8" t="s">
        <v>3984</v>
      </c>
      <c r="Q226" s="12"/>
      <c r="R226" s="12"/>
    </row>
    <row r="227" customFormat="false" ht="23.85" hidden="false" customHeight="false" outlineLevel="0" collapsed="false">
      <c r="A227" s="14" t="s">
        <v>6809</v>
      </c>
      <c r="B227" s="17" t="s">
        <v>265</v>
      </c>
      <c r="C227" s="18" t="s">
        <v>6776</v>
      </c>
      <c r="D227" s="18" t="s">
        <v>8795</v>
      </c>
      <c r="E227" s="17" t="s">
        <v>8796</v>
      </c>
      <c r="F227" s="18" t="s">
        <v>8470</v>
      </c>
      <c r="G227" s="17" t="s">
        <v>8670</v>
      </c>
      <c r="H227" s="18" t="s">
        <v>1049</v>
      </c>
      <c r="I227" s="17" t="s">
        <v>8671</v>
      </c>
      <c r="J227" s="7"/>
      <c r="K227" s="7" t="s">
        <v>6779</v>
      </c>
      <c r="L227" s="8" t="s">
        <v>6810</v>
      </c>
      <c r="M227" s="7" t="n">
        <f aca="false">COUNTIF('Mapa de Marcas'!$B:$B,$A227)</f>
        <v>1</v>
      </c>
      <c r="N227" s="7" t="n">
        <f aca="false">COUNTIFS('Mapa de Marcas'!$B:$B,$A227,'Mapa de Marcas'!$R:$R,"Lacuna")</f>
        <v>0</v>
      </c>
      <c r="O227" s="7" t="s">
        <v>1480</v>
      </c>
      <c r="P227" s="8" t="s">
        <v>3984</v>
      </c>
      <c r="Q227" s="12"/>
      <c r="R227" s="12"/>
    </row>
    <row r="228" customFormat="false" ht="23.85" hidden="false" customHeight="false" outlineLevel="0" collapsed="false">
      <c r="A228" s="14" t="s">
        <v>6813</v>
      </c>
      <c r="B228" s="17" t="s">
        <v>371</v>
      </c>
      <c r="C228" s="18" t="s">
        <v>6776</v>
      </c>
      <c r="D228" s="18" t="s">
        <v>8797</v>
      </c>
      <c r="E228" s="17" t="s">
        <v>8798</v>
      </c>
      <c r="F228" s="18" t="s">
        <v>921</v>
      </c>
      <c r="G228" s="17" t="s">
        <v>8670</v>
      </c>
      <c r="H228" s="18" t="s">
        <v>1049</v>
      </c>
      <c r="I228" s="17" t="s">
        <v>8671</v>
      </c>
      <c r="J228" s="7"/>
      <c r="K228" s="7" t="s">
        <v>6779</v>
      </c>
      <c r="L228" s="8" t="s">
        <v>6814</v>
      </c>
      <c r="M228" s="7" t="n">
        <f aca="false">COUNTIF('Mapa de Marcas'!$B:$B,$A228)</f>
        <v>1</v>
      </c>
      <c r="N228" s="7" t="n">
        <f aca="false">COUNTIFS('Mapa de Marcas'!$B:$B,$A228,'Mapa de Marcas'!$R:$R,"Lacuna")</f>
        <v>0</v>
      </c>
      <c r="O228" s="7" t="s">
        <v>1480</v>
      </c>
      <c r="P228" s="8" t="s">
        <v>3984</v>
      </c>
      <c r="Q228" s="12"/>
      <c r="R228" s="12"/>
    </row>
    <row r="229" customFormat="false" ht="23.85" hidden="false" customHeight="false" outlineLevel="0" collapsed="false">
      <c r="A229" s="14" t="s">
        <v>6818</v>
      </c>
      <c r="B229" s="17" t="s">
        <v>371</v>
      </c>
      <c r="C229" s="18" t="s">
        <v>6776</v>
      </c>
      <c r="D229" s="18" t="s">
        <v>8799</v>
      </c>
      <c r="E229" s="17" t="s">
        <v>8800</v>
      </c>
      <c r="F229" s="18" t="s">
        <v>921</v>
      </c>
      <c r="G229" s="17" t="s">
        <v>8670</v>
      </c>
      <c r="H229" s="18" t="s">
        <v>1049</v>
      </c>
      <c r="I229" s="17" t="s">
        <v>8671</v>
      </c>
      <c r="J229" s="7"/>
      <c r="K229" s="7" t="s">
        <v>6779</v>
      </c>
      <c r="L229" s="8" t="s">
        <v>6819</v>
      </c>
      <c r="M229" s="7" t="n">
        <f aca="false">COUNTIF('Mapa de Marcas'!$B:$B,$A229)</f>
        <v>1</v>
      </c>
      <c r="N229" s="7" t="n">
        <f aca="false">COUNTIFS('Mapa de Marcas'!$B:$B,$A229,'Mapa de Marcas'!$R:$R,"Lacuna")</f>
        <v>0</v>
      </c>
      <c r="O229" s="7" t="s">
        <v>1480</v>
      </c>
      <c r="P229" s="8" t="s">
        <v>3984</v>
      </c>
      <c r="Q229" s="12"/>
      <c r="R229" s="12"/>
    </row>
    <row r="230" customFormat="false" ht="15" hidden="false" customHeight="false" outlineLevel="0" collapsed="false">
      <c r="A230" s="14" t="s">
        <v>6822</v>
      </c>
      <c r="B230" s="17" t="s">
        <v>79</v>
      </c>
      <c r="C230" s="18" t="s">
        <v>6823</v>
      </c>
      <c r="D230" s="18" t="s">
        <v>8801</v>
      </c>
      <c r="E230" s="17" t="s">
        <v>8802</v>
      </c>
      <c r="F230" s="18" t="s">
        <v>921</v>
      </c>
      <c r="G230" s="17" t="s">
        <v>1039</v>
      </c>
      <c r="H230" s="18" t="s">
        <v>6828</v>
      </c>
      <c r="I230" s="17" t="s">
        <v>8777</v>
      </c>
      <c r="J230" s="7"/>
      <c r="K230" s="7" t="s">
        <v>6826</v>
      </c>
      <c r="L230" s="8" t="s">
        <v>6825</v>
      </c>
      <c r="M230" s="7" t="n">
        <f aca="false">COUNTIF('Mapa de Marcas'!$B:$B,$A230)</f>
        <v>1</v>
      </c>
      <c r="N230" s="7" t="n">
        <f aca="false">COUNTIFS('Mapa de Marcas'!$B:$B,$A230,'Mapa de Marcas'!$R:$R,"Lacuna")</f>
        <v>0</v>
      </c>
      <c r="O230" s="7" t="s">
        <v>1183</v>
      </c>
      <c r="P230" s="8"/>
      <c r="Q230" s="12"/>
      <c r="R230" s="12"/>
    </row>
    <row r="231" customFormat="false" ht="15" hidden="false" customHeight="false" outlineLevel="0" collapsed="false">
      <c r="A231" s="14" t="s">
        <v>6830</v>
      </c>
      <c r="B231" s="17" t="s">
        <v>79</v>
      </c>
      <c r="C231" s="18" t="s">
        <v>6823</v>
      </c>
      <c r="D231" s="18" t="s">
        <v>8803</v>
      </c>
      <c r="E231" s="17" t="s">
        <v>8804</v>
      </c>
      <c r="F231" s="18" t="s">
        <v>921</v>
      </c>
      <c r="G231" s="17" t="s">
        <v>1039</v>
      </c>
      <c r="H231" s="18" t="s">
        <v>6833</v>
      </c>
      <c r="I231" s="17" t="s">
        <v>8777</v>
      </c>
      <c r="J231" s="7"/>
      <c r="K231" s="7" t="s">
        <v>6826</v>
      </c>
      <c r="L231" s="8" t="s">
        <v>6831</v>
      </c>
      <c r="M231" s="7" t="n">
        <f aca="false">COUNTIF('Mapa de Marcas'!$B:$B,$A231)</f>
        <v>1</v>
      </c>
      <c r="N231" s="7" t="n">
        <f aca="false">COUNTIFS('Mapa de Marcas'!$B:$B,$A231,'Mapa de Marcas'!$R:$R,"Lacuna")</f>
        <v>0</v>
      </c>
      <c r="O231" s="7" t="s">
        <v>1183</v>
      </c>
      <c r="P231" s="8"/>
      <c r="Q231" s="12"/>
      <c r="R231" s="12"/>
    </row>
    <row r="232" customFormat="false" ht="15" hidden="false" customHeight="false" outlineLevel="0" collapsed="false">
      <c r="A232" s="14" t="s">
        <v>6835</v>
      </c>
      <c r="B232" s="17" t="s">
        <v>79</v>
      </c>
      <c r="C232" s="18" t="s">
        <v>6823</v>
      </c>
      <c r="D232" s="18" t="s">
        <v>8805</v>
      </c>
      <c r="E232" s="17" t="s">
        <v>8806</v>
      </c>
      <c r="F232" s="18" t="s">
        <v>921</v>
      </c>
      <c r="G232" s="17" t="s">
        <v>1039</v>
      </c>
      <c r="H232" s="18" t="s">
        <v>6838</v>
      </c>
      <c r="I232" s="17" t="s">
        <v>8777</v>
      </c>
      <c r="J232" s="7"/>
      <c r="K232" s="7" t="s">
        <v>6826</v>
      </c>
      <c r="L232" s="8" t="s">
        <v>6836</v>
      </c>
      <c r="M232" s="7" t="n">
        <f aca="false">COUNTIF('Mapa de Marcas'!$B:$B,$A232)</f>
        <v>1</v>
      </c>
      <c r="N232" s="7" t="n">
        <f aca="false">COUNTIFS('Mapa de Marcas'!$B:$B,$A232,'Mapa de Marcas'!$R:$R,"Lacuna")</f>
        <v>0</v>
      </c>
      <c r="O232" s="7" t="s">
        <v>1183</v>
      </c>
      <c r="P232" s="8"/>
      <c r="Q232" s="12"/>
      <c r="R232" s="12"/>
    </row>
    <row r="233" customFormat="false" ht="15" hidden="false" customHeight="false" outlineLevel="0" collapsed="false">
      <c r="A233" s="14" t="s">
        <v>6840</v>
      </c>
      <c r="B233" s="17" t="s">
        <v>79</v>
      </c>
      <c r="C233" s="18" t="s">
        <v>6823</v>
      </c>
      <c r="D233" s="18" t="s">
        <v>8807</v>
      </c>
      <c r="E233" s="17" t="s">
        <v>8808</v>
      </c>
      <c r="F233" s="18" t="s">
        <v>921</v>
      </c>
      <c r="G233" s="17" t="s">
        <v>1039</v>
      </c>
      <c r="H233" s="18" t="s">
        <v>6843</v>
      </c>
      <c r="I233" s="17" t="s">
        <v>8777</v>
      </c>
      <c r="J233" s="7"/>
      <c r="K233" s="7" t="s">
        <v>6826</v>
      </c>
      <c r="L233" s="8" t="s">
        <v>6841</v>
      </c>
      <c r="M233" s="7" t="n">
        <f aca="false">COUNTIF('Mapa de Marcas'!$B:$B,$A233)</f>
        <v>1</v>
      </c>
      <c r="N233" s="7" t="n">
        <f aca="false">COUNTIFS('Mapa de Marcas'!$B:$B,$A233,'Mapa de Marcas'!$R:$R,"Lacuna")</f>
        <v>0</v>
      </c>
      <c r="O233" s="7" t="s">
        <v>1183</v>
      </c>
      <c r="P233" s="8"/>
      <c r="Q233" s="12"/>
      <c r="R233" s="12"/>
    </row>
    <row r="234" customFormat="false" ht="23.85" hidden="false" customHeight="false" outlineLevel="0" collapsed="false">
      <c r="A234" s="14" t="s">
        <v>6845</v>
      </c>
      <c r="B234" s="17" t="s">
        <v>79</v>
      </c>
      <c r="C234" s="18" t="s">
        <v>6823</v>
      </c>
      <c r="D234" s="18" t="s">
        <v>8809</v>
      </c>
      <c r="E234" s="17" t="s">
        <v>8810</v>
      </c>
      <c r="F234" s="18" t="s">
        <v>921</v>
      </c>
      <c r="G234" s="17" t="s">
        <v>1039</v>
      </c>
      <c r="H234" s="18" t="s">
        <v>6848</v>
      </c>
      <c r="I234" s="17" t="s">
        <v>8777</v>
      </c>
      <c r="J234" s="7"/>
      <c r="K234" s="7" t="s">
        <v>6826</v>
      </c>
      <c r="L234" s="8" t="s">
        <v>6846</v>
      </c>
      <c r="M234" s="7" t="n">
        <f aca="false">COUNTIF('Mapa de Marcas'!$B:$B,$A234)</f>
        <v>1</v>
      </c>
      <c r="N234" s="7" t="n">
        <f aca="false">COUNTIFS('Mapa de Marcas'!$B:$B,$A234,'Mapa de Marcas'!$R:$R,"Lacuna")</f>
        <v>0</v>
      </c>
      <c r="O234" s="7" t="s">
        <v>1183</v>
      </c>
      <c r="P234" s="8"/>
      <c r="Q234" s="12"/>
      <c r="R234" s="12"/>
    </row>
  </sheetData>
  <autoFilter ref="A1:R234"/>
  <dataValidations count="1">
    <dataValidation allowBlank="true" errorStyle="stop" operator="between" showDropDown="false" showErrorMessage="false" showInputMessage="false" sqref="Q2:Q234" type="list">
      <formula1>"Aprovar,Talvez,Descartar"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2026-09-24T22:35:09Z</dcterms:created>
  <dc:creator>openpyxl</dc:creator>
  <dc:description/>
  <dc:language>en-US</dc:language>
  <cp:lastModifiedBy/>
  <dcterms:modified xsi:type="dcterms:W3CDTF">2026-09-24T22:35:11Z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